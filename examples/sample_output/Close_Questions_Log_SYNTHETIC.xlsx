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ummary" sheetId="2" state="visible" r:id="rId4"/>
    <sheet name="Log" sheetId="3" state="visible" r:id="rId5"/>
    <sheet name="Decisions" sheetId="4" state="visible" r:id="rId6"/>
    <sheet name="Trai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<sst xmlns="http://schemas.openxmlformats.org/spreadsheetml/2006/main" count="316" uniqueCount="149">
  <si>
    <t xml:space="preserve">Close agent question log</t>
  </si>
  <si>
    <t xml:space="preserve">Every question the close agent was asked: the problem behind it, what it answered, who it asked when the data couldn't settle it, what they said, and whether it worked.</t>
  </si>
  <si>
    <t xml:space="preserve">Tab</t>
  </si>
  <si>
    <t xml:space="preserve">What it holds</t>
  </si>
  <si>
    <t xml:space="preserve">Log</t>
  </si>
  <si>
    <t xml:space="preserve">One row per question. Filter by area, status or Worked?. Green = solved, red = didn't work, amber = waiting on an owner.</t>
  </si>
  <si>
    <t xml:space="preserve">Summary</t>
  </si>
  <si>
    <t xml:space="preserve">Counts by area (formulas on the Log tab): how many questions, how many the agent answered alone, how many needed an owner, how many worked.</t>
  </si>
  <si>
    <t xml:space="preserve">Decisions</t>
  </si>
  <si>
    <t xml:space="preserve">Owner answers that settle something. Read these before the next close: they are the standing rules.</t>
  </si>
  <si>
    <t xml:space="preserve">Trail</t>
  </si>
  <si>
    <t xml:space="preserve">Every event in order: asked, answered, escalated, owner answered, reminder, outcome.</t>
  </si>
  <si>
    <t xml:space="preserve">Status</t>
  </si>
  <si>
    <t xml:space="preserve">Meaning</t>
  </si>
  <si>
    <t xml:space="preserve">answered</t>
  </si>
  <si>
    <t xml:space="preserve">The agent answered from the data. Waiting for the asker to confirm it worked.</t>
  </si>
  <si>
    <t xml:space="preserve">waiting_on_owner</t>
  </si>
  <si>
    <t xml:space="preserve">The agent tagged an owner and is waiting for their reply.</t>
  </si>
  <si>
    <t xml:space="preserve">owner_answered</t>
  </si>
  <si>
    <t xml:space="preserve">The owner replied. Waiting for the asker to confirm it worked.</t>
  </si>
  <si>
    <t xml:space="preserve">closed</t>
  </si>
  <si>
    <t xml:space="preserve">The asker confirmed it solved the problem.</t>
  </si>
  <si>
    <t xml:space="preserve">Why escalated</t>
  </si>
  <si>
    <t xml:space="preserve">judgment_call</t>
  </si>
  <si>
    <t xml:space="preserve">A policy or accounting choice the data can't make (LOGIC_REVIEW.md assumptions).</t>
  </si>
  <si>
    <t xml:space="preserve">sources_disagree</t>
  </si>
  <si>
    <t xml:space="preserve">Two sources give different numbers and the data can't say which is right.</t>
  </si>
  <si>
    <t xml:space="preserve">contradicts_prior_decision</t>
  </si>
  <si>
    <t xml:space="preserve">The question or today's data conflicts with an owner's earlier answer.</t>
  </si>
  <si>
    <t xml:space="preserve">unexplained_flag</t>
  </si>
  <si>
    <t xml:space="preserve">A check flagged and the fix needs a person.</t>
  </si>
  <si>
    <t xml:space="preserve">would_change_numbers</t>
  </si>
  <si>
    <t xml:space="preserve">The answer means changing config, an input cell, a source file or an invoice.</t>
  </si>
  <si>
    <t xml:space="preserve">data_not_available</t>
  </si>
  <si>
    <t xml:space="preserve">The close doesn't have the data to answer.</t>
  </si>
  <si>
    <t xml:space="preserve">Area</t>
  </si>
  <si>
    <t xml:space="preserve">Questions</t>
  </si>
  <si>
    <t xml:space="preserve">Agent answered alone</t>
  </si>
  <si>
    <t xml:space="preserve">Needed an owner</t>
  </si>
  <si>
    <t xml:space="preserve">Waiting on owner</t>
  </si>
  <si>
    <t xml:space="preserve">Worked</t>
  </si>
  <si>
    <t xml:space="preserve">Didn't work</t>
  </si>
  <si>
    <t xml:space="preserve">Pending</t>
  </si>
  <si>
    <t xml:space="preserve">Solved rate</t>
  </si>
  <si>
    <t xml:space="preserve">billing</t>
  </si>
  <si>
    <t xml:space="preserve">gateways</t>
  </si>
  <si>
    <t xml:space="preserve">revenue_accounting</t>
  </si>
  <si>
    <t xml:space="preserve">Total</t>
  </si>
  <si>
    <t xml:space="preserve">Solved rate = worked / (worked + didn't work). Pending answers are left out until the asker reacts.</t>
  </si>
  <si>
    <t xml:space="preserve">Question ID</t>
  </si>
  <si>
    <t xml:space="preserve">Opened (UTC)</t>
  </si>
  <si>
    <t xml:space="preserve">Close month</t>
  </si>
  <si>
    <t xml:space="preserve">Asked by</t>
  </si>
  <si>
    <t xml:space="preserve">Channel</t>
  </si>
  <si>
    <t xml:space="preserve">Slack thread</t>
  </si>
  <si>
    <t xml:space="preserve">Question</t>
  </si>
  <si>
    <t xml:space="preserve">Problem that came up</t>
  </si>
  <si>
    <t xml:space="preserve">Agent's answer</t>
  </si>
  <si>
    <t xml:space="preserve">Evidence (query / cell)</t>
  </si>
  <si>
    <t xml:space="preserve">Asked (owner)</t>
  </si>
  <si>
    <t xml:space="preserve">Why it was escalated</t>
  </si>
  <si>
    <t xml:space="preserve">What the owner was asked</t>
  </si>
  <si>
    <t xml:space="preserve">Owner's answer</t>
  </si>
  <si>
    <t xml:space="preserve">Answered by</t>
  </si>
  <si>
    <t xml:space="preserve">Answered (UTC)</t>
  </si>
  <si>
    <t xml:space="preserve">Decision / what changes</t>
  </si>
  <si>
    <t xml:space="preserve">Change type</t>
  </si>
  <si>
    <t xml:space="preserve">Worked?</t>
  </si>
  <si>
    <t xml:space="preserve">Outcome note</t>
  </si>
  <si>
    <t xml:space="preserve">Closed (UTC)</t>
  </si>
  <si>
    <t xml:space="preserve">Related to</t>
  </si>
  <si>
    <t xml:space="preserve">Q-0001</t>
  </si>
  <si>
    <t xml:space="preserve">2026-10-02 20:18:41</t>
  </si>
  <si>
    <t xml:space="preserve">2027-02</t>
  </si>
  <si>
    <t xml:space="preserve">Maya (FP&amp;A) &lt;@U0MAYA&gt;</t>
  </si>
  <si>
    <t xml:space="preserve">#finance-close</t>
  </si>
  <si>
    <t xml:space="preserve">open thread</t>
  </si>
  <si>
    <t xml:space="preserve">What was net revenue in February, and what's driving the change from January?</t>
  </si>
  <si>
    <t xml:space="preserve">Month-on-month revenue bridge for the close memo</t>
  </si>
  <si>
    <t xml:space="preserve">Feb net revenue $247.7k vs $233.3k in Jan (+6.2%). Tokens rose 7.0% (5,648B to 6,040B). Enterprise true-ups fell $1.0k as Meridian Legal and others used more of their commitments.
</t>
  </si>
  <si>
    <t xml:space="preserve">monthly_summary (sql/30_core.sql); Summary!B8 = Monthly!H33 = SUM of Monthly segment rows, from Data_Monthly</t>
  </si>
  <si>
    <t xml:space="preserve">yes</t>
  </si>
  <si>
    <t xml:space="preserve">Maya (FP&amp;A) reacted :white_check_mark:</t>
  </si>
  <si>
    <t xml:space="preserve">Q-0002</t>
  </si>
  <si>
    <t xml:space="preserve">Check 6 flagged Meridian Legal for January. Is the invoice wrong or the contract?</t>
  </si>
  <si>
    <t xml:space="preserve">Invoice unit price doesn't match the contract price (check 6, Jan 2027)</t>
  </si>
  <si>
    <t xml:space="preserve">Jan invoice at $0.042/M vs contract $0.0336/M: usage line $1,459 too high, true-up $1,459 too low, total still $12,500 (commitment floor).</t>
  </si>
  <si>
    <t xml:space="preserve">Dev (billing) &lt;@U0DEV&gt;; Ana (GTM) &lt;@U0ANA&gt;</t>
  </si>
  <si>
    <t xml:space="preserve">Was Meridian's contract amended in January, or is $0.0336/M still the price?</t>
  </si>
  <si>
    <t xml:space="preserve">Contract price is right. Stripe reset Meridian to list price in the Jan 3 plan migration; fixed from Feb. Total is right, so no credit note; Jan invoice will be reissued with the correct usage / true-up split.</t>
  </si>
  <si>
    <t xml:space="preserve">Dev (billing) &lt;@U0DEV&gt;</t>
  </si>
  <si>
    <t xml:space="preserve">Reissue Jan invoice INV-202701-02022: usage $5,834.68 + true-up $6,665.32 = $12,500. Check 6 Jan FLAG explained. Ask billing to check other accounts migrated on Jan 3.</t>
  </si>
  <si>
    <t xml:space="preserve">billing_correction</t>
  </si>
  <si>
    <t xml:space="preserve">Q-0003</t>
  </si>
  <si>
    <t xml:space="preserve">OpenRouter's January statement is 2.6% below our logs. Do we book their number or ours?</t>
  </si>
  <si>
    <t xml:space="preserve">Gateway statement vs our logs (check 8, OpenRouter Jan 2027)</t>
  </si>
  <si>
    <t xml:space="preserve">Jan statement -2.6% vs our logs; Dec and Feb tie.</t>
  </si>
  <si>
    <t xml:space="preserve">Sam (partnerships) &lt;@U0SAM&gt;</t>
  </si>
  <si>
    <t xml:space="preserve">The cut-off explanation doesn't fit the data: Jan is short 8.18B tokens, 8 hours of our volume is ~3.4B, and Feb ties exactly instead of being over. Can you ask OpenRouter for their January daily totals so we can find the missing days?</t>
  </si>
  <si>
    <t xml:space="preserve">Book our logs. OpenRouter cuts months at UTC midnight; we close in Pacific time, so ~8 hours of Jan 31 fall into their February.</t>
  </si>
  <si>
    <t xml:space="preserve">Book January from our logs ($13,219 gross). Gap explained as a month cut-off difference.</t>
  </si>
  <si>
    <t xml:space="preserve">explanation_only</t>
  </si>
  <si>
    <t xml:space="preserve">no</t>
  </si>
  <si>
    <t xml:space="preserve">Cut-off explanation doesn't fit: Jan statement is 8.18B short, 8 hours is ~3.4B, and Feb ties at 0.00B instead of being over.</t>
  </si>
  <si>
    <t xml:space="preserve">Q-0004</t>
  </si>
  <si>
    <t xml:space="preserve">Leo (engineering) &lt;@U0LEO&gt;</t>
  </si>
  <si>
    <t xml:space="preserve">If a call times out (408), do we bill it?</t>
  </si>
  <si>
    <t xml:space="preserve">Billable status rules, ahead of a retry change</t>
  </si>
  <si>
    <t xml:space="preserve">The close bills only 200s. Feb logs have no 408s (only 200, 429, 529).</t>
  </si>
  <si>
    <t xml:space="preserve">Are 408 timeouts billed? The close bills only status 200 (billing.billable_statuses), and Feb logs show only 200, 429 and 529, so there's no data on 408s.</t>
  </si>
  <si>
    <t xml:space="preserve">No. Only 200s reach the billing meter; timeouts and 5xx are never billed.</t>
  </si>
  <si>
    <t xml:space="preserve">Confirms billing.billable_statuses = [200]. LOGIC_REVIEW assumption 2 confirmed by billing.</t>
  </si>
  <si>
    <t xml:space="preserve">none</t>
  </si>
  <si>
    <t xml:space="preserve">Leo (engineering) reacted :white_check_mark:</t>
  </si>
  <si>
    <t xml:space="preserve">Q-0005</t>
  </si>
  <si>
    <t xml:space="preserve">Ana (GTM) &lt;@U0ANA&gt;</t>
  </si>
  <si>
    <t xml:space="preserve">Meridian is asking about their January invoice. Was it wrong?</t>
  </si>
  <si>
    <t xml:space="preserve">Customer asking about January invoice</t>
  </si>
  <si>
    <t xml:space="preserve">Yes, the split was wrong but the total was right. Billing is reissuing INV-202701-02022 (usage $5,834.68 + true-up $6,665.32 = $12,500). See Q-0002.</t>
  </si>
  <si>
    <t xml:space="preserve">Q-0002, owner answer from Dev (billing)</t>
  </si>
  <si>
    <t xml:space="preserve">Ana (GTM) reacted :white_check_mark:</t>
  </si>
  <si>
    <t xml:space="preserve">When (UTC)</t>
  </si>
  <si>
    <t xml:space="preserve">Who</t>
  </si>
  <si>
    <t xml:space="preserve">What happened</t>
  </si>
  <si>
    <t xml:space="preserve">Detail</t>
  </si>
  <si>
    <t xml:space="preserve">asked</t>
  </si>
  <si>
    <t xml:space="preserve">agent</t>
  </si>
  <si>
    <t xml:space="preserve">agent answered</t>
  </si>
  <si>
    <t xml:space="preserve">agent_answer: Feb net revenue $247.7k vs $233.3k in Jan (+6.2%). Tokens rose 7.0% (5,648B to 6,040B). Enterprise true-ups fell $1.0k as Meridian Legal and others used more of their commitments.
; evidence: monthly_summary (sql/30_core.sql); Summary!B8 = Monthly!H33 = SUM of Monthly segment rows, from Data_Monthly</t>
  </si>
  <si>
    <t xml:space="preserve">outcome: yes</t>
  </si>
  <si>
    <t xml:space="preserve">worked: yes; worked_note: Maya (FP&amp;A) reacted :white_check_mark:; closed_at: 2026-10-02 20:18:41</t>
  </si>
  <si>
    <t xml:space="preserve">asked Dev (billing)</t>
  </si>
  <si>
    <t xml:space="preserve">area: billing; escalation_reason: sources_disagree; escalation_question: Meridian's Jan invoice used list $0.042/M; the contract (C-206) says $0.0336/M from Dec 15, and Dec and Feb invoices used $0.0336. Was January billed at the wrong price?; escalated_to: Dev (billing) &lt;@U0DEV&gt;; agent_answer: Jan invoice at $0.042/M vs contract $0.0336/M: usage line $1,459 too high, true-up $1,459 too low, total still $12,500 (commitment floor).</t>
  </si>
  <si>
    <t xml:space="preserve">asked Ana (GTM)</t>
  </si>
  <si>
    <t xml:space="preserve">area: billing; escalation_reason: sources_disagree; escalation_question: Was Meridian's contract amended in January, or is $0.0336/M still the price?; escalated_to: Dev (billing) &lt;@U0DEV&gt;; Ana (GTM) &lt;@U0ANA&gt;</t>
  </si>
  <si>
    <t xml:space="preserve">owner answered</t>
  </si>
  <si>
    <t xml:space="preserve">owner_answer: Contract price is right. Stripe reset Meridian to list price in the Jan 3 plan migration; fixed from Feb. Total is right, so no credit note; Jan invoice will be reissued with the correct usage / true-up split.; answered_by: Dev (billing) &lt;@U0DEV&gt;; answered_at: 2026-10-02 20:18:41; decision: Reissue Jan invoice INV-202701-02022: usage $5,834.68 + true-up $6,665.32 = $12,500. Check 6 Jan FLAG explained. Ask billing to check other accounts migrated on Jan 3.; change_type: billing_correction</t>
  </si>
  <si>
    <t xml:space="preserve">asked Sam (partnerships)</t>
  </si>
  <si>
    <t xml:space="preserve">area: gateways; escalation_reason: judgment_call; escalation_question: OpenRouter's Jan statement shows 306.56B tokens vs 314.74B in our logs (-2.6%, $344 gross). Dec and Feb match within 0.01%. Which number do we book for January, and do we dispute the gap?; escalated_to: Sam (partnerships) &lt;@U0SAM&gt;; agent_answer: Jan statement -2.6% vs our logs; Dec and Feb tie.</t>
  </si>
  <si>
    <t xml:space="preserve">owner_answer: Book our logs. OpenRouter cuts months at UTC midnight; we close in Pacific time, so ~8 hours of Jan 31 fall into their February.; answered_by: Sam (partnerships) &lt;@U0SAM&gt;; answered_at: 2026-10-02 20:18:41; decision: Book January from our logs ($13,219 gross). Gap explained as a month cut-off difference.; change_type: explanation_only</t>
  </si>
  <si>
    <t xml:space="preserve">outcome: no</t>
  </si>
  <si>
    <t xml:space="preserve">worked: no; worked_note: Maya (FP&amp;A) reacted :x:</t>
  </si>
  <si>
    <t xml:space="preserve">worked: no; worked_note: Cut-off explanation doesn't fit: Jan statement is 8.18B short, 8 hours is ~3.4B, and Feb ties at 0.00B instead of being over.</t>
  </si>
  <si>
    <t xml:space="preserve">area: gateways; escalation_reason: contradicts_prior_decision; escalation_question: The cut-off explanation doesn't fit the data: Jan is short 8.18B tokens, 8 hours of our volume is ~3.4B, and Feb ties exactly instead of being over. Can you ask OpenRouter for their January daily totals so we can find the missing days?; escalated_to: Sam (partnerships) &lt;@U0SAM&gt;</t>
  </si>
  <si>
    <t xml:space="preserve">area: billing; escalation_reason: judgment_call; escalation_question: Are 408 timeouts billed? The close bills only status 200 (billing.billable_statuses), and Feb logs show only 200, 429 and 529, so there's no data on 408s.; escalated_to: Dev (billing) &lt;@U0DEV&gt;; agent_answer: The close bills only 200s. Feb logs have no 408s (only 200, 429, 529).</t>
  </si>
  <si>
    <t xml:space="preserve">owner_answer: No. Only 200s reach the billing meter; timeouts and 5xx are never billed.; answered_by: Dev (billing) &lt;@U0DEV&gt;; answered_at: 2026-10-02 20:18:41; decision: Confirms billing.billable_statuses = [200]. LOGIC_REVIEW assumption 2 confirmed by billing.; change_type: none</t>
  </si>
  <si>
    <t xml:space="preserve">worked: yes; worked_note: Leo (engineering) reacted :white_check_mark:; closed_at: 2026-10-02 20:18:41</t>
  </si>
  <si>
    <t xml:space="preserve">agent_answer: Yes, the split was wrong but the total was right. Billing is reissuing INV-202701-02022 (usage $5,834.68 + true-up $6,665.32 = $12,500). See Q-0002.; evidence: Q-0002, owner answer from Dev (billing)</t>
  </si>
  <si>
    <t xml:space="preserve">worked: yes; worked_note: Ana (GTM) reacted :white_check_mark:; closed_at: 2026-10-02 20:18:41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</si>
</sst>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F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9D9D9"/>
        </patternFill>
      </fill>
    </dxf>
    <dxf>
      <fill>
        <patternFill>
          <bgColor rgb="FFFFF1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QuestionLog" displayName="QuestionLog" ref="A1:X6" headerRowCount="1" totalsRowCount="0" totalsRowShown="0">
  <autoFilter ref="A1:X6"/>
  <tableColumns count="24">
    <tableColumn id="1" name="Question ID"/>
    <tableColumn id="2" name="Opened (UTC)"/>
    <tableColumn id="3" name="Close month"/>
    <tableColumn id="4" name="Asked by"/>
    <tableColumn id="5" name="Channel"/>
    <tableColumn id="6" name="Slack thread"/>
    <tableColumn id="7" name="Question"/>
    <tableColumn id="8" name="Area"/>
    <tableColumn id="9" name="Problem that came up"/>
    <tableColumn id="10" name="Agent's answer"/>
    <tableColumn id="11" name="Evidence (query / cell)"/>
    <tableColumn id="12" name="Status"/>
    <tableColumn id="13" name="Asked (owner)"/>
    <tableColumn id="14" name="Why it was escalated"/>
    <tableColumn id="15" name="What the owner was asked"/>
    <tableColumn id="16" name="Owner's answer"/>
    <tableColumn id="17" name="Answered by"/>
    <tableColumn id="18" name="Answered (UTC)"/>
    <tableColumn id="19" name="Decision / what changes"/>
    <tableColumn id="20" name="Change type"/>
    <tableColumn id="21" name="Worked?"/>
    <tableColumn id="22" name="Outcome note"/>
    <tableColumn id="23" name="Closed (UTC)"/>
    <tableColumn id="24" name="Related 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xample.slack.com/archives/C0FINANCE/p1767225600000001" TargetMode="External"/><Relationship Id="rId2" Type="http://schemas.openxmlformats.org/officeDocument/2006/relationships/hyperlink" Target="https://example.slack.com/archives/C0FINANCE/p1767225600000004" TargetMode="External"/><Relationship Id="rId3" Type="http://schemas.openxmlformats.org/officeDocument/2006/relationships/hyperlink" Target="https://example.slack.com/archives/C0FINANCE/p1767225600000009" TargetMode="External"/><Relationship Id="rId4" Type="http://schemas.openxmlformats.org/officeDocument/2006/relationships/hyperlink" Target="https://example.slack.com/archives/C0FINANCE/p1767225600000017" TargetMode="External"/><Relationship Id="rId5" Type="http://schemas.openxmlformats.org/officeDocument/2006/relationships/hyperlink" Target="https://example.slack.com/archives/C0FINANCE/p1767225600000022" TargetMode="External"/><Relationship Id="rId6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0" t="s">
        <v>4</v>
      </c>
      <c r="B5" s="4" t="s">
        <v>5</v>
      </c>
    </row>
    <row r="6" customFormat="false" ht="28.35" hidden="false" customHeight="false" outlineLevel="0" collapsed="false">
      <c r="A6" s="0" t="s">
        <v>6</v>
      </c>
      <c r="B6" s="4" t="s">
        <v>7</v>
      </c>
    </row>
    <row r="7" customFormat="false" ht="15" hidden="false" customHeight="false" outlineLevel="0" collapsed="false">
      <c r="A7" s="0" t="s">
        <v>8</v>
      </c>
      <c r="B7" s="4" t="s">
        <v>9</v>
      </c>
    </row>
    <row r="8" customFormat="false" ht="15" hidden="false" customHeight="false" outlineLevel="0" collapsed="false">
      <c r="A8" s="0" t="s">
        <v>10</v>
      </c>
      <c r="B8" s="4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0" t="s">
        <v>14</v>
      </c>
      <c r="B11" s="4" t="s">
        <v>15</v>
      </c>
    </row>
    <row r="12" customFormat="false" ht="15" hidden="false" customHeight="false" outlineLevel="0" collapsed="false">
      <c r="A12" s="0" t="s">
        <v>16</v>
      </c>
      <c r="B12" s="4" t="s">
        <v>17</v>
      </c>
    </row>
    <row r="13" customFormat="false" ht="15" hidden="false" customHeight="false" outlineLevel="0" collapsed="false">
      <c r="A13" s="0" t="s">
        <v>18</v>
      </c>
      <c r="B13" s="4" t="s">
        <v>19</v>
      </c>
    </row>
    <row r="14" customFormat="false" ht="15" hidden="false" customHeight="false" outlineLevel="0" collapsed="false">
      <c r="A14" s="0" t="s">
        <v>20</v>
      </c>
      <c r="B14" s="4" t="s">
        <v>21</v>
      </c>
    </row>
    <row r="16" customFormat="false" ht="15" hidden="false" customHeight="false" outlineLevel="0" collapsed="false">
      <c r="A16" s="2" t="s">
        <v>22</v>
      </c>
      <c r="B16" s="3" t="s">
        <v>13</v>
      </c>
    </row>
    <row r="17" customFormat="false" ht="15" hidden="false" customHeight="false" outlineLevel="0" collapsed="false">
      <c r="A17" s="0" t="s">
        <v>23</v>
      </c>
      <c r="B17" s="4" t="s">
        <v>24</v>
      </c>
    </row>
    <row r="18" customFormat="false" ht="15" hidden="false" customHeight="false" outlineLevel="0" collapsed="false">
      <c r="A18" s="0" t="s">
        <v>25</v>
      </c>
      <c r="B18" s="4" t="s">
        <v>26</v>
      </c>
    </row>
    <row r="19" customFormat="false" ht="15" hidden="false" customHeight="false" outlineLevel="0" collapsed="false">
      <c r="A19" s="0" t="s">
        <v>27</v>
      </c>
      <c r="B19" s="4" t="s">
        <v>28</v>
      </c>
    </row>
    <row r="20" customFormat="false" ht="15" hidden="false" customHeight="false" outlineLevel="0" collapsed="false">
      <c r="A20" s="0" t="s">
        <v>29</v>
      </c>
      <c r="B20" s="4" t="s">
        <v>30</v>
      </c>
    </row>
    <row r="21" customFormat="false" ht="15" hidden="false" customHeight="false" outlineLevel="0" collapsed="false">
      <c r="A21" s="0" t="s">
        <v>31</v>
      </c>
      <c r="B21" s="4" t="s">
        <v>32</v>
      </c>
    </row>
    <row r="22" customFormat="false" ht="15" hidden="false" customHeight="false" outlineLevel="0" collapsed="false">
      <c r="A22" s="0" t="s">
        <v>33</v>
      </c>
      <c r="B22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6"/>
  </cols>
  <sheetData>
    <row r="1" customFormat="false" ht="28.35" hidden="false" customHeight="fals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</row>
    <row r="2" customFormat="false" ht="15" hidden="false" customHeight="false" outlineLevel="0" collapsed="false">
      <c r="A2" s="0" t="s">
        <v>44</v>
      </c>
      <c r="B2" s="0" t="n">
        <f aca="false">COUNTIFS(Log!$H$2:$H$6,"billing")</f>
        <v>3</v>
      </c>
      <c r="C2" s="0" t="n">
        <f aca="false">COUNTIFS(Log!$H$2:$H$6,"billing",Log!$M$2:$M$6,"")</f>
        <v>1</v>
      </c>
      <c r="D2" s="0" t="n">
        <f aca="false">B2-C2</f>
        <v>2</v>
      </c>
      <c r="E2" s="0" t="n">
        <f aca="false">COUNTIFS(Log!$H$2:$H$6,"billing",Log!$L$2:$L$6,"waiting_on_owner")</f>
        <v>0</v>
      </c>
      <c r="F2" s="0" t="n">
        <f aca="false">COUNTIFS(Log!$H$2:$H$6,"billing",Log!$U$2:$U$6,"yes")</f>
        <v>3</v>
      </c>
      <c r="G2" s="0" t="n">
        <f aca="false">COUNTIFS(Log!$H$2:$H$6,"billing",Log!$U$2:$U$6,"no")</f>
        <v>0</v>
      </c>
      <c r="H2" s="0" t="n">
        <f aca="false">COUNTIFS(Log!$H$2:$H$6,"billing",Log!$U$2:$U$6,"pending")</f>
        <v>0</v>
      </c>
      <c r="I2" s="6" t="n">
        <f aca="false">IF(F2+G2=0,"",F2/(F2+G2))</f>
        <v>1</v>
      </c>
    </row>
    <row r="3" customFormat="false" ht="15" hidden="false" customHeight="false" outlineLevel="0" collapsed="false">
      <c r="A3" s="0" t="s">
        <v>45</v>
      </c>
      <c r="B3" s="0" t="n">
        <f aca="false">COUNTIFS(Log!$H$2:$H$6,"gateways")</f>
        <v>1</v>
      </c>
      <c r="C3" s="0" t="n">
        <f aca="false">COUNTIFS(Log!$H$2:$H$6,"gateways",Log!$M$2:$M$6,"")</f>
        <v>0</v>
      </c>
      <c r="D3" s="0" t="n">
        <f aca="false">B3-C3</f>
        <v>1</v>
      </c>
      <c r="E3" s="0" t="n">
        <f aca="false">COUNTIFS(Log!$H$2:$H$6,"gateways",Log!$L$2:$L$6,"waiting_on_owner")</f>
        <v>1</v>
      </c>
      <c r="F3" s="0" t="n">
        <f aca="false">COUNTIFS(Log!$H$2:$H$6,"gateways",Log!$U$2:$U$6,"yes")</f>
        <v>0</v>
      </c>
      <c r="G3" s="0" t="n">
        <f aca="false">COUNTIFS(Log!$H$2:$H$6,"gateways",Log!$U$2:$U$6,"no")</f>
        <v>1</v>
      </c>
      <c r="H3" s="0" t="n">
        <f aca="false">COUNTIFS(Log!$H$2:$H$6,"gateways",Log!$U$2:$U$6,"pending")</f>
        <v>0</v>
      </c>
      <c r="I3" s="6" t="n">
        <f aca="false">IF(F3+G3=0,"",F3/(F3+G3))</f>
        <v>0</v>
      </c>
    </row>
    <row r="4" customFormat="false" ht="15" hidden="false" customHeight="false" outlineLevel="0" collapsed="false">
      <c r="A4" s="0" t="s">
        <v>46</v>
      </c>
      <c r="B4" s="0" t="n">
        <f aca="false">COUNTIFS(Log!$H$2:$H$6,"revenue_accounting")</f>
        <v>1</v>
      </c>
      <c r="C4" s="0" t="n">
        <f aca="false">COUNTIFS(Log!$H$2:$H$6,"revenue_accounting",Log!$M$2:$M$6,"")</f>
        <v>1</v>
      </c>
      <c r="D4" s="0" t="n">
        <f aca="false">B4-C4</f>
        <v>0</v>
      </c>
      <c r="E4" s="0" t="n">
        <f aca="false">COUNTIFS(Log!$H$2:$H$6,"revenue_accounting",Log!$L$2:$L$6,"waiting_on_owner")</f>
        <v>0</v>
      </c>
      <c r="F4" s="0" t="n">
        <f aca="false">COUNTIFS(Log!$H$2:$H$6,"revenue_accounting",Log!$U$2:$U$6,"yes")</f>
        <v>1</v>
      </c>
      <c r="G4" s="0" t="n">
        <f aca="false">COUNTIFS(Log!$H$2:$H$6,"revenue_accounting",Log!$U$2:$U$6,"no")</f>
        <v>0</v>
      </c>
      <c r="H4" s="0" t="n">
        <f aca="false">COUNTIFS(Log!$H$2:$H$6,"revenue_accounting",Log!$U$2:$U$6,"pending")</f>
        <v>0</v>
      </c>
      <c r="I4" s="6" t="n">
        <f aca="false">IF(F4+G4=0,"",F4/(F4+G4))</f>
        <v>1</v>
      </c>
    </row>
    <row r="5" customFormat="false" ht="15" hidden="false" customHeight="false" outlineLevel="0" collapsed="false">
      <c r="A5" s="2" t="s">
        <v>47</v>
      </c>
      <c r="B5" s="2" t="n">
        <f aca="false">SUM(B2:B4)</f>
        <v>5</v>
      </c>
      <c r="C5" s="2" t="n">
        <f aca="false">SUM(C2:C4)</f>
        <v>2</v>
      </c>
      <c r="D5" s="2" t="n">
        <f aca="false">SUM(D2:D4)</f>
        <v>3</v>
      </c>
      <c r="E5" s="2" t="n">
        <f aca="false">SUM(E2:E4)</f>
        <v>1</v>
      </c>
      <c r="F5" s="2" t="n">
        <f aca="false">SUM(F2:F4)</f>
        <v>4</v>
      </c>
      <c r="G5" s="2" t="n">
        <f aca="false">SUM(G2:G4)</f>
        <v>1</v>
      </c>
      <c r="H5" s="2" t="n">
        <f aca="false">SUM(H2:H4)</f>
        <v>0</v>
      </c>
      <c r="I5" s="6" t="n">
        <f aca="false">IF(F5+G5=0,"",F5/(F5+G5))</f>
        <v>0.8</v>
      </c>
    </row>
    <row r="7" customFormat="false" ht="15" hidden="false" customHeight="false" outlineLevel="0" collapsed="false">
      <c r="A7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45"/>
    <col collapsed="false" customWidth="true" hidden="false" outlineLevel="0" max="8" min="8" style="0" width="16"/>
    <col collapsed="false" customWidth="true" hidden="false" outlineLevel="0" max="9" min="9" style="0" width="35"/>
    <col collapsed="false" customWidth="true" hidden="false" outlineLevel="0" max="10" min="10" style="0" width="55"/>
    <col collapsed="false" customWidth="true" hidden="false" outlineLevel="0" max="11" min="11" style="0" width="40"/>
    <col collapsed="false" customWidth="true" hidden="false" outlineLevel="0" max="12" min="12" style="0" width="15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6" min="15" style="0" width="45"/>
    <col collapsed="false" customWidth="true" hidden="false" outlineLevel="0" max="17" min="17" style="0" width="18"/>
    <col collapsed="false" customWidth="true" hidden="false" outlineLevel="0" max="18" min="18" style="0" width="17"/>
    <col collapsed="false" customWidth="true" hidden="false" outlineLevel="0" max="19" min="19" style="0" width="40"/>
    <col collapsed="false" customWidth="true" hidden="false" outlineLevel="0" max="20" min="20" style="0" width="17"/>
    <col collapsed="false" customWidth="true" hidden="false" outlineLevel="0" max="21" min="21" style="0" width="9"/>
    <col collapsed="false" customWidth="true" hidden="false" outlineLevel="0" max="22" min="22" style="0" width="30"/>
    <col collapsed="false" customWidth="true" hidden="false" outlineLevel="0" max="23" min="23" style="0" width="17"/>
    <col collapsed="false" customWidth="true" hidden="false" outlineLevel="0" max="24" min="24" style="0" width="10"/>
  </cols>
  <sheetData>
    <row r="1" customFormat="false" ht="41.75" hidden="false" customHeight="false" outlineLevel="0" collapsed="false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35</v>
      </c>
      <c r="I1" s="5" t="s">
        <v>56</v>
      </c>
      <c r="J1" s="5" t="s">
        <v>57</v>
      </c>
      <c r="K1" s="5" t="s">
        <v>58</v>
      </c>
      <c r="L1" s="5" t="s">
        <v>12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</row>
    <row r="2" customFormat="false" ht="55.2" hidden="false" customHeight="false" outlineLevel="0" collapsed="false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7" t="s">
        <v>76</v>
      </c>
      <c r="G2" s="4" t="s">
        <v>77</v>
      </c>
      <c r="H2" s="4" t="s">
        <v>46</v>
      </c>
      <c r="I2" s="4" t="s">
        <v>78</v>
      </c>
      <c r="J2" s="4" t="s">
        <v>79</v>
      </c>
      <c r="K2" s="4" t="s">
        <v>80</v>
      </c>
      <c r="L2" s="4" t="s">
        <v>20</v>
      </c>
      <c r="M2" s="4"/>
      <c r="N2" s="4"/>
      <c r="O2" s="4"/>
      <c r="P2" s="4"/>
      <c r="Q2" s="4"/>
      <c r="R2" s="4"/>
      <c r="S2" s="4"/>
      <c r="T2" s="4"/>
      <c r="U2" s="4" t="s">
        <v>81</v>
      </c>
      <c r="V2" s="4" t="s">
        <v>82</v>
      </c>
      <c r="W2" s="4" t="s">
        <v>72</v>
      </c>
      <c r="X2" s="4"/>
    </row>
    <row r="3" customFormat="false" ht="55.2" hidden="false" customHeight="false" outlineLevel="0" collapsed="false">
      <c r="A3" s="4" t="s">
        <v>83</v>
      </c>
      <c r="B3" s="4" t="s">
        <v>72</v>
      </c>
      <c r="C3" s="4" t="s">
        <v>73</v>
      </c>
      <c r="D3" s="4" t="s">
        <v>74</v>
      </c>
      <c r="E3" s="4" t="s">
        <v>75</v>
      </c>
      <c r="F3" s="7" t="s">
        <v>76</v>
      </c>
      <c r="G3" s="4" t="s">
        <v>84</v>
      </c>
      <c r="H3" s="4" t="s">
        <v>44</v>
      </c>
      <c r="I3" s="4" t="s">
        <v>85</v>
      </c>
      <c r="J3" s="4" t="s">
        <v>86</v>
      </c>
      <c r="K3" s="4"/>
      <c r="L3" s="4" t="s">
        <v>20</v>
      </c>
      <c r="M3" s="4" t="s">
        <v>87</v>
      </c>
      <c r="N3" s="4" t="s">
        <v>25</v>
      </c>
      <c r="O3" s="4" t="s">
        <v>88</v>
      </c>
      <c r="P3" s="4" t="s">
        <v>89</v>
      </c>
      <c r="Q3" s="4" t="s">
        <v>90</v>
      </c>
      <c r="R3" s="4" t="s">
        <v>72</v>
      </c>
      <c r="S3" s="4" t="s">
        <v>91</v>
      </c>
      <c r="T3" s="4" t="s">
        <v>92</v>
      </c>
      <c r="U3" s="4" t="s">
        <v>81</v>
      </c>
      <c r="V3" s="4" t="s">
        <v>82</v>
      </c>
      <c r="W3" s="4" t="s">
        <v>72</v>
      </c>
      <c r="X3" s="4"/>
    </row>
    <row r="4" customFormat="false" ht="68.65" hidden="false" customHeight="false" outlineLevel="0" collapsed="false">
      <c r="A4" s="4" t="s">
        <v>93</v>
      </c>
      <c r="B4" s="4" t="s">
        <v>72</v>
      </c>
      <c r="C4" s="4" t="s">
        <v>73</v>
      </c>
      <c r="D4" s="4" t="s">
        <v>74</v>
      </c>
      <c r="E4" s="4" t="s">
        <v>75</v>
      </c>
      <c r="F4" s="7" t="s">
        <v>76</v>
      </c>
      <c r="G4" s="4" t="s">
        <v>94</v>
      </c>
      <c r="H4" s="4" t="s">
        <v>45</v>
      </c>
      <c r="I4" s="4" t="s">
        <v>95</v>
      </c>
      <c r="J4" s="4" t="s">
        <v>96</v>
      </c>
      <c r="K4" s="4"/>
      <c r="L4" s="4" t="s">
        <v>16</v>
      </c>
      <c r="M4" s="4" t="s">
        <v>97</v>
      </c>
      <c r="N4" s="4" t="s">
        <v>27</v>
      </c>
      <c r="O4" s="4" t="s">
        <v>98</v>
      </c>
      <c r="P4" s="4" t="s">
        <v>99</v>
      </c>
      <c r="Q4" s="4" t="s">
        <v>97</v>
      </c>
      <c r="R4" s="4" t="s">
        <v>72</v>
      </c>
      <c r="S4" s="4" t="s">
        <v>100</v>
      </c>
      <c r="T4" s="4" t="s">
        <v>101</v>
      </c>
      <c r="U4" s="4" t="s">
        <v>102</v>
      </c>
      <c r="V4" s="4" t="s">
        <v>103</v>
      </c>
      <c r="W4" s="4"/>
      <c r="X4" s="4"/>
    </row>
    <row r="5" customFormat="false" ht="41.75" hidden="false" customHeight="false" outlineLevel="0" collapsed="false">
      <c r="A5" s="4" t="s">
        <v>104</v>
      </c>
      <c r="B5" s="4" t="s">
        <v>72</v>
      </c>
      <c r="C5" s="4" t="s">
        <v>73</v>
      </c>
      <c r="D5" s="4" t="s">
        <v>105</v>
      </c>
      <c r="E5" s="4" t="s">
        <v>75</v>
      </c>
      <c r="F5" s="7" t="s">
        <v>76</v>
      </c>
      <c r="G5" s="4" t="s">
        <v>106</v>
      </c>
      <c r="H5" s="4" t="s">
        <v>44</v>
      </c>
      <c r="I5" s="4" t="s">
        <v>107</v>
      </c>
      <c r="J5" s="4" t="s">
        <v>108</v>
      </c>
      <c r="K5" s="4"/>
      <c r="L5" s="4" t="s">
        <v>20</v>
      </c>
      <c r="M5" s="4" t="s">
        <v>90</v>
      </c>
      <c r="N5" s="4" t="s">
        <v>23</v>
      </c>
      <c r="O5" s="4" t="s">
        <v>109</v>
      </c>
      <c r="P5" s="4" t="s">
        <v>110</v>
      </c>
      <c r="Q5" s="4" t="s">
        <v>90</v>
      </c>
      <c r="R5" s="4" t="s">
        <v>72</v>
      </c>
      <c r="S5" s="4" t="s">
        <v>111</v>
      </c>
      <c r="T5" s="4" t="s">
        <v>112</v>
      </c>
      <c r="U5" s="4" t="s">
        <v>81</v>
      </c>
      <c r="V5" s="4" t="s">
        <v>113</v>
      </c>
      <c r="W5" s="4" t="s">
        <v>72</v>
      </c>
      <c r="X5" s="4"/>
    </row>
    <row r="6" customFormat="false" ht="41.75" hidden="false" customHeight="false" outlineLevel="0" collapsed="false">
      <c r="A6" s="4" t="s">
        <v>114</v>
      </c>
      <c r="B6" s="4" t="s">
        <v>72</v>
      </c>
      <c r="C6" s="4" t="s">
        <v>73</v>
      </c>
      <c r="D6" s="4" t="s">
        <v>115</v>
      </c>
      <c r="E6" s="4" t="s">
        <v>75</v>
      </c>
      <c r="F6" s="7" t="s">
        <v>76</v>
      </c>
      <c r="G6" s="4" t="s">
        <v>116</v>
      </c>
      <c r="H6" s="4" t="s">
        <v>44</v>
      </c>
      <c r="I6" s="4" t="s">
        <v>117</v>
      </c>
      <c r="J6" s="4" t="s">
        <v>118</v>
      </c>
      <c r="K6" s="4" t="s">
        <v>119</v>
      </c>
      <c r="L6" s="4" t="s">
        <v>20</v>
      </c>
      <c r="M6" s="4"/>
      <c r="N6" s="4"/>
      <c r="O6" s="4"/>
      <c r="P6" s="4"/>
      <c r="Q6" s="4"/>
      <c r="R6" s="4"/>
      <c r="S6" s="4"/>
      <c r="T6" s="4"/>
      <c r="U6" s="4" t="s">
        <v>81</v>
      </c>
      <c r="V6" s="4" t="s">
        <v>120</v>
      </c>
      <c r="W6" s="4" t="s">
        <v>72</v>
      </c>
      <c r="X6" s="4" t="s">
        <v>83</v>
      </c>
    </row>
  </sheetData>
  <conditionalFormatting sqref="A2:X6">
    <cfRule type="expression" priority="2" aboveAverage="0" equalAverage="0" bottom="0" percent="0" rank="0" text="" dxfId="6">
      <formula>$U2="yes"</formula>
    </cfRule>
    <cfRule type="expression" priority="3" aboveAverage="0" equalAverage="0" bottom="0" percent="0" rank="0" text="" dxfId="7">
      <formula>$U2="no"</formula>
    </cfRule>
    <cfRule type="expression" priority="4" aboveAverage="0" equalAverage="0" bottom="0" percent="0" rank="0" text="" dxfId="8">
      <formula>$L2="waiting_on_owner"</formula>
    </cfRule>
  </conditionalFormatting>
  <hyperlinks>
    <hyperlink ref="F2" r:id="rId1" display="open thread"/>
    <hyperlink ref="F3" r:id="rId2" display="open thread"/>
    <hyperlink ref="F4" r:id="rId3" display="open thread"/>
    <hyperlink ref="F5" r:id="rId4" display="open thread"/>
    <hyperlink ref="F6" r:id="rId5" display="open thre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6"/>
    <col collapsed="false" customWidth="true" hidden="false" outlineLevel="0" max="5" min="4" style="0" width="45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7"/>
    <col collapsed="false" customWidth="true" hidden="false" outlineLevel="0" max="9" min="9" style="0" width="9"/>
  </cols>
  <sheetData>
    <row r="1" customFormat="false" ht="28.35" hidden="false" customHeight="false" outlineLevel="0" collapsed="false">
      <c r="A1" s="5" t="s">
        <v>49</v>
      </c>
      <c r="B1" s="5" t="s">
        <v>51</v>
      </c>
      <c r="C1" s="5" t="s">
        <v>35</v>
      </c>
      <c r="D1" s="5" t="s">
        <v>55</v>
      </c>
      <c r="E1" s="5" t="s">
        <v>62</v>
      </c>
      <c r="F1" s="5" t="s">
        <v>63</v>
      </c>
      <c r="G1" s="5" t="s">
        <v>65</v>
      </c>
      <c r="H1" s="5" t="s">
        <v>66</v>
      </c>
      <c r="I1" s="5" t="s">
        <v>67</v>
      </c>
    </row>
    <row r="2" customFormat="false" ht="55.2" hidden="false" customHeight="false" outlineLevel="0" collapsed="false">
      <c r="A2" s="4" t="s">
        <v>83</v>
      </c>
      <c r="B2" s="4" t="s">
        <v>73</v>
      </c>
      <c r="C2" s="4" t="s">
        <v>44</v>
      </c>
      <c r="D2" s="4" t="s">
        <v>84</v>
      </c>
      <c r="E2" s="4" t="s">
        <v>89</v>
      </c>
      <c r="F2" s="4" t="s">
        <v>90</v>
      </c>
      <c r="G2" s="4" t="s">
        <v>91</v>
      </c>
      <c r="H2" s="4" t="s">
        <v>92</v>
      </c>
      <c r="I2" s="4" t="s">
        <v>81</v>
      </c>
    </row>
    <row r="3" customFormat="false" ht="41.75" hidden="false" customHeight="false" outlineLevel="0" collapsed="false">
      <c r="A3" s="4" t="s">
        <v>93</v>
      </c>
      <c r="B3" s="4" t="s">
        <v>73</v>
      </c>
      <c r="C3" s="4" t="s">
        <v>45</v>
      </c>
      <c r="D3" s="4" t="s">
        <v>94</v>
      </c>
      <c r="E3" s="4" t="s">
        <v>99</v>
      </c>
      <c r="F3" s="4" t="s">
        <v>97</v>
      </c>
      <c r="G3" s="4" t="s">
        <v>100</v>
      </c>
      <c r="H3" s="4" t="s">
        <v>101</v>
      </c>
      <c r="I3" s="4" t="s">
        <v>102</v>
      </c>
    </row>
    <row r="4" customFormat="false" ht="41.75" hidden="false" customHeight="false" outlineLevel="0" collapsed="false">
      <c r="A4" s="4" t="s">
        <v>104</v>
      </c>
      <c r="B4" s="4" t="s">
        <v>73</v>
      </c>
      <c r="C4" s="4" t="s">
        <v>44</v>
      </c>
      <c r="D4" s="4" t="s">
        <v>106</v>
      </c>
      <c r="E4" s="4" t="s">
        <v>110</v>
      </c>
      <c r="F4" s="4" t="s">
        <v>90</v>
      </c>
      <c r="G4" s="4" t="s">
        <v>111</v>
      </c>
      <c r="H4" s="4" t="s">
        <v>112</v>
      </c>
      <c r="I4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5" min="5" style="0" width="110"/>
  </cols>
  <sheetData>
    <row r="1" customFormat="false" ht="15" hidden="false" customHeight="false" outlineLevel="0" collapsed="false">
      <c r="A1" s="8" t="s">
        <v>121</v>
      </c>
      <c r="B1" s="8" t="s">
        <v>55</v>
      </c>
      <c r="C1" s="8" t="s">
        <v>122</v>
      </c>
      <c r="D1" s="8" t="s">
        <v>123</v>
      </c>
      <c r="E1" s="8" t="s">
        <v>124</v>
      </c>
    </row>
    <row r="2" customFormat="false" ht="28.35" hidden="false" customHeight="false" outlineLevel="0" collapsed="false">
      <c r="A2" s="4" t="s">
        <v>72</v>
      </c>
      <c r="B2" s="4" t="s">
        <v>71</v>
      </c>
      <c r="C2" s="4" t="s">
        <v>74</v>
      </c>
      <c r="D2" s="4" t="s">
        <v>125</v>
      </c>
      <c r="E2" s="4" t="s">
        <v>77</v>
      </c>
    </row>
    <row r="3" customFormat="false" ht="55.2" hidden="false" customHeight="false" outlineLevel="0" collapsed="false">
      <c r="A3" s="4" t="s">
        <v>72</v>
      </c>
      <c r="B3" s="4" t="s">
        <v>71</v>
      </c>
      <c r="C3" s="4" t="s">
        <v>126</v>
      </c>
      <c r="D3" s="4" t="s">
        <v>127</v>
      </c>
      <c r="E3" s="4" t="s">
        <v>128</v>
      </c>
    </row>
    <row r="4" customFormat="false" ht="28.35" hidden="false" customHeight="false" outlineLevel="0" collapsed="false">
      <c r="A4" s="4" t="s">
        <v>72</v>
      </c>
      <c r="B4" s="4" t="s">
        <v>71</v>
      </c>
      <c r="C4" s="4" t="s">
        <v>74</v>
      </c>
      <c r="D4" s="4" t="s">
        <v>129</v>
      </c>
      <c r="E4" s="4" t="s">
        <v>130</v>
      </c>
    </row>
    <row r="5" customFormat="false" ht="28.35" hidden="false" customHeight="false" outlineLevel="0" collapsed="false">
      <c r="A5" s="4" t="s">
        <v>72</v>
      </c>
      <c r="B5" s="4" t="s">
        <v>83</v>
      </c>
      <c r="C5" s="4" t="s">
        <v>74</v>
      </c>
      <c r="D5" s="4" t="s">
        <v>125</v>
      </c>
      <c r="E5" s="4" t="s">
        <v>84</v>
      </c>
    </row>
    <row r="6" customFormat="false" ht="55.2" hidden="false" customHeight="false" outlineLevel="0" collapsed="false">
      <c r="A6" s="4" t="s">
        <v>72</v>
      </c>
      <c r="B6" s="4" t="s">
        <v>83</v>
      </c>
      <c r="C6" s="4" t="s">
        <v>126</v>
      </c>
      <c r="D6" s="4" t="s">
        <v>131</v>
      </c>
      <c r="E6" s="4" t="s">
        <v>132</v>
      </c>
    </row>
    <row r="7" customFormat="false" ht="28.35" hidden="false" customHeight="false" outlineLevel="0" collapsed="false">
      <c r="A7" s="4" t="s">
        <v>72</v>
      </c>
      <c r="B7" s="4" t="s">
        <v>83</v>
      </c>
      <c r="C7" s="4" t="s">
        <v>126</v>
      </c>
      <c r="D7" s="4" t="s">
        <v>133</v>
      </c>
      <c r="E7" s="4" t="s">
        <v>134</v>
      </c>
    </row>
    <row r="8" customFormat="false" ht="55.2" hidden="false" customHeight="false" outlineLevel="0" collapsed="false">
      <c r="A8" s="4" t="s">
        <v>72</v>
      </c>
      <c r="B8" s="4" t="s">
        <v>83</v>
      </c>
      <c r="C8" s="4" t="s">
        <v>90</v>
      </c>
      <c r="D8" s="4" t="s">
        <v>135</v>
      </c>
      <c r="E8" s="4" t="s">
        <v>136</v>
      </c>
    </row>
    <row r="9" customFormat="false" ht="28.35" hidden="false" customHeight="false" outlineLevel="0" collapsed="false">
      <c r="A9" s="4" t="s">
        <v>72</v>
      </c>
      <c r="B9" s="4" t="s">
        <v>83</v>
      </c>
      <c r="C9" s="4" t="s">
        <v>74</v>
      </c>
      <c r="D9" s="4" t="s">
        <v>129</v>
      </c>
      <c r="E9" s="4" t="s">
        <v>130</v>
      </c>
    </row>
    <row r="10" customFormat="false" ht="28.35" hidden="false" customHeight="false" outlineLevel="0" collapsed="false">
      <c r="A10" s="4" t="s">
        <v>72</v>
      </c>
      <c r="B10" s="4" t="s">
        <v>93</v>
      </c>
      <c r="C10" s="4" t="s">
        <v>74</v>
      </c>
      <c r="D10" s="4" t="s">
        <v>125</v>
      </c>
      <c r="E10" s="4" t="s">
        <v>94</v>
      </c>
    </row>
    <row r="11" customFormat="false" ht="41.75" hidden="false" customHeight="false" outlineLevel="0" collapsed="false">
      <c r="A11" s="4" t="s">
        <v>72</v>
      </c>
      <c r="B11" s="4" t="s">
        <v>93</v>
      </c>
      <c r="C11" s="4" t="s">
        <v>126</v>
      </c>
      <c r="D11" s="4" t="s">
        <v>137</v>
      </c>
      <c r="E11" s="4" t="s">
        <v>138</v>
      </c>
    </row>
    <row r="12" customFormat="false" ht="41.75" hidden="false" customHeight="false" outlineLevel="0" collapsed="false">
      <c r="A12" s="4" t="s">
        <v>72</v>
      </c>
      <c r="B12" s="4" t="s">
        <v>93</v>
      </c>
      <c r="C12" s="4" t="s">
        <v>97</v>
      </c>
      <c r="D12" s="4" t="s">
        <v>135</v>
      </c>
      <c r="E12" s="4" t="s">
        <v>139</v>
      </c>
    </row>
    <row r="13" customFormat="false" ht="28.35" hidden="false" customHeight="false" outlineLevel="0" collapsed="false">
      <c r="A13" s="4" t="s">
        <v>72</v>
      </c>
      <c r="B13" s="4" t="s">
        <v>93</v>
      </c>
      <c r="C13" s="4" t="s">
        <v>74</v>
      </c>
      <c r="D13" s="4" t="s">
        <v>140</v>
      </c>
      <c r="E13" s="4" t="s">
        <v>141</v>
      </c>
    </row>
    <row r="14" customFormat="false" ht="28.35" hidden="false" customHeight="false" outlineLevel="0" collapsed="false">
      <c r="A14" s="4" t="s">
        <v>72</v>
      </c>
      <c r="B14" s="4" t="s">
        <v>93</v>
      </c>
      <c r="C14" s="4" t="s">
        <v>74</v>
      </c>
      <c r="D14" s="4" t="s">
        <v>140</v>
      </c>
      <c r="E14" s="4" t="s">
        <v>142</v>
      </c>
    </row>
    <row r="15" customFormat="false" ht="41.75" hidden="false" customHeight="false" outlineLevel="0" collapsed="false">
      <c r="A15" s="4" t="s">
        <v>72</v>
      </c>
      <c r="B15" s="4" t="s">
        <v>93</v>
      </c>
      <c r="C15" s="4" t="s">
        <v>126</v>
      </c>
      <c r="D15" s="4" t="s">
        <v>137</v>
      </c>
      <c r="E15" s="4" t="s">
        <v>143</v>
      </c>
    </row>
    <row r="16" customFormat="false" ht="28.35" hidden="false" customHeight="false" outlineLevel="0" collapsed="false">
      <c r="A16" s="4" t="s">
        <v>72</v>
      </c>
      <c r="B16" s="4" t="s">
        <v>104</v>
      </c>
      <c r="C16" s="4" t="s">
        <v>105</v>
      </c>
      <c r="D16" s="4" t="s">
        <v>125</v>
      </c>
      <c r="E16" s="4" t="s">
        <v>106</v>
      </c>
    </row>
    <row r="17" customFormat="false" ht="41.75" hidden="false" customHeight="false" outlineLevel="0" collapsed="false">
      <c r="A17" s="4" t="s">
        <v>72</v>
      </c>
      <c r="B17" s="4" t="s">
        <v>104</v>
      </c>
      <c r="C17" s="4" t="s">
        <v>126</v>
      </c>
      <c r="D17" s="4" t="s">
        <v>131</v>
      </c>
      <c r="E17" s="4" t="s">
        <v>144</v>
      </c>
    </row>
    <row r="18" customFormat="false" ht="41.75" hidden="false" customHeight="false" outlineLevel="0" collapsed="false">
      <c r="A18" s="4" t="s">
        <v>72</v>
      </c>
      <c r="B18" s="4" t="s">
        <v>104</v>
      </c>
      <c r="C18" s="4" t="s">
        <v>90</v>
      </c>
      <c r="D18" s="4" t="s">
        <v>135</v>
      </c>
      <c r="E18" s="4" t="s">
        <v>145</v>
      </c>
    </row>
    <row r="19" customFormat="false" ht="28.35" hidden="false" customHeight="false" outlineLevel="0" collapsed="false">
      <c r="A19" s="4" t="s">
        <v>72</v>
      </c>
      <c r="B19" s="4" t="s">
        <v>104</v>
      </c>
      <c r="C19" s="4" t="s">
        <v>105</v>
      </c>
      <c r="D19" s="4" t="s">
        <v>129</v>
      </c>
      <c r="E19" s="4" t="s">
        <v>146</v>
      </c>
    </row>
    <row r="20" customFormat="false" ht="28.35" hidden="false" customHeight="false" outlineLevel="0" collapsed="false">
      <c r="A20" s="4" t="s">
        <v>72</v>
      </c>
      <c r="B20" s="4" t="s">
        <v>114</v>
      </c>
      <c r="C20" s="4" t="s">
        <v>115</v>
      </c>
      <c r="D20" s="4" t="s">
        <v>125</v>
      </c>
      <c r="E20" s="4" t="s">
        <v>116</v>
      </c>
    </row>
    <row r="21" customFormat="false" ht="28.35" hidden="false" customHeight="false" outlineLevel="0" collapsed="false">
      <c r="A21" s="4" t="s">
        <v>72</v>
      </c>
      <c r="B21" s="4" t="s">
        <v>114</v>
      </c>
      <c r="C21" s="4" t="s">
        <v>126</v>
      </c>
      <c r="D21" s="4" t="s">
        <v>127</v>
      </c>
      <c r="E21" s="4" t="s">
        <v>147</v>
      </c>
    </row>
    <row r="22" customFormat="false" ht="28.35" hidden="false" customHeight="false" outlineLevel="0" collapsed="false">
      <c r="A22" s="4" t="s">
        <v>72</v>
      </c>
      <c r="B22" s="4" t="s">
        <v>114</v>
      </c>
      <c r="C22" s="4" t="s">
        <v>115</v>
      </c>
      <c r="D22" s="4" t="s">
        <v>129</v>
      </c>
      <c r="E22" s="4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2026-10-02T20:18:41Z</dcterms:created>
  <dc:creator>openpyxl</dc:creator>
  <dc:description/>
  <dc:language>en-US</dc:language>
  <cp:lastModifiedBy/>
  <dcterms:modified xsi:type="dcterms:W3CDTF">2026-10-02T20:18:41Z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