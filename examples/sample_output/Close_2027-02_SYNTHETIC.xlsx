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9.xml" ContentType="application/vnd.openxmlformats-officedocument.spreadsheetml.worksheet+xml"/>
  <Override PartName="/xl/worksheets/sheet1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" sheetId="1" state="visible" r:id="rId3"/>
    <sheet name="Summary" sheetId="2" state="visible" r:id="rId4"/>
    <sheet name="Checks" sheetId="3" state="visible" r:id="rId5"/>
    <sheet name="Monthly" sheetId="4" state="visible" r:id="rId6"/>
    <sheet name="UseCases" sheetId="5" state="visible" r:id="rId7"/>
    <sheet name="Cohorts" sheetId="6" state="visible" r:id="rId8"/>
    <sheet name="Enterprise" sheetId="7" state="visible" r:id="rId9"/>
    <sheet name="Concentration" sheetId="8" state="visible" r:id="rId10"/>
    <sheet name="Forecast" sheetId="9" state="visible" r:id="rId11"/>
    <sheet name="Forecast_Ent" sheetId="10" state="visible" r:id="rId12"/>
    <sheet name="Capacity" sheetId="11" state="visible" r:id="rId13"/>
    <sheet name="Overrides" sheetId="12" state="visible" r:id="rId14"/>
    <sheet name="Data_Params" sheetId="13" state="visible" r:id="rId15"/>
    <sheet name="Data_Months" sheetId="14" state="visible" r:id="rId16"/>
    <sheet name="Data_Monthly" sheetId="15" state="visible" r:id="rId17"/>
    <sheet name="Data_Lists" sheetId="16" state="visible" r:id="rId18"/>
    <sheet name="Data_UseCase" sheetId="17" state="visible" r:id="rId19"/>
    <sheet name="Data_InferenceAcc" sheetId="18" state="visible" r:id="rId20"/>
    <sheet name="Data_Cohort" sheetId="19" state="visible" r:id="rId21"/>
    <sheet name="Data_EarlierCohorts" sheetId="20" state="visible" r:id="rId22"/>
    <sheet name="Data_Signups" sheetId="21" state="visible" r:id="rId23"/>
    <sheet name="Data_Contracts" sheetId="22" state="visible" r:id="rId24"/>
    <sheet name="Data_EntMonth" sheetId="23" state="visible" r:id="rId25"/>
    <sheet name="Data_Pipeline" sheetId="24" state="visible" r:id="rId26"/>
    <sheet name="Data_Concentration" sheetId="25" state="visible" r:id="rId27"/>
    <sheet name="Data_Checks" sheetId="26" state="visible" r:id="rId28"/>
    <sheet name="Data_Reliability" sheetId="27" state="visible" r:id="rId29"/>
    <sheet name="Data_Hourly" sheetId="28" state="visible" r:id="rId30"/>
    <sheet name="Data_FcHistory" sheetId="29" state="visible" r:id="rId3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<sst xmlns="http://schemas.openxmlformats.org/spreadsheetml/2006/main" count="3970" uniqueCount="1265">
  <si>
    <t xml:space="preserve">Monthly close workbook</t>
  </si>
  <si>
    <t xml:space="preserve">How this workbook works</t>
  </si>
  <si>
    <t xml:space="preserve">1. Numbers enter only through the grey Data_ tabs. The runner fills them from your sources; you can also paste query results by hand.</t>
  </si>
  <si>
    <t xml:space="preserve">2. Every other tab is formulas reading the Data_ tabs for a 12-month window ending at the as-of month.</t>
  </si>
  <si>
    <t xml:space="preserve">3. Judgment inputs (forecast and capacity) live on the Overrides tab, seeded from config.yaml. Type an override in a yellow cell to test a scenario.</t>
  </si>
  <si>
    <t xml:space="preserve">   Bad entries are ignored, not fatal: a word, an error or an out-of-range number falls back to the model value. Set the switch on Overrides to OFF to undo every override at once.</t>
  </si>
  <si>
    <t xml:space="preserve">4. Grey-shaded cells on Checks and Summary are for people and the agent: owners, explanations, commentary.</t>
  </si>
  <si>
    <t xml:space="preserve">This close</t>
  </si>
  <si>
    <t xml:space="preserve">As-of month</t>
  </si>
  <si>
    <t xml:space="preserve">Generated</t>
  </si>
  <si>
    <t xml:space="preserve">Usage grain</t>
  </si>
  <si>
    <t xml:space="preserve">Sources connected</t>
  </si>
  <si>
    <t xml:space="preserve">Usage data from</t>
  </si>
  <si>
    <t xml:space="preserve">Usage data to</t>
  </si>
  <si>
    <t xml:space="preserve">Checks flagged</t>
  </si>
  <si>
    <t xml:space="preserve">Overrides</t>
  </si>
  <si>
    <t xml:space="preserve">Color key: blue = input, black = formula, green = link to another tab, yellow = key assumption, grey tab = data.</t>
  </si>
  <si>
    <t xml:space="preserve">Formulas only. Start here, then Checks. Every figure traces to a Data_ sheet and from there to a query in /sql.</t>
  </si>
  <si>
    <t xml:space="preserve">Sources</t>
  </si>
  <si>
    <t xml:space="preserve">Metric</t>
  </si>
  <si>
    <t xml:space="preserve">Billable tokens per day (B)</t>
  </si>
  <si>
    <t xml:space="preserve">Growth in tokens per day</t>
  </si>
  <si>
    <t xml:space="preserve">Net revenue ($k)</t>
  </si>
  <si>
    <t xml:space="preserve">Annualized run-rate ($k)</t>
  </si>
  <si>
    <t xml:space="preserve">Enterprise share of revenue</t>
  </si>
  <si>
    <t xml:space="preserve">Realized net price per M tokens</t>
  </si>
  <si>
    <t xml:space="preserve">Active accounts</t>
  </si>
  <si>
    <t xml:space="preserve">Paying accounts</t>
  </si>
  <si>
    <t xml:space="preserve">Failed calls (not billed)</t>
  </si>
  <si>
    <t xml:space="preserve">Close checks</t>
  </si>
  <si>
    <t xml:space="preserve">Flagged for review</t>
  </si>
  <si>
    <t xml:space="preserve">Informational</t>
  </si>
  <si>
    <t xml:space="preserve">Skipped (source not connected)</t>
  </si>
  <si>
    <t xml:space="preserve">Passed</t>
  </si>
  <si>
    <t xml:space="preserve">  $ impact of flagged items</t>
  </si>
  <si>
    <t xml:space="preserve">Forecast, tokens per day (B)</t>
  </si>
  <si>
    <t xml:space="preserve">Scenario</t>
  </si>
  <si>
    <t xml:space="preserve">Low</t>
  </si>
  <si>
    <t xml:space="preserve">Base</t>
  </si>
  <si>
    <t xml:space="preserve">High</t>
  </si>
  <si>
    <t xml:space="preserve">Net revenue, base ($k)</t>
  </si>
  <si>
    <t xml:space="preserve">Last month's forecast vs actual (total)</t>
  </si>
  <si>
    <t xml:space="preserve">GPUs to reserve for serving</t>
  </si>
  <si>
    <t xml:space="preserve">Commentary (written by finance, or drafted by the agent per AGENT_BRIEF.md and reviewed before it goes anywhere)</t>
  </si>
  <si>
    <t xml:space="preserve">Rules in sql/50_checks.sql (Data_Checks). FLAG = a person must look. Columns I-L are for people and the agent; they are not overwritten by formulas.</t>
  </si>
  <si>
    <t xml:space="preserve">#</t>
  </si>
  <si>
    <t xml:space="preserve">Check</t>
  </si>
  <si>
    <t xml:space="preserve">Scope</t>
  </si>
  <si>
    <t xml:space="preserve">Expected</t>
  </si>
  <si>
    <t xml:space="preserve">Actual</t>
  </si>
  <si>
    <t xml:space="preserve">$ impact</t>
  </si>
  <si>
    <t xml:space="preserve">Status</t>
  </si>
  <si>
    <t xml:space="preserve">Detail</t>
  </si>
  <si>
    <t xml:space="preserve">Owner</t>
  </si>
  <si>
    <t xml:space="preserve">Next step</t>
  </si>
  <si>
    <t xml:space="preserve">Explanation (agent draft)</t>
  </si>
  <si>
    <t xml:space="preserve">Reviewed by</t>
  </si>
  <si>
    <t xml:space="preserve">Formulas only: every number reads the Data_ sheets. Tokens in billions, $ in thousands.</t>
  </si>
  <si>
    <t xml:space="preserve">Line</t>
  </si>
  <si>
    <t xml:space="preserve">Billable tokens (B)</t>
  </si>
  <si>
    <t xml:space="preserve">Enterprise</t>
  </si>
  <si>
    <t xml:space="preserve">Self-serve</t>
  </si>
  <si>
    <t xml:space="preserve">Gateways that don't pass customer IDs</t>
  </si>
  <si>
    <t xml:space="preserve">Unmatched accounts (fix the accounts source)</t>
  </si>
  <si>
    <t xml:space="preserve">Total billable tokens</t>
  </si>
  <si>
    <t xml:space="preserve">Days of data in month</t>
  </si>
  <si>
    <t xml:space="preserve">Tokens per day (B)</t>
  </si>
  <si>
    <t xml:space="preserve">  Enterprise, per day</t>
  </si>
  <si>
    <t xml:space="preserve">  Self-serve, per day</t>
  </si>
  <si>
    <t xml:space="preserve">  Gateways that don't pass customer IDs, per day</t>
  </si>
  <si>
    <t xml:space="preserve">Growth in tokens per day vs prior month</t>
  </si>
  <si>
    <t xml:space="preserve">Billable tokens by channel (B)</t>
  </si>
  <si>
    <t xml:space="preserve">Manual adjustments (Overrides tab)</t>
  </si>
  <si>
    <t xml:space="preserve">Total net revenue</t>
  </si>
  <si>
    <t xml:space="preserve">  of which enterprise true-ups</t>
  </si>
  <si>
    <t xml:space="preserve">Enterprise share of net revenue</t>
  </si>
  <si>
    <t xml:space="preserve">Realized net price per M tokens ($)</t>
  </si>
  <si>
    <t xml:space="preserve">Other lines</t>
  </si>
  <si>
    <t xml:space="preserve">List value of tokens ($k)</t>
  </si>
  <si>
    <t xml:space="preserve">Free credit used ($k)</t>
  </si>
  <si>
    <t xml:space="preserve">Gateway fees ($k)</t>
  </si>
  <si>
    <t xml:space="preserve">Active accounts (gateways counted once)</t>
  </si>
  <si>
    <t xml:space="preserve">Failed calls as % of all calls (not billed)</t>
  </si>
  <si>
    <t xml:space="preserve">Use case from the customer's project label when mapped (label_map), otherwise inferred from traffic shape (sql/20_use_case_rules.sql).</t>
  </si>
  <si>
    <t xml:space="preserve">Use case (B tokens)</t>
  </si>
  <si>
    <t xml:space="preserve">Share of latest month</t>
  </si>
  <si>
    <t xml:space="preserve">From label, latest month</t>
  </si>
  <si>
    <t xml:space="preserve">Total</t>
  </si>
  <si>
    <t xml:space="preserve">How reliable is the inferred use case? Rules scored on traffic whose label we know</t>
  </si>
  <si>
    <t xml:space="preserve">Use case</t>
  </si>
  <si>
    <t xml:space="preserve">Labelled tokens (B)</t>
  </si>
  <si>
    <t xml:space="preserve">Inferred correctly (B)</t>
  </si>
  <si>
    <t xml:space="preserve">Accuracy</t>
  </si>
  <si>
    <t xml:space="preserve">All labelled traffic</t>
  </si>
  <si>
    <t xml:space="preserve">Low accuracy means the rules in sql/20_use_case_rules.sql don't fit your traffic yet. Recalibrate them, or map more labels.</t>
  </si>
  <si>
    <t xml:space="preserve">Accounts grouped by signup month. Tokens per day (B) so partial months compare fairly. Older cohorts are combined on the Forecast tab.</t>
  </si>
  <si>
    <t xml:space="preserve">Signup cohort</t>
  </si>
  <si>
    <t xml:space="preserve">Signups</t>
  </si>
  <si>
    <t xml:space="preserve">Added payment method</t>
  </si>
  <si>
    <t xml:space="preserve">Month 0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</si>
  <si>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</si>
  <si>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</si>
  <si>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</si>
  <si>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</si>
  <si>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</si>
  <si>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</si>
  <si>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</si>
  <si>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</si>
  <si>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</si>
  <si>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</si>
  <si>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</si>
  <si>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Active accounts as % of signups (retention)</t>
  </si>
  <si>
    <t xml:space="preserve">Read across a row to follow one cohort; read down a column to compare cohorts at the same age.</t>
  </si>
  <si>
    <t xml:space="preserve">Contracts live at the close (Data_Contracts) and usage revenue by month (Data_EntMonth). True-up = commitment minus usage when usage falls short.</t>
  </si>
  <si>
    <t xml:space="preserve">Customer</t>
  </si>
  <si>
    <t xml:space="preserve">Start</t>
  </si>
  <si>
    <t xml:space="preserve">End</t>
  </si>
  <si>
    <t xml:space="preserve">Monthly commit ($)</t>
  </si>
  <si>
    <t xml:space="preserve">Price ($/M)</t>
  </si>
  <si>
    <t xml:space="preserve">Latest month vs commit</t>
  </si>
  <si>
    <t xml:space="preserve">Latest month true-up ($)</t>
  </si>
  <si>
    <t xml:space="preserve">Open pipeline (CRM)</t>
  </si>
  <si>
    <t xml:space="preserve">Deal</t>
  </si>
  <si>
    <t xml:space="preserve">Stage</t>
  </si>
  <si>
    <t xml:space="preserve">Probability</t>
  </si>
  <si>
    <t xml:space="preserve">Expected monthly commit ($)</t>
  </si>
  <si>
    <t xml:space="preserve">Expected start</t>
  </si>
  <si>
    <t xml:space="preserve">Weighted commit ($)</t>
  </si>
  <si>
    <t xml:space="preserve">Use cases</t>
  </si>
  <si>
    <t xml:space="preserve">Top accounts by net revenue. A gateway that doesn't pass customer IDs counts as one account.</t>
  </si>
  <si>
    <t xml:space="preserve">Rank</t>
  </si>
  <si>
    <t xml:space="preserve">Account</t>
  </si>
  <si>
    <t xml:space="preserve">Segment</t>
  </si>
  <si>
    <t xml:space="preserve">Channel</t>
  </si>
  <si>
    <t xml:space="preserve">Net revenue ($)</t>
  </si>
  <si>
    <t xml:space="preserve">Share of revenue</t>
  </si>
  <si>
    <t xml:space="preserve">Cumulative share</t>
  </si>
  <si>
    <t xml:space="preserve">Net revenue, all accounts ($)</t>
  </si>
  <si>
    <t xml:space="preserve">Self-serve by cohort (chain-ladder) + gateway trend + enterprise contracts and pipeline (Forecast_Ent). Green input cells link to the Overrides tab, where the values are set.</t>
  </si>
  <si>
    <t xml:space="preserve">Assumptions</t>
  </si>
  <si>
    <t xml:space="preserve">Input</t>
  </si>
  <si>
    <t xml:space="preserve">Why</t>
  </si>
  <si>
    <t xml:space="preserve">Cohort development factor beyond observed history</t>
  </si>
  <si>
    <t xml:space="preserve">Applies to cohort ages not yet observed, and to the combined older cohorts.</t>
  </si>
  <si>
    <t xml:space="preserve">New signups, monthly growth</t>
  </si>
  <si>
    <t xml:space="preserve">Base = average growth over the last 3 months. Low = flat (blue). High = double.</t>
  </si>
  <si>
    <t xml:space="preserve">Month-0 tokens/day per signup (B)</t>
  </si>
  <si>
    <t xml:space="preserve">Min / average / max of the last 3 cohorts.</t>
  </si>
  <si>
    <t xml:space="preserve">Gateway (no customer IDs) monthly growth</t>
  </si>
  <si>
    <t xml:space="preserve">From last month's growth: low = min(0, it), base = it x decay, high = max(0, it).</t>
  </si>
  <si>
    <t xml:space="preserve">Gateway growth decay (base)</t>
  </si>
  <si>
    <t xml:space="preserve">Judgment: share of last month's growth expected to continue.</t>
  </si>
  <si>
    <t xml:space="preserve">Enterprise steady-state usage vs commitment</t>
  </si>
  <si>
    <t xml:space="preserve">For contracts still ramping. Replace with the account team's view.</t>
  </si>
  <si>
    <t xml:space="preserve">Enterprise monthly growth after ramp</t>
  </si>
  <si>
    <t xml:space="preserve">Enterprise ramp length (days)</t>
  </si>
  <si>
    <t xml:space="preserve">Contracts younger than this ramp toward steady state.</t>
  </si>
  <si>
    <t xml:space="preserve">Self-serve realized $ per M tokens (latest month)</t>
  </si>
  <si>
    <t xml:space="preserve">Net revenue / billable tokens. Below list price because of free credit and gateway fees.</t>
  </si>
  <si>
    <t xml:space="preserve">Gateway (no IDs) realized $ per M tokens (latest month)</t>
  </si>
  <si>
    <t xml:space="preserve">Older cohorts (before window), tokens/day latest month (B)</t>
  </si>
  <si>
    <t xml:space="preserve">Forecast = this x development factor each month.</t>
  </si>
  <si>
    <t xml:space="preserve">Self-serve tokens lost to competitors, per month</t>
  </si>
  <si>
    <t xml:space="preserve">Rival decision APIs (OpenAI Decisions API, AWS Strands Decider). Compounds monthly.</t>
  </si>
  <si>
    <t xml:space="preserve">Self-serve cohort triangle, actuals (B tokens per day)</t>
  </si>
  <si>
    <t xml:space="preserve">Cohort</t>
  </si>
  <si>
    <t xml:space="preserve">Month-0 per signup</t>
  </si>
  <si>
    <t xml:space="preserve">Month-to-month development ratios, by cohort</t>
  </si>
  <si>
    <t xml:space="preserve">0 to 1</t>
  </si>
  <si>
    <t xml:space="preserve">1 to 2</t>
  </si>
  <si>
    <t xml:space="preserve">2 to 3</t>
  </si>
  <si>
    <t xml:space="preserve">3 to 4</t>
  </si>
  <si>
    <t xml:space="preserve">4 to 5</t>
  </si>
  <si>
    <t xml:space="preserve">5 to 6</t>
  </si>
  <si>
    <t xml:space="preserve">6 to 7</t>
  </si>
  <si>
    <t xml:space="preserve">7 to 8</t>
  </si>
  <si>
    <t xml:space="preserve">8 to 9</t>
  </si>
  <si>
    <t xml:space="preserve">9 to 10</t>
  </si>
  <si>
    <t xml:space="preserve">10 to 11</t>
  </si>
  <si>
    <t xml:space="preserve">Projected cohorts, low case (B tokens per day)</t>
  </si>
  <si>
    <t xml:space="preserve">Month 12</t>
  </si>
  <si>
    <t xml:space="preserve">Month 13</t>
  </si>
  <si>
    <t xml:space="preserve">Month 14</t>
  </si>
  <si>
    <t xml:space="preserve">Development factor, month k to k+1</t>
  </si>
  <si>
    <t xml:space="preserve">Projected cohorts, base case (B tokens per day)</t>
  </si>
  <si>
    <t xml:space="preserve">Projected cohorts, high case (B tokens per day)</t>
  </si>
  <si>
    <t xml:space="preserve">Self-serve tokens per day by forecast month (B): sum of each diagonal + older cohorts</t>
  </si>
  <si>
    <t xml:space="preserve">Gateways that don't pass customer IDs: tokens per day (B)</t>
  </si>
  <si>
    <t xml:space="preserve">Last month's growth</t>
  </si>
  <si>
    <t xml:space="preserve">FORECAST SUMMARY</t>
  </si>
  <si>
    <t xml:space="preserve">Self-serve (cohorts + older)</t>
  </si>
  <si>
    <t xml:space="preserve">Gateways without customer IDs</t>
  </si>
  <si>
    <t xml:space="preserve">Enterprise, signed contracts</t>
  </si>
  <si>
    <t xml:space="preserve">Enterprise, pipeline</t>
  </si>
  <si>
    <t xml:space="preserve">Total tokens per day (B)</t>
  </si>
  <si>
    <t xml:space="preserve">Growth vs latest month actual</t>
  </si>
  <si>
    <t xml:space="preserve">Enterprise, signed</t>
  </si>
  <si>
    <t xml:space="preserve">Total net revenue ($k)</t>
  </si>
  <si>
    <t xml:space="preserve">How good was last month's forecast? Latest month actual vs the base forecast stored at the previous close (Data_FcHistory)</t>
  </si>
  <si>
    <t xml:space="preserve">Forecast</t>
  </si>
  <si>
    <t xml:space="preserve">Variance</t>
  </si>
  <si>
    <t xml:space="preserve">Variance %</t>
  </si>
  <si>
    <t xml:space="preserve">Flag (&gt;10%)</t>
  </si>
  <si>
    <t xml:space="preserve">Enterprise (signed + pipeline)</t>
  </si>
  <si>
    <t xml:space="preserve">The runner stores each close's forecast in forecast_history.csv. On the first close it reconstructs the previous close's forecast from data (without pipeline, since no old CRM snapshot exists).</t>
  </si>
  <si>
    <t xml:space="preserve">Contracts: last-7-day run-rate ramping toward commitment x usage ratio for young contracts, then monthly growth. Pipeline: probability-weighted with the same ramp.</t>
  </si>
  <si>
    <t xml:space="preserve">Month helpers</t>
  </si>
  <si>
    <t xml:space="preserve">Forecast month</t>
  </si>
  <si>
    <t xml:space="preserve">Close date</t>
  </si>
  <si>
    <t xml:space="preserve">First day</t>
  </si>
  <si>
    <t xml:space="preserve">Last day</t>
  </si>
  <si>
    <t xml:space="preserve">List price ($/M)</t>
  </si>
  <si>
    <t xml:space="preserve">Days</t>
  </si>
  <si>
    <t xml:space="preserve">Months after close</t>
  </si>
  <si>
    <t xml:space="preserve">Signed contracts: tokens per day (B)</t>
  </si>
  <si>
    <t xml:space="preserve">Age at close (days)</t>
  </si>
  <si>
    <t xml:space="preserve">Last 7 days, tokens/day (B)</t>
  </si>
  <si>
    <t xml:space="preserve">Steady state, low</t>
  </si>
  <si>
    <t xml:space="preserve">Steady state, base</t>
  </si>
  <si>
    <t xml:space="preserve">Steady state, high</t>
  </si>
  <si>
    <t xml:space="preserve">Low M+1</t>
  </si>
  <si>
    <t xml:space="preserve">Low M+2</t>
  </si>
  <si>
    <t xml:space="preserve">Low M+3</t>
  </si>
  <si>
    <t xml:space="preserve">Base M+1</t>
  </si>
  <si>
    <t xml:space="preserve">Base M+2</t>
  </si>
  <si>
    <t xml:space="preserve">Base M+3</t>
  </si>
  <si>
    <t xml:space="preserve">High M+1</t>
  </si>
  <si>
    <t xml:space="preserve">High M+2</t>
  </si>
  <si>
    <t xml:space="preserve">High M+3</t>
  </si>
  <si>
    <t xml:space="preserve">Signed contracts: revenue ($) = greater of usage x price and the commitment</t>
  </si>
  <si>
    <t xml:space="preserve">Open pipeline: low = none, base = probability-weighted, high = deals at 50%+ counted in full</t>
  </si>
  <si>
    <t xml:space="preserve">Expected commit ($)</t>
  </si>
  <si>
    <t xml:space="preserve">Discount</t>
  </si>
  <si>
    <t xml:space="preserve">Steady tokens/day (B)</t>
  </si>
  <si>
    <t xml:space="preserve">Weight low</t>
  </si>
  <si>
    <t xml:space="preserve">Weight base</t>
  </si>
  <si>
    <t xml:space="preserve">Weight high</t>
  </si>
  <si>
    <t xml:space="preserve">Active days M+1</t>
  </si>
  <si>
    <t xml:space="preserve">Avg ramp M+1</t>
  </si>
  <si>
    <t xml:space="preserve">Active days M+2</t>
  </si>
  <si>
    <t xml:space="preserve">Avg ramp M+2</t>
  </si>
  <si>
    <t xml:space="preserve">Active days M+3</t>
  </si>
  <si>
    <t xml:space="preserve">Avg ramp M+3</t>
  </si>
  <si>
    <t xml:space="preserve">Open pipeline: tokens per day (B) and revenue ($)</t>
  </si>
  <si>
    <t xml:space="preserve">Revenue ($)</t>
  </si>
  <si>
    <t xml:space="preserve">Inference serving only. Peak and base ratios come from Data_Hourly when hourly data exists; otherwise the override inputs are used.</t>
  </si>
  <si>
    <t xml:space="preserve">Inputs</t>
  </si>
  <si>
    <t xml:space="preserve">Value (set on Overrides)</t>
  </si>
  <si>
    <t xml:space="preserve">Source / why</t>
  </si>
  <si>
    <t xml:space="preserve">Tokens per second per busy GPU</t>
  </si>
  <si>
    <t xml:space="preserve">Replace with measured serving throughput. Placeholder from the outside-in model: H100, BF16, 8B params.</t>
  </si>
  <si>
    <t xml:space="preserve">Target utilization at peak</t>
  </si>
  <si>
    <t xml:space="preserve">Headroom for the latency promise and bursts.</t>
  </si>
  <si>
    <t xml:space="preserve">Reserved rate ($ / GPU-hour)</t>
  </si>
  <si>
    <t xml:space="preserve">Market placeholder (Oct 2026, ~32% below on-demand). Replace with the contracted rate.</t>
  </si>
  <si>
    <t xml:space="preserve">On-demand rate ($ / GPU-hour)</t>
  </si>
  <si>
    <t xml:space="preserve">Market placeholder (Oct 2026): H100 at specialist GPU clouds. Same provider tier as reserved.</t>
  </si>
  <si>
    <t xml:space="preserve">Peak hour / average (override if no hourly data)</t>
  </si>
  <si>
    <t xml:space="preserve">Used only when Data_Hourly is empty.</t>
  </si>
  <si>
    <t xml:space="preserve">Quietest hour / average (override if no hourly data)</t>
  </si>
  <si>
    <t xml:space="preserve">Peak hour / average (used)</t>
  </si>
  <si>
    <t xml:space="preserve">Last 7 days of the as-of month.</t>
  </si>
  <si>
    <t xml:space="preserve">Quietest hour / average (used)</t>
  </si>
  <si>
    <t xml:space="preserve">Last 7 days: tokens per day (B)</t>
  </si>
  <si>
    <t xml:space="preserve">GPUs needed by month and scenario</t>
  </si>
  <si>
    <t xml:space="preserve">Average tokens/sec</t>
  </si>
  <si>
    <t xml:space="preserve">Peak-hour tokens/sec</t>
  </si>
  <si>
    <t xml:space="preserve">Base-load tokens/sec</t>
  </si>
  <si>
    <t xml:space="preserve">GPUs at peak</t>
  </si>
  <si>
    <t xml:space="preserve">GPUs for base load</t>
  </si>
  <si>
    <t xml:space="preserve">Recommendation</t>
  </si>
  <si>
    <t xml:space="preserve">Reserve: base-load GPUs in the LOW case, next month (capacity that stays busy)</t>
  </si>
  <si>
    <t xml:space="preserve">Base case peak on top of that, rented on demand</t>
  </si>
  <si>
    <t xml:space="preserve">High case peak: on-demand headroom to line up with the provider</t>
  </si>
  <si>
    <t xml:space="preserve">Monthly serving cost, base case: three ways to buy the same capacity</t>
  </si>
  <si>
    <t xml:space="preserve">Strategy</t>
  </si>
  <si>
    <t xml:space="preserve">How it's calculated</t>
  </si>
  <si>
    <t xml:space="preserve">Reserve the base, rent the peaks</t>
  </si>
  <si>
    <t xml:space="preserve">Reserved GPUs x all hours x reserved rate + GPU-hours above that each hour x on-demand</t>
  </si>
  <si>
    <t xml:space="preserve">Reserve enough for the peak</t>
  </si>
  <si>
    <t xml:space="preserve">Peak GPUs x all hours x reserved rate (idle off-peak)</t>
  </si>
  <si>
    <t xml:space="preserve">Rent everything on demand</t>
  </si>
  <si>
    <t xml:space="preserve">GPU-hours needed each hour x on-demand rate</t>
  </si>
  <si>
    <t xml:space="preserve">Base-case net revenue ($)</t>
  </si>
  <si>
    <t xml:space="preserve">Serving gross margin, recommended strategy</t>
  </si>
  <si>
    <t xml:space="preserve">Inference compute only: excludes training, networking, storage and on-call staff. Hourly need = the last 7 days' hourly shape scaled to each month's volume.</t>
  </si>
  <si>
    <t xml:space="preserve">Type in the yellow cells only. Every override is checked: a blank, a word, an error or a value outside the allowed range is ignored and the model value is used.</t>
  </si>
  <si>
    <t xml:space="preserve">Master switch</t>
  </si>
  <si>
    <t xml:space="preserve">ON</t>
  </si>
  <si>
    <t xml:space="preserve">ON = use the overrides and adjustments below. OFF = every tab goes back to the model values; nothing typed here is lost.</t>
  </si>
  <si>
    <t xml:space="preserve">Active now</t>
  </si>
  <si>
    <t xml:space="preserve">Key</t>
  </si>
  <si>
    <t xml:space="preserve">Model value</t>
  </si>
  <si>
    <t xml:space="preserve">Override</t>
  </si>
  <si>
    <t xml:space="preserve">Used</t>
  </si>
  <si>
    <t xml:space="preserve">Allowed range</t>
  </si>
  <si>
    <t xml:space="preserve">Why / who / date</t>
  </si>
  <si>
    <t xml:space="preserve">tail_factor.low</t>
  </si>
  <si>
    <t xml:space="preserve">Forecast: Cohort development factor beyond observed history, low</t>
  </si>
  <si>
    <t xml:space="preserve">0.5 to 1.5</t>
  </si>
  <si>
    <t xml:space="preserve">tail_factor.base</t>
  </si>
  <si>
    <t xml:space="preserve">Forecast: Cohort development factor beyond observed history, base</t>
  </si>
  <si>
    <t xml:space="preserve">tail_factor.high</t>
  </si>
  <si>
    <t xml:space="preserve">Forecast: Cohort development factor beyond observed history, high</t>
  </si>
  <si>
    <t xml:space="preserve">ent_usage_ratio.low</t>
  </si>
  <si>
    <t xml:space="preserve">Forecast: Enterprise steady-state usage vs commitment, low</t>
  </si>
  <si>
    <t xml:space="preserve">0 to 3</t>
  </si>
  <si>
    <t xml:space="preserve">ent_usage_ratio.base</t>
  </si>
  <si>
    <t xml:space="preserve">Forecast: Enterprise steady-state usage vs commitment, base</t>
  </si>
  <si>
    <t xml:space="preserve">ent_usage_ratio.high</t>
  </si>
  <si>
    <t xml:space="preserve">Forecast: Enterprise steady-state usage vs commitment, high</t>
  </si>
  <si>
    <t xml:space="preserve">ent_growth.low</t>
  </si>
  <si>
    <t xml:space="preserve">Forecast: Enterprise monthly growth after ramp, low</t>
  </si>
  <si>
    <t xml:space="preserve">-0.5 to 1</t>
  </si>
  <si>
    <t xml:space="preserve">ent_growth.base</t>
  </si>
  <si>
    <t xml:space="preserve">Forecast: Enterprise monthly growth after ramp, base</t>
  </si>
  <si>
    <t xml:space="preserve">ent_growth.high</t>
  </si>
  <si>
    <t xml:space="preserve">Forecast: Enterprise monthly growth after ramp, high</t>
  </si>
  <si>
    <t xml:space="preserve">competitor_churn.low</t>
  </si>
  <si>
    <t xml:space="preserve">Forecast: Self-serve tokens lost to competitors, per month, low</t>
  </si>
  <si>
    <t xml:space="preserve">0 to 0.5</t>
  </si>
  <si>
    <t xml:space="preserve">competitor_churn.base</t>
  </si>
  <si>
    <t xml:space="preserve">Forecast: Self-serve tokens lost to competitors, per month, base</t>
  </si>
  <si>
    <t xml:space="preserve">competitor_churn.high</t>
  </si>
  <si>
    <t xml:space="preserve">Forecast: Self-serve tokens lost to competitors, per month, high</t>
  </si>
  <si>
    <t xml:space="preserve">signup_growth.low</t>
  </si>
  <si>
    <t xml:space="preserve">Forecast: new signups monthly growth, low</t>
  </si>
  <si>
    <t xml:space="preserve">gateway_growth_decay</t>
  </si>
  <si>
    <t xml:space="preserve">Forecast: gateway growth decay (base)</t>
  </si>
  <si>
    <t xml:space="preserve">0 to 2</t>
  </si>
  <si>
    <t xml:space="preserve">ent_ramp_days</t>
  </si>
  <si>
    <t xml:space="preserve">Forecast: enterprise ramp length (days)</t>
  </si>
  <si>
    <t xml:space="preserve">1 to 365</t>
  </si>
  <si>
    <t xml:space="preserve">price.self_serve</t>
  </si>
  <si>
    <t xml:space="preserve">Forecast: self-serve net $ per M tokens (price-change test)</t>
  </si>
  <si>
    <t xml:space="preserve">price.gateway</t>
  </si>
  <si>
    <t xml:space="preserve">Forecast: gateway net $ per M tokens (price-change test)</t>
  </si>
  <si>
    <t xml:space="preserve">price.list</t>
  </si>
  <si>
    <t xml:space="preserve">Forecast: list $ per M tokens for pipeline deals</t>
  </si>
  <si>
    <t xml:space="preserve">capacity.gpu_tokens_per_sec</t>
  </si>
  <si>
    <t xml:space="preserve">Capacity: Tokens per second per busy GPU</t>
  </si>
  <si>
    <t xml:space="preserve">1 to 1e+07</t>
  </si>
  <si>
    <t xml:space="preserve">capacity.peak_utilization</t>
  </si>
  <si>
    <t xml:space="preserve">Capacity: Target utilization at peak</t>
  </si>
  <si>
    <t xml:space="preserve">0.05 to 1</t>
  </si>
  <si>
    <t xml:space="preserve">capacity.reserved_rate</t>
  </si>
  <si>
    <t xml:space="preserve">Capacity: Reserved rate ($ / GPU-hour)</t>
  </si>
  <si>
    <t xml:space="preserve">0 to 100</t>
  </si>
  <si>
    <t xml:space="preserve">capacity.on_demand_rate</t>
  </si>
  <si>
    <t xml:space="preserve">Capacity: On-demand rate ($ / GPU-hour)</t>
  </si>
  <si>
    <t xml:space="preserve">capacity.peak_ratio_override</t>
  </si>
  <si>
    <t xml:space="preserve">Capacity: Peak hour / average (override if no hourly data)</t>
  </si>
  <si>
    <t xml:space="preserve">1 to 20</t>
  </si>
  <si>
    <t xml:space="preserve">capacity.base_ratio_override</t>
  </si>
  <si>
    <t xml:space="preserve">Capacity: Quietest hour / average (override if no hourly data)</t>
  </si>
  <si>
    <t xml:space="preserve">Manual adjustments to net revenue (credit notes, corrections). Shown as their own line on Monthly, included in totals.</t>
  </si>
  <si>
    <t xml:space="preserve">Month = any date in the month. Segment = pick from the list. Amount in $ (negative reduces revenue). Ignored unless all three are valid and the month is in the 12-month window.</t>
  </si>
  <si>
    <t xml:space="preserve">Month</t>
  </si>
  <si>
    <t xml:space="preserve">Amount ($)</t>
  </si>
  <si>
    <t xml:space="preserve">Reason</t>
  </si>
  <si>
    <t xml:space="preserve">Approved by</t>
  </si>
  <si>
    <t xml:space="preserve">Month used</t>
  </si>
  <si>
    <t xml:space="preserve">Amount used ($)</t>
  </si>
  <si>
    <t xml:space="preserve">key</t>
  </si>
  <si>
    <t xml:space="preserve">value</t>
  </si>
  <si>
    <t xml:space="preserve">description</t>
  </si>
  <si>
    <t xml:space="preserve">as_of_month</t>
  </si>
  <si>
    <t xml:space="preserve">Last complete month in this close (first day of month)</t>
  </si>
  <si>
    <t xml:space="preserve">window_start</t>
  </si>
  <si>
    <t xml:space="preserve">First month of the 12-month reporting window</t>
  </si>
  <si>
    <t xml:space="preserve">list_price_per_mtok</t>
  </si>
  <si>
    <t xml:space="preserve">Current list price, $ per million input tokens</t>
  </si>
  <si>
    <t xml:space="preserve">free_credit_usd</t>
  </si>
  <si>
    <t xml:space="preserve">Default free credit for new accounts, $</t>
  </si>
  <si>
    <t xml:space="preserve">aggregate_gateway_fee</t>
  </si>
  <si>
    <t xml:space="preserve">Average fee on gateways that don't pass end-customer IDs</t>
  </si>
  <si>
    <t xml:space="preserve">gateway_revenue_treatment</t>
  </si>
  <si>
    <t xml:space="preserve">net</t>
  </si>
  <si>
    <t xml:space="preserve">net = fee reduces revenue; gross = fee is a cost</t>
  </si>
  <si>
    <t xml:space="preserve">total_net_revenue_asof</t>
  </si>
  <si>
    <t xml:space="preserve">Net revenue in the as-of month, all accounts, $</t>
  </si>
  <si>
    <t xml:space="preserve">usage_grain</t>
  </si>
  <si>
    <t xml:space="preserve">daily</t>
  </si>
  <si>
    <t xml:space="preserve">call = raw request logs; daily = rollup</t>
  </si>
  <si>
    <t xml:space="preserve">data_first_date</t>
  </si>
  <si>
    <t xml:space="preserve">First date with usage</t>
  </si>
  <si>
    <t xml:space="preserve">data_last_date</t>
  </si>
  <si>
    <t xml:space="preserve">Last date with usage (on or before as-of month end)</t>
  </si>
  <si>
    <t xml:space="preserve">sources_loaded</t>
  </si>
  <si>
    <t xml:space="preserve">usage, accounts, contracts, pipeline, billing_ledger, gateway_statements, hourly, label_map</t>
  </si>
  <si>
    <t xml:space="preserve">Sources connected for this close</t>
  </si>
  <si>
    <t xml:space="preserve">generated_at</t>
  </si>
  <si>
    <t xml:space="preserve">2026-10-08 12:54</t>
  </si>
  <si>
    <t xml:space="preserve">When the runner produced this workbook</t>
  </si>
  <si>
    <t xml:space="preserve">company_name</t>
  </si>
  <si>
    <t xml:space="preserve">Example Co (synthetic data)</t>
  </si>
  <si>
    <t xml:space="preserve">Shown in titles</t>
  </si>
  <si>
    <t xml:space="preserve">reporting_timezone</t>
  </si>
  <si>
    <t xml:space="preserve">America/Los_Angeles</t>
  </si>
  <si>
    <t xml:space="preserve">Time zone used for days and hours</t>
  </si>
  <si>
    <t xml:space="preserve">month</t>
  </si>
  <si>
    <t xml:space="preserve">days</t>
  </si>
  <si>
    <t xml:space="preserve">calendar_days</t>
  </si>
  <si>
    <t xml:space="preserve">segment</t>
  </si>
  <si>
    <t xml:space="preserve">channel</t>
  </si>
  <si>
    <t xml:space="preserve">active_accounts</t>
  </si>
  <si>
    <t xml:space="preserve">paying_accounts</t>
  </si>
  <si>
    <t xml:space="preserve">billable_tokens</t>
  </si>
  <si>
    <t xml:space="preserve">free_credit_tokens</t>
  </si>
  <si>
    <t xml:space="preserve">list_value</t>
  </si>
  <si>
    <t xml:space="preserve">usage_revenue</t>
  </si>
  <si>
    <t xml:space="preserve">true_up</t>
  </si>
  <si>
    <t xml:space="preserve">net_revenue</t>
  </si>
  <si>
    <t xml:space="preserve">gateway_fees</t>
  </si>
  <si>
    <t xml:space="preserve">gateway_aggregate</t>
  </si>
  <si>
    <t xml:space="preserve">openrouter</t>
  </si>
  <si>
    <t xml:space="preserve">self_serve</t>
  </si>
  <si>
    <t xml:space="preserve">digitalocean</t>
  </si>
  <si>
    <t xml:space="preserve">direct</t>
  </si>
  <si>
    <t xml:space="preserve">vercel</t>
  </si>
  <si>
    <t xml:space="preserve">enterprise</t>
  </si>
  <si>
    <t xml:space="preserve">n</t>
  </si>
  <si>
    <t xml:space="preserve">use_case</t>
  </si>
  <si>
    <t xml:space="preserve">fraud_triage</t>
  </si>
  <si>
    <t xml:space="preserve">llm_guardrails</t>
  </si>
  <si>
    <t xml:space="preserve">model_routing</t>
  </si>
  <si>
    <t xml:space="preserve">data_enrichment</t>
  </si>
  <si>
    <t xml:space="preserve">moderation</t>
  </si>
  <si>
    <t xml:space="preserve">doc_classification</t>
  </si>
  <si>
    <t xml:space="preserve">ticket_routing</t>
  </si>
  <si>
    <t xml:space="preserve">rag_rerank</t>
  </si>
  <si>
    <t xml:space="preserve">ci_lint</t>
  </si>
  <si>
    <t xml:space="preserve">lead_scoring</t>
  </si>
  <si>
    <t xml:space="preserve">tokens_from_label</t>
  </si>
  <si>
    <t xml:space="preserve">labelled_tokens</t>
  </si>
  <si>
    <t xml:space="preserve">inferred_correctly</t>
  </si>
  <si>
    <t xml:space="preserve">cohort</t>
  </si>
  <si>
    <t xml:space="preserve">k</t>
  </si>
  <si>
    <t xml:space="preserve">signups</t>
  </si>
  <si>
    <t xml:space="preserve">added_payment_method</t>
  </si>
  <si>
    <t xml:space="preserve">payment_flag_known</t>
  </si>
  <si>
    <t xml:space="preserve">customer</t>
  </si>
  <si>
    <t xml:space="preserve">account_id</t>
  </si>
  <si>
    <t xml:space="preserve">start_date</t>
  </si>
  <si>
    <t xml:space="preserve">end_date</t>
  </si>
  <si>
    <t xml:space="preserve">monthly_commit_usd</t>
  </si>
  <si>
    <t xml:space="preserve">unit_price_per_mtok</t>
  </si>
  <si>
    <t xml:space="preserve">discount_pct</t>
  </si>
  <si>
    <t xml:space="preserve">last7_btok_per_day</t>
  </si>
  <si>
    <t xml:space="preserve">Quanta Assist</t>
  </si>
  <si>
    <t xml:space="preserve">acct_02017</t>
  </si>
  <si>
    <t xml:space="preserve">Ledgerline Payments</t>
  </si>
  <si>
    <t xml:space="preserve">acct_02018</t>
  </si>
  <si>
    <t xml:space="preserve">Northwind Insurance</t>
  </si>
  <si>
    <t xml:space="preserve">acct_02019</t>
  </si>
  <si>
    <t xml:space="preserve">Halcyon Games</t>
  </si>
  <si>
    <t xml:space="preserve">acct_02020</t>
  </si>
  <si>
    <t xml:space="preserve">Cobalt Ads</t>
  </si>
  <si>
    <t xml:space="preserve">acct_02021</t>
  </si>
  <si>
    <t xml:space="preserve">Meridian Legal</t>
  </si>
  <si>
    <t xml:space="preserve">acct_02022</t>
  </si>
  <si>
    <t xml:space="preserve">Sable Research</t>
  </si>
  <si>
    <t xml:space="preserve">acct_02023</t>
  </si>
  <si>
    <t xml:space="preserve">Brightpath Logistics</t>
  </si>
  <si>
    <t xml:space="preserve">acct_02024</t>
  </si>
  <si>
    <t xml:space="preserve">commitment</t>
  </si>
  <si>
    <t xml:space="preserve">deal_id</t>
  </si>
  <si>
    <t xml:space="preserve">stage</t>
  </si>
  <si>
    <t xml:space="preserve">probability</t>
  </si>
  <si>
    <t xml:space="preserve">expected_monthly_commit_usd</t>
  </si>
  <si>
    <t xml:space="preserve">expected_start</t>
  </si>
  <si>
    <t xml:space="preserve">expected_discount_pct</t>
  </si>
  <si>
    <t xml:space="preserve">use_cases</t>
  </si>
  <si>
    <t xml:space="preserve">D-101</t>
  </si>
  <si>
    <t xml:space="preserve">Vantage Health Claims</t>
  </si>
  <si>
    <t xml:space="preserve">Contract sent</t>
  </si>
  <si>
    <t xml:space="preserve">D-102</t>
  </si>
  <si>
    <t xml:space="preserve">Orbit Marketplace</t>
  </si>
  <si>
    <t xml:space="preserve">Negotiation</t>
  </si>
  <si>
    <t xml:space="preserve">moderation; data_enrichment</t>
  </si>
  <si>
    <t xml:space="preserve">D-104</t>
  </si>
  <si>
    <t xml:space="preserve">Atlas Support Cloud</t>
  </si>
  <si>
    <t xml:space="preserve">Technical evaluation</t>
  </si>
  <si>
    <t xml:space="preserve">D-103</t>
  </si>
  <si>
    <t xml:space="preserve">Helix Bank</t>
  </si>
  <si>
    <t xml:space="preserve">D-105</t>
  </si>
  <si>
    <t xml:space="preserve">Kite Robotics</t>
  </si>
  <si>
    <t xml:space="preserve">Discovery</t>
  </si>
  <si>
    <t xml:space="preserve">rank</t>
  </si>
  <si>
    <t xml:space="preserve">display_name</t>
  </si>
  <si>
    <t xml:space="preserve">share_of_revenue</t>
  </si>
  <si>
    <t xml:space="preserve">gw_openrouter</t>
  </si>
  <si>
    <t xml:space="preserve">OpenRouter (aggregate, end customers not passed)</t>
  </si>
  <si>
    <t xml:space="preserve">acct_00290</t>
  </si>
  <si>
    <t xml:space="preserve">Self-serve account</t>
  </si>
  <si>
    <t xml:space="preserve">acct_00265</t>
  </si>
  <si>
    <t xml:space="preserve">acct_01483</t>
  </si>
  <si>
    <t xml:space="preserve">acct_00827</t>
  </si>
  <si>
    <t xml:space="preserve">acct_00301</t>
  </si>
  <si>
    <t xml:space="preserve">acct_01139</t>
  </si>
  <si>
    <t xml:space="preserve">acct_00477</t>
  </si>
  <si>
    <t xml:space="preserve">acct_00216</t>
  </si>
  <si>
    <t xml:space="preserve">acct_01090</t>
  </si>
  <si>
    <t xml:space="preserve">acct_00455</t>
  </si>
  <si>
    <t xml:space="preserve">acct_00884</t>
  </si>
  <si>
    <t xml:space="preserve">acct_00547</t>
  </si>
  <si>
    <t xml:space="preserve">acct_01415</t>
  </si>
  <si>
    <t xml:space="preserve">acct_00205</t>
  </si>
  <si>
    <t xml:space="preserve">acct_00439</t>
  </si>
  <si>
    <t xml:space="preserve">acct_00111</t>
  </si>
  <si>
    <t xml:space="preserve">acct_01493</t>
  </si>
  <si>
    <t xml:space="preserve">acct_01160</t>
  </si>
  <si>
    <t xml:space="preserve">acct_00373</t>
  </si>
  <si>
    <t xml:space="preserve">acct_00902</t>
  </si>
  <si>
    <t xml:space="preserve">acct_00538</t>
  </si>
  <si>
    <t xml:space="preserve">acct_01011</t>
  </si>
  <si>
    <t xml:space="preserve">acct_01036</t>
  </si>
  <si>
    <t xml:space="preserve">acct_00447</t>
  </si>
  <si>
    <t xml:space="preserve">acct_00310</t>
  </si>
  <si>
    <t xml:space="preserve">acct_00433</t>
  </si>
  <si>
    <t xml:space="preserve">acct_01468</t>
  </si>
  <si>
    <t xml:space="preserve">acct_00763</t>
  </si>
  <si>
    <t xml:space="preserve">acct_00661</t>
  </si>
  <si>
    <t xml:space="preserve">acct_01184</t>
  </si>
  <si>
    <t xml:space="preserve">acct_01479</t>
  </si>
  <si>
    <t xml:space="preserve">acct_00396</t>
  </si>
  <si>
    <t xml:space="preserve">acct_00766</t>
  </si>
  <si>
    <t xml:space="preserve">acct_01422</t>
  </si>
  <si>
    <t xml:space="preserve">acct_00977</t>
  </si>
  <si>
    <t xml:space="preserve">acct_00830</t>
  </si>
  <si>
    <t xml:space="preserve">acct_00516</t>
  </si>
  <si>
    <t xml:space="preserve">acct_00278</t>
  </si>
  <si>
    <t xml:space="preserve">acct_00748</t>
  </si>
  <si>
    <t xml:space="preserve">acct_00082</t>
  </si>
  <si>
    <t xml:space="preserve">acct_00500</t>
  </si>
  <si>
    <t xml:space="preserve">acct_00531</t>
  </si>
  <si>
    <t xml:space="preserve">acct_00123</t>
  </si>
  <si>
    <t xml:space="preserve">acct_00996</t>
  </si>
  <si>
    <t xml:space="preserve">acct_01849</t>
  </si>
  <si>
    <t xml:space="preserve">acct_01488</t>
  </si>
  <si>
    <t xml:space="preserve">acct_00835</t>
  </si>
  <si>
    <t xml:space="preserve">acct_00107</t>
  </si>
  <si>
    <t xml:space="preserve">acct_00009</t>
  </si>
  <si>
    <t xml:space="preserve">acct_00899</t>
  </si>
  <si>
    <t xml:space="preserve">acct_00940</t>
  </si>
  <si>
    <t xml:space="preserve">acct_01560</t>
  </si>
  <si>
    <t xml:space="preserve">acct_00686</t>
  </si>
  <si>
    <t xml:space="preserve">acct_00549</t>
  </si>
  <si>
    <t xml:space="preserve">acct_00836</t>
  </si>
  <si>
    <t xml:space="preserve">acct_01520</t>
  </si>
  <si>
    <t xml:space="preserve">acct_01462</t>
  </si>
  <si>
    <t xml:space="preserve">acct_00995</t>
  </si>
  <si>
    <t xml:space="preserve">acct_00199</t>
  </si>
  <si>
    <t xml:space="preserve">acct_00828</t>
  </si>
  <si>
    <t xml:space="preserve">acct_00092</t>
  </si>
  <si>
    <t xml:space="preserve">acct_00921</t>
  </si>
  <si>
    <t xml:space="preserve">acct_01282</t>
  </si>
  <si>
    <t xml:space="preserve">acct_00193</t>
  </si>
  <si>
    <t xml:space="preserve">acct_00345</t>
  </si>
  <si>
    <t xml:space="preserve">acct_00961</t>
  </si>
  <si>
    <t xml:space="preserve">acct_00653</t>
  </si>
  <si>
    <t xml:space="preserve">acct_00623</t>
  </si>
  <si>
    <t xml:space="preserve">acct_00326</t>
  </si>
  <si>
    <t xml:space="preserve">acct_00593</t>
  </si>
  <si>
    <t xml:space="preserve">acct_00927</t>
  </si>
  <si>
    <t xml:space="preserve">acct_00860</t>
  </si>
  <si>
    <t xml:space="preserve">acct_00579</t>
  </si>
  <si>
    <t xml:space="preserve">acct_00303</t>
  </si>
  <si>
    <t xml:space="preserve">acct_00801</t>
  </si>
  <si>
    <t xml:space="preserve">acct_00042</t>
  </si>
  <si>
    <t xml:space="preserve">acct_00616</t>
  </si>
  <si>
    <t xml:space="preserve">acct_01084</t>
  </si>
  <si>
    <t xml:space="preserve">acct_01500</t>
  </si>
  <si>
    <t xml:space="preserve">acct_01481</t>
  </si>
  <si>
    <t xml:space="preserve">acct_01027</t>
  </si>
  <si>
    <t xml:space="preserve">acct_01429</t>
  </si>
  <si>
    <t xml:space="preserve">acct_01254</t>
  </si>
  <si>
    <t xml:space="preserve">acct_01509</t>
  </si>
  <si>
    <t xml:space="preserve">acct_00473</t>
  </si>
  <si>
    <t xml:space="preserve">acct_01684</t>
  </si>
  <si>
    <t xml:space="preserve">acct_01005</t>
  </si>
  <si>
    <t xml:space="preserve">acct_00285</t>
  </si>
  <si>
    <t xml:space="preserve">acct_00542</t>
  </si>
  <si>
    <t xml:space="preserve">acct_00627</t>
  </si>
  <si>
    <t xml:space="preserve">acct_01499</t>
  </si>
  <si>
    <t xml:space="preserve">acct_00724</t>
  </si>
  <si>
    <t xml:space="preserve">acct_00072</t>
  </si>
  <si>
    <t xml:space="preserve">acct_00612</t>
  </si>
  <si>
    <t xml:space="preserve">acct_00319</t>
  </si>
  <si>
    <t xml:space="preserve">acct_01174</t>
  </si>
  <si>
    <t xml:space="preserve">acct_01257</t>
  </si>
  <si>
    <t xml:space="preserve">acct_00861</t>
  </si>
  <si>
    <t xml:space="preserve">acct_00568</t>
  </si>
  <si>
    <t xml:space="preserve">acct_00700</t>
  </si>
  <si>
    <t xml:space="preserve">acct_00903</t>
  </si>
  <si>
    <t xml:space="preserve">acct_00676</t>
  </si>
  <si>
    <t xml:space="preserve">acct_01313</t>
  </si>
  <si>
    <t xml:space="preserve">acct_00986</t>
  </si>
  <si>
    <t xml:space="preserve">acct_00035</t>
  </si>
  <si>
    <t xml:space="preserve">acct_00945</t>
  </si>
  <si>
    <t xml:space="preserve">acct_01013</t>
  </si>
  <si>
    <t xml:space="preserve">acct_00324</t>
  </si>
  <si>
    <t xml:space="preserve">acct_00470</t>
  </si>
  <si>
    <t xml:space="preserve">acct_01286</t>
  </si>
  <si>
    <t xml:space="preserve">acct_00057</t>
  </si>
  <si>
    <t xml:space="preserve">acct_01239</t>
  </si>
  <si>
    <t xml:space="preserve">acct_01545</t>
  </si>
  <si>
    <t xml:space="preserve">acct_00848</t>
  </si>
  <si>
    <t xml:space="preserve">acct_01653</t>
  </si>
  <si>
    <t xml:space="preserve">acct_01738</t>
  </si>
  <si>
    <t xml:space="preserve">acct_01137</t>
  </si>
  <si>
    <t xml:space="preserve">acct_00067</t>
  </si>
  <si>
    <t xml:space="preserve">acct_00138</t>
  </si>
  <si>
    <t xml:space="preserve">acct_00852</t>
  </si>
  <si>
    <t xml:space="preserve">acct_01557</t>
  </si>
  <si>
    <t xml:space="preserve">acct_01981</t>
  </si>
  <si>
    <t xml:space="preserve">acct_00783</t>
  </si>
  <si>
    <t xml:space="preserve">acct_01814</t>
  </si>
  <si>
    <t xml:space="preserve">acct_01249</t>
  </si>
  <si>
    <t xml:space="preserve">acct_00687</t>
  </si>
  <si>
    <t xml:space="preserve">acct_01494</t>
  </si>
  <si>
    <t xml:space="preserve">acct_00032</t>
  </si>
  <si>
    <t xml:space="preserve">acct_00395</t>
  </si>
  <si>
    <t xml:space="preserve">acct_00849</t>
  </si>
  <si>
    <t xml:space="preserve">acct_00049</t>
  </si>
  <si>
    <t xml:space="preserve">acct_01126</t>
  </si>
  <si>
    <t xml:space="preserve">acct_01969</t>
  </si>
  <si>
    <t xml:space="preserve">acct_01352</t>
  </si>
  <si>
    <t xml:space="preserve">acct_01507</t>
  </si>
  <si>
    <t xml:space="preserve">acct_00942</t>
  </si>
  <si>
    <t xml:space="preserve">acct_00833</t>
  </si>
  <si>
    <t xml:space="preserve">acct_01540</t>
  </si>
  <si>
    <t xml:space="preserve">acct_00818</t>
  </si>
  <si>
    <t xml:space="preserve">acct_01114</t>
  </si>
  <si>
    <t xml:space="preserve">acct_00358</t>
  </si>
  <si>
    <t xml:space="preserve">acct_00422</t>
  </si>
  <si>
    <t xml:space="preserve">acct_00304</t>
  </si>
  <si>
    <t xml:space="preserve">acct_01019</t>
  </si>
  <si>
    <t xml:space="preserve">acct_01471</t>
  </si>
  <si>
    <t xml:space="preserve">acct_01408</t>
  </si>
  <si>
    <t xml:space="preserve">acct_00223</t>
  </si>
  <si>
    <t xml:space="preserve">acct_01182</t>
  </si>
  <si>
    <t xml:space="preserve">acct_00452</t>
  </si>
  <si>
    <t xml:space="preserve">acct_01486</t>
  </si>
  <si>
    <t xml:space="preserve">acct_01342</t>
  </si>
  <si>
    <t xml:space="preserve">acct_00329</t>
  </si>
  <si>
    <t xml:space="preserve">acct_00394</t>
  </si>
  <si>
    <t xml:space="preserve">acct_00201</t>
  </si>
  <si>
    <t xml:space="preserve">acct_00327</t>
  </si>
  <si>
    <t xml:space="preserve">acct_01280</t>
  </si>
  <si>
    <t xml:space="preserve">acct_01843</t>
  </si>
  <si>
    <t xml:space="preserve">acct_00552</t>
  </si>
  <si>
    <t xml:space="preserve">acct_00953</t>
  </si>
  <si>
    <t xml:space="preserve">acct_01490</t>
  </si>
  <si>
    <t xml:space="preserve">acct_01485</t>
  </si>
  <si>
    <t xml:space="preserve">acct_01189</t>
  </si>
  <si>
    <t xml:space="preserve">acct_00151</t>
  </si>
  <si>
    <t xml:space="preserve">acct_00740</t>
  </si>
  <si>
    <t xml:space="preserve">acct_01822</t>
  </si>
  <si>
    <t xml:space="preserve">acct_00622</t>
  </si>
  <si>
    <t xml:space="preserve">acct_01142</t>
  </si>
  <si>
    <t xml:space="preserve">acct_01554</t>
  </si>
  <si>
    <t xml:space="preserve">acct_00431</t>
  </si>
  <si>
    <t xml:space="preserve">acct_00126</t>
  </si>
  <si>
    <t xml:space="preserve">acct_01566</t>
  </si>
  <si>
    <t xml:space="preserve">acct_01371</t>
  </si>
  <si>
    <t xml:space="preserve">acct_01179</t>
  </si>
  <si>
    <t xml:space="preserve">acct_00505</t>
  </si>
  <si>
    <t xml:space="preserve">acct_00141</t>
  </si>
  <si>
    <t xml:space="preserve">acct_00662</t>
  </si>
  <si>
    <t xml:space="preserve">acct_00491</t>
  </si>
  <si>
    <t xml:space="preserve">acct_01452</t>
  </si>
  <si>
    <t xml:space="preserve">acct_00034</t>
  </si>
  <si>
    <t xml:space="preserve">acct_00892</t>
  </si>
  <si>
    <t xml:space="preserve">acct_01707</t>
  </si>
  <si>
    <t xml:space="preserve">acct_01372</t>
  </si>
  <si>
    <t xml:space="preserve">acct_00716</t>
  </si>
  <si>
    <t xml:space="preserve">acct_01774</t>
  </si>
  <si>
    <t xml:space="preserve">acct_01905</t>
  </si>
  <si>
    <t xml:space="preserve">acct_01831</t>
  </si>
  <si>
    <t xml:space="preserve">acct_01076</t>
  </si>
  <si>
    <t xml:space="preserve">acct_02012</t>
  </si>
  <si>
    <t xml:space="preserve">acct_01948</t>
  </si>
  <si>
    <t xml:space="preserve">acct_01094</t>
  </si>
  <si>
    <t xml:space="preserve">acct_01659</t>
  </si>
  <si>
    <t xml:space="preserve">acct_02001</t>
  </si>
  <si>
    <t xml:space="preserve">acct_01939</t>
  </si>
  <si>
    <t xml:space="preserve">acct_01942</t>
  </si>
  <si>
    <t xml:space="preserve">acct_01405</t>
  </si>
  <si>
    <t xml:space="preserve">acct_01815</t>
  </si>
  <si>
    <t xml:space="preserve">acct_01592</t>
  </si>
  <si>
    <t xml:space="preserve">acct_01649</t>
  </si>
  <si>
    <t xml:space="preserve">acct_01209</t>
  </si>
  <si>
    <t xml:space="preserve">acct_01886</t>
  </si>
  <si>
    <t xml:space="preserve">acct_01582</t>
  </si>
  <si>
    <t xml:space="preserve">acct_01578</t>
  </si>
  <si>
    <t xml:space="preserve">acct_01871</t>
  </si>
  <si>
    <t xml:space="preserve">acct_01741</t>
  </si>
  <si>
    <t xml:space="preserve">acct_01248</t>
  </si>
  <si>
    <t xml:space="preserve">acct_02010</t>
  </si>
  <si>
    <t xml:space="preserve">acct_01960</t>
  </si>
  <si>
    <t xml:space="preserve">acct_01725</t>
  </si>
  <si>
    <t xml:space="preserve">acct_01325</t>
  </si>
  <si>
    <t xml:space="preserve">acct_01700</t>
  </si>
  <si>
    <t xml:space="preserve">acct_01599</t>
  </si>
  <si>
    <t xml:space="preserve">acct_01797</t>
  </si>
  <si>
    <t xml:space="preserve">acct_01497</t>
  </si>
  <si>
    <t xml:space="preserve">acct_01600</t>
  </si>
  <si>
    <t xml:space="preserve">acct_01826</t>
  </si>
  <si>
    <t xml:space="preserve">acct_01695</t>
  </si>
  <si>
    <t xml:space="preserve">acct_01751</t>
  </si>
  <si>
    <t xml:space="preserve">acct_01946</t>
  </si>
  <si>
    <t xml:space="preserve">acct_01761</t>
  </si>
  <si>
    <t xml:space="preserve">acct_01955</t>
  </si>
  <si>
    <t xml:space="preserve">acct_01892</t>
  </si>
  <si>
    <t xml:space="preserve">acct_02000</t>
  </si>
  <si>
    <t xml:space="preserve">acct_01692</t>
  </si>
  <si>
    <t xml:space="preserve">acct_01511</t>
  </si>
  <si>
    <t xml:space="preserve">acct_01901</t>
  </si>
  <si>
    <t xml:space="preserve">acct_01778</t>
  </si>
  <si>
    <t xml:space="preserve">acct_01865</t>
  </si>
  <si>
    <t xml:space="preserve">acct_01567</t>
  </si>
  <si>
    <t xml:space="preserve">acct_01598</t>
  </si>
  <si>
    <t xml:space="preserve">acct_01877</t>
  </si>
  <si>
    <t xml:space="preserve">acct_01786</t>
  </si>
  <si>
    <t xml:space="preserve">acct_01272</t>
  </si>
  <si>
    <t xml:space="preserve">acct_01613</t>
  </si>
  <si>
    <t xml:space="preserve">acct_01816</t>
  </si>
  <si>
    <t xml:space="preserve">acct_01794</t>
  </si>
  <si>
    <t xml:space="preserve">acct_01336</t>
  </si>
  <si>
    <t xml:space="preserve">acct_01859</t>
  </si>
  <si>
    <t xml:space="preserve">acct_01658</t>
  </si>
  <si>
    <t xml:space="preserve">acct_01908</t>
  </si>
  <si>
    <t xml:space="preserve">acct_01754</t>
  </si>
  <si>
    <t xml:space="preserve">acct_01240</t>
  </si>
  <si>
    <t xml:space="preserve">acct_01647</t>
  </si>
  <si>
    <t xml:space="preserve">acct_01830</t>
  </si>
  <si>
    <t xml:space="preserve">acct_01769</t>
  </si>
  <si>
    <t xml:space="preserve">acct_01580</t>
  </si>
  <si>
    <t xml:space="preserve">acct_01800</t>
  </si>
  <si>
    <t xml:space="preserve">acct_01779</t>
  </si>
  <si>
    <t xml:space="preserve">acct_01987</t>
  </si>
  <si>
    <t xml:space="preserve">acct_01425</t>
  </si>
  <si>
    <t xml:space="preserve">acct_01978</t>
  </si>
  <si>
    <t xml:space="preserve">acct_01728</t>
  </si>
  <si>
    <t xml:space="preserve">acct_01879</t>
  </si>
  <si>
    <t xml:space="preserve">acct_01753</t>
  </si>
  <si>
    <t xml:space="preserve">acct_01664</t>
  </si>
  <si>
    <t xml:space="preserve">acct_01840</t>
  </si>
  <si>
    <t xml:space="preserve">acct_01804</t>
  </si>
  <si>
    <t xml:space="preserve">acct_01936</t>
  </si>
  <si>
    <t xml:space="preserve">acct_01861</t>
  </si>
  <si>
    <t xml:space="preserve">acct_01679</t>
  </si>
  <si>
    <t xml:space="preserve">acct_01943</t>
  </si>
  <si>
    <t xml:space="preserve">acct_01723</t>
  </si>
  <si>
    <t xml:space="preserve">acct_01985</t>
  </si>
  <si>
    <t xml:space="preserve">acct_01906</t>
  </si>
  <si>
    <t xml:space="preserve">acct_01856</t>
  </si>
  <si>
    <t xml:space="preserve">acct_01736</t>
  </si>
  <si>
    <t xml:space="preserve">acct_01644</t>
  </si>
  <si>
    <t xml:space="preserve">acct_01793</t>
  </si>
  <si>
    <t xml:space="preserve">acct_01709</t>
  </si>
  <si>
    <t xml:space="preserve">acct_01642</t>
  </si>
  <si>
    <t xml:space="preserve">acct_01785</t>
  </si>
  <si>
    <t xml:space="preserve">acct_01842</t>
  </si>
  <si>
    <t xml:space="preserve">acct_01961</t>
  </si>
  <si>
    <t xml:space="preserve">acct_02011</t>
  </si>
  <si>
    <t xml:space="preserve">acct_01829</t>
  </si>
  <si>
    <t xml:space="preserve">acct_01990</t>
  </si>
  <si>
    <t xml:space="preserve">acct_01882</t>
  </si>
  <si>
    <t xml:space="preserve">acct_01777</t>
  </si>
  <si>
    <t xml:space="preserve">acct_01934</t>
  </si>
  <si>
    <t xml:space="preserve">acct_01771</t>
  </si>
  <si>
    <t xml:space="preserve">acct_01855</t>
  </si>
  <si>
    <t xml:space="preserve">acct_01747</t>
  </si>
  <si>
    <t xml:space="preserve">acct_01909</t>
  </si>
  <si>
    <t xml:space="preserve">acct_01623</t>
  </si>
  <si>
    <t xml:space="preserve">acct_01732</t>
  </si>
  <si>
    <t xml:space="preserve">acct_01893</t>
  </si>
  <si>
    <t xml:space="preserve">acct_01229</t>
  </si>
  <si>
    <t xml:space="preserve">acct_01426</t>
  </si>
  <si>
    <t xml:space="preserve">acct_01767</t>
  </si>
  <si>
    <t xml:space="preserve">acct_01821</t>
  </si>
  <si>
    <t xml:space="preserve">acct_01689</t>
  </si>
  <si>
    <t xml:space="preserve">acct_01900</t>
  </si>
  <si>
    <t xml:space="preserve">acct_01937</t>
  </si>
  <si>
    <t xml:space="preserve">acct_01758</t>
  </si>
  <si>
    <t xml:space="preserve">acct_01630</t>
  </si>
  <si>
    <t xml:space="preserve">acct_01832</t>
  </si>
  <si>
    <t xml:space="preserve">acct_01980</t>
  </si>
  <si>
    <t xml:space="preserve">acct_01926</t>
  </si>
  <si>
    <t xml:space="preserve">acct_01670</t>
  </si>
  <si>
    <t xml:space="preserve">acct_01869</t>
  </si>
  <si>
    <t xml:space="preserve">acct_01894</t>
  </si>
  <si>
    <t xml:space="preserve">acct_01657</t>
  </si>
  <si>
    <t xml:space="preserve">acct_01844</t>
  </si>
  <si>
    <t xml:space="preserve">acct_01838</t>
  </si>
  <si>
    <t xml:space="preserve">acct_01675</t>
  </si>
  <si>
    <t xml:space="preserve">acct_01801</t>
  </si>
  <si>
    <t xml:space="preserve">acct_01895</t>
  </si>
  <si>
    <t xml:space="preserve">acct_01660</t>
  </si>
  <si>
    <t xml:space="preserve">acct_01618</t>
  </si>
  <si>
    <t xml:space="preserve">acct_01820</t>
  </si>
  <si>
    <t xml:space="preserve">acct_01671</t>
  </si>
  <si>
    <t xml:space="preserve">acct_01968</t>
  </si>
  <si>
    <t xml:space="preserve">acct_01915</t>
  </si>
  <si>
    <t xml:space="preserve">acct_01576</t>
  </si>
  <si>
    <t xml:space="preserve">acct_01898</t>
  </si>
  <si>
    <t xml:space="preserve">acct_01907</t>
  </si>
  <si>
    <t xml:space="preserve">acct_01733</t>
  </si>
  <si>
    <t xml:space="preserve">acct_01714</t>
  </si>
  <si>
    <t xml:space="preserve">acct_01868</t>
  </si>
  <si>
    <t xml:space="preserve">acct_01796</t>
  </si>
  <si>
    <t xml:space="preserve">acct_01710</t>
  </si>
  <si>
    <t xml:space="preserve">acct_01752</t>
  </si>
  <si>
    <t xml:space="preserve">acct_01808</t>
  </si>
  <si>
    <t xml:space="preserve">acct_01917</t>
  </si>
  <si>
    <t xml:space="preserve">acct_01720</t>
  </si>
  <si>
    <t xml:space="preserve">acct_02005</t>
  </si>
  <si>
    <t xml:space="preserve">acct_01585</t>
  </si>
  <si>
    <t xml:space="preserve">acct_01629</t>
  </si>
  <si>
    <t xml:space="preserve">acct_01963</t>
  </si>
  <si>
    <t xml:space="preserve">acct_01403</t>
  </si>
  <si>
    <t xml:space="preserve">acct_01928</t>
  </si>
  <si>
    <t xml:space="preserve">acct_01654</t>
  </si>
  <si>
    <t xml:space="preserve">acct_01603</t>
  </si>
  <si>
    <t xml:space="preserve">acct_01982</t>
  </si>
  <si>
    <t xml:space="preserve">acct_02002</t>
  </si>
  <si>
    <t xml:space="preserve">acct_01940</t>
  </si>
  <si>
    <t xml:space="preserve">acct_01927</t>
  </si>
  <si>
    <t xml:space="preserve">acct_01690</t>
  </si>
  <si>
    <t xml:space="preserve">acct_01643</t>
  </si>
  <si>
    <t xml:space="preserve">acct_01919</t>
  </si>
  <si>
    <t xml:space="preserve">acct_01199</t>
  </si>
  <si>
    <t xml:space="preserve">acct_01616</t>
  </si>
  <si>
    <t xml:space="preserve">acct_01589</t>
  </si>
  <si>
    <t xml:space="preserve">acct_01809</t>
  </si>
  <si>
    <t xml:space="preserve">acct_01406</t>
  </si>
  <si>
    <t xml:space="preserve">acct_01923</t>
  </si>
  <si>
    <t xml:space="preserve">acct_01979</t>
  </si>
  <si>
    <t xml:space="preserve">acct_01845</t>
  </si>
  <si>
    <t xml:space="preserve">acct_01591</t>
  </si>
  <si>
    <t xml:space="preserve">acct_01626</t>
  </si>
  <si>
    <t xml:space="preserve">acct_01931</t>
  </si>
  <si>
    <t xml:space="preserve">acct_01601</t>
  </si>
  <si>
    <t xml:space="preserve">acct_01635</t>
  </si>
  <si>
    <t xml:space="preserve">acct_01805</t>
  </si>
  <si>
    <t xml:space="preserve">acct_01818</t>
  </si>
  <si>
    <t xml:space="preserve">acct_01588</t>
  </si>
  <si>
    <t xml:space="preserve">acct_01765</t>
  </si>
  <si>
    <t xml:space="preserve">acct_01977</t>
  </si>
  <si>
    <t xml:space="preserve">acct_01825</t>
  </si>
  <si>
    <t xml:space="preserve">acct_01719</t>
  </si>
  <si>
    <t xml:space="preserve">acct_01737</t>
  </si>
  <si>
    <t xml:space="preserve">acct_01770</t>
  </si>
  <si>
    <t xml:space="preserve">acct_01878</t>
  </si>
  <si>
    <t xml:space="preserve">acct_01410</t>
  </si>
  <si>
    <t xml:space="preserve">acct_01757</t>
  </si>
  <si>
    <t xml:space="preserve">acct_01782</t>
  </si>
  <si>
    <t xml:space="preserve">acct_01953</t>
  </si>
  <si>
    <t xml:space="preserve">acct_01648</t>
  </si>
  <si>
    <t xml:space="preserve">acct_02006</t>
  </si>
  <si>
    <t xml:space="preserve">acct_01667</t>
  </si>
  <si>
    <t xml:space="preserve">acct_01756</t>
  </si>
  <si>
    <t xml:space="preserve">acct_01579</t>
  </si>
  <si>
    <t xml:space="preserve">acct_01393</t>
  </si>
  <si>
    <t xml:space="preserve">acct_01402</t>
  </si>
  <si>
    <t xml:space="preserve">acct_01363</t>
  </si>
  <si>
    <t xml:space="preserve">acct_01850</t>
  </si>
  <si>
    <t xml:space="preserve">acct_01706</t>
  </si>
  <si>
    <t xml:space="preserve">acct_01947</t>
  </si>
  <si>
    <t xml:space="preserve">acct_01735</t>
  </si>
  <si>
    <t xml:space="preserve">acct_01858</t>
  </si>
  <si>
    <t xml:space="preserve">acct_01251</t>
  </si>
  <si>
    <t xml:space="preserve">acct_01503</t>
  </si>
  <si>
    <t xml:space="preserve">acct_01904</t>
  </si>
  <si>
    <t xml:space="preserve">acct_01870</t>
  </si>
  <si>
    <t xml:space="preserve">acct_01575</t>
  </si>
  <si>
    <t xml:space="preserve">acct_01745</t>
  </si>
  <si>
    <t xml:space="preserve">acct_01755</t>
  </si>
  <si>
    <t xml:space="preserve">acct_01993</t>
  </si>
  <si>
    <t xml:space="preserve">acct_01474</t>
  </si>
  <si>
    <t xml:space="preserve">acct_01992</t>
  </si>
  <si>
    <t xml:space="preserve">acct_01734</t>
  </si>
  <si>
    <t xml:space="preserve">acct_01627</t>
  </si>
  <si>
    <t xml:space="preserve">acct_01880</t>
  </si>
  <si>
    <t xml:space="preserve">acct_01569</t>
  </si>
  <si>
    <t xml:space="preserve">acct_02016</t>
  </si>
  <si>
    <t xml:space="preserve">acct_01742</t>
  </si>
  <si>
    <t xml:space="preserve">acct_01475</t>
  </si>
  <si>
    <t xml:space="preserve">acct_01924</t>
  </si>
  <si>
    <t xml:space="preserve">acct_01510</t>
  </si>
  <si>
    <t xml:space="preserve">acct_01631</t>
  </si>
  <si>
    <t xml:space="preserve">acct_01661</t>
  </si>
  <si>
    <t xml:space="preserve">acct_01918</t>
  </si>
  <si>
    <t xml:space="preserve">acct_01316</t>
  </si>
  <si>
    <t xml:space="preserve">acct_02015</t>
  </si>
  <si>
    <t xml:space="preserve">acct_01665</t>
  </si>
  <si>
    <t xml:space="preserve">acct_01965</t>
  </si>
  <si>
    <t xml:space="preserve">acct_01641</t>
  </si>
  <si>
    <t xml:space="preserve">acct_01281</t>
  </si>
  <si>
    <t xml:space="preserve">acct_01302</t>
  </si>
  <si>
    <t xml:space="preserve">acct_01571</t>
  </si>
  <si>
    <t xml:space="preserve">acct_01949</t>
  </si>
  <si>
    <t xml:space="preserve">acct_01404</t>
  </si>
  <si>
    <t xml:space="preserve">acct_01513</t>
  </si>
  <si>
    <t xml:space="preserve">acct_01874</t>
  </si>
  <si>
    <t xml:space="preserve">acct_01606</t>
  </si>
  <si>
    <t xml:space="preserve">acct_01620</t>
  </si>
  <si>
    <t xml:space="preserve">acct_01998</t>
  </si>
  <si>
    <t xml:space="preserve">acct_01669</t>
  </si>
  <si>
    <t xml:space="preserve">acct_02004</t>
  </si>
  <si>
    <t xml:space="preserve">acct_01867</t>
  </si>
  <si>
    <t xml:space="preserve">acct_01952</t>
  </si>
  <si>
    <t xml:space="preserve">acct_01795</t>
  </si>
  <si>
    <t xml:space="preserve">acct_01343</t>
  </si>
  <si>
    <t xml:space="preserve">acct_01688</t>
  </si>
  <si>
    <t xml:space="preserve">acct_01873</t>
  </si>
  <si>
    <t xml:space="preserve">acct_01697</t>
  </si>
  <si>
    <t xml:space="preserve">acct_01997</t>
  </si>
  <si>
    <t xml:space="preserve">acct_01639</t>
  </si>
  <si>
    <t xml:space="preserve">acct_01727</t>
  </si>
  <si>
    <t xml:space="preserve">acct_01640</t>
  </si>
  <si>
    <t xml:space="preserve">acct_01862</t>
  </si>
  <si>
    <t xml:space="preserve">acct_01860</t>
  </si>
  <si>
    <t xml:space="preserve">acct_01391</t>
  </si>
  <si>
    <t xml:space="preserve">acct_01749</t>
  </si>
  <si>
    <t xml:space="preserve">acct_01605</t>
  </si>
  <si>
    <t xml:space="preserve">acct_01622</t>
  </si>
  <si>
    <t xml:space="preserve">acct_01615</t>
  </si>
  <si>
    <t xml:space="preserve">acct_01999</t>
  </si>
  <si>
    <t xml:space="preserve">acct_01851</t>
  </si>
  <si>
    <t xml:space="preserve">acct_01673</t>
  </si>
  <si>
    <t xml:space="preserve">acct_01662</t>
  </si>
  <si>
    <t xml:space="preserve">acct_01655</t>
  </si>
  <si>
    <t xml:space="preserve">acct_02014</t>
  </si>
  <si>
    <t xml:space="preserve">acct_01760</t>
  </si>
  <si>
    <t xml:space="preserve">acct_01621</t>
  </si>
  <si>
    <t xml:space="preserve">acct_01607</t>
  </si>
  <si>
    <t xml:space="preserve">acct_01887</t>
  </si>
  <si>
    <t xml:space="preserve">acct_01764</t>
  </si>
  <si>
    <t xml:space="preserve">acct_01743</t>
  </si>
  <si>
    <t xml:space="preserve">acct_01740</t>
  </si>
  <si>
    <t xml:space="preserve">acct_01780</t>
  </si>
  <si>
    <t xml:space="preserve">acct_01668</t>
  </si>
  <si>
    <t xml:space="preserve">acct_01617</t>
  </si>
  <si>
    <t xml:space="preserve">acct_01950</t>
  </si>
  <si>
    <t xml:space="preserve">acct_01498</t>
  </si>
  <si>
    <t xml:space="preserve">acct_01983</t>
  </si>
  <si>
    <t xml:space="preserve">acct_01441</t>
  </si>
  <si>
    <t xml:space="preserve">acct_01891</t>
  </si>
  <si>
    <t xml:space="preserve">acct_01834</t>
  </si>
  <si>
    <t xml:space="preserve">acct_01386</t>
  </si>
  <si>
    <t xml:space="preserve">acct_01698</t>
  </si>
  <si>
    <t xml:space="preserve">acct_01932</t>
  </si>
  <si>
    <t xml:space="preserve">acct_01899</t>
  </si>
  <si>
    <t xml:space="preserve">acct_01881</t>
  </si>
  <si>
    <t xml:space="preserve">acct_01817</t>
  </si>
  <si>
    <t xml:space="preserve">acct_01884</t>
  </si>
  <si>
    <t xml:space="preserve">acct_01975</t>
  </si>
  <si>
    <t xml:space="preserve">acct_01610</t>
  </si>
  <si>
    <t xml:space="preserve">acct_01974</t>
  </si>
  <si>
    <t xml:space="preserve">acct_01625</t>
  </si>
  <si>
    <t xml:space="preserve">acct_01652</t>
  </si>
  <si>
    <t xml:space="preserve">acct_01768</t>
  </si>
  <si>
    <t xml:space="preserve">acct_01633</t>
  </si>
  <si>
    <t xml:space="preserve">acct_01989</t>
  </si>
  <si>
    <t xml:space="preserve">acct_01866</t>
  </si>
  <si>
    <t xml:space="preserve">acct_01656</t>
  </si>
  <si>
    <t xml:space="preserve">acct_01651</t>
  </si>
  <si>
    <t xml:space="preserve">acct_01730</t>
  </si>
  <si>
    <t xml:space="preserve">acct_01889</t>
  </si>
  <si>
    <t xml:space="preserve">acct_01922</t>
  </si>
  <si>
    <t xml:space="preserve">acct_01703</t>
  </si>
  <si>
    <t xml:space="preserve">acct_01896</t>
  </si>
  <si>
    <t xml:space="preserve">acct_01611</t>
  </si>
  <si>
    <t xml:space="preserve">acct_01783</t>
  </si>
  <si>
    <t xml:space="preserve">acct_01916</t>
  </si>
  <si>
    <t xml:space="preserve">acct_01791</t>
  </si>
  <si>
    <t xml:space="preserve">acct_01650</t>
  </si>
  <si>
    <t xml:space="preserve">acct_01852</t>
  </si>
  <si>
    <t xml:space="preserve">acct_01806</t>
  </si>
  <si>
    <t xml:space="preserve">acct_01888</t>
  </si>
  <si>
    <t xml:space="preserve">acct_01724</t>
  </si>
  <si>
    <t xml:space="preserve">acct_01604</t>
  </si>
  <si>
    <t xml:space="preserve">acct_01708</t>
  </si>
  <si>
    <t xml:space="preserve">acct_01593</t>
  </si>
  <si>
    <t xml:space="preserve">acct_01912</t>
  </si>
  <si>
    <t xml:space="preserve">acct_01584</t>
  </si>
  <si>
    <t xml:space="preserve">acct_01683</t>
  </si>
  <si>
    <t xml:space="preserve">acct_01798</t>
  </si>
  <si>
    <t xml:space="preserve">acct_01957</t>
  </si>
  <si>
    <t xml:space="preserve">acct_01206</t>
  </si>
  <si>
    <t xml:space="preserve">acct_01910</t>
  </si>
  <si>
    <t xml:space="preserve">acct_01587</t>
  </si>
  <si>
    <t xml:space="preserve">acct_01676</t>
  </si>
  <si>
    <t xml:space="preserve">acct_01991</t>
  </si>
  <si>
    <t xml:space="preserve">acct_01711</t>
  </si>
  <si>
    <t xml:space="preserve">acct_01722</t>
  </si>
  <si>
    <t xml:space="preserve">acct_01941</t>
  </si>
  <si>
    <t xml:space="preserve">acct_01602</t>
  </si>
  <si>
    <t xml:space="preserve">acct_01803</t>
  </si>
  <si>
    <t xml:space="preserve">acct_01976</t>
  </si>
  <si>
    <t xml:space="preserve">acct_01810</t>
  </si>
  <si>
    <t xml:space="preserve">acct_01835</t>
  </si>
  <si>
    <t xml:space="preserve">acct_01781</t>
  </si>
  <si>
    <t xml:space="preserve">acct_01608</t>
  </si>
  <si>
    <t xml:space="preserve">acct_01696</t>
  </si>
  <si>
    <t xml:space="preserve">acct_01929</t>
  </si>
  <si>
    <t xml:space="preserve">acct_01685</t>
  </si>
  <si>
    <t xml:space="preserve">acct_01967</t>
  </si>
  <si>
    <t xml:space="preserve">acct_01687</t>
  </si>
  <si>
    <t xml:space="preserve">acct_01911</t>
  </si>
  <si>
    <t xml:space="preserve">acct_01718</t>
  </si>
  <si>
    <t xml:space="preserve">acct_01581</t>
  </si>
  <si>
    <t xml:space="preserve">acct_01693</t>
  </si>
  <si>
    <t xml:space="preserve">acct_01726</t>
  </si>
  <si>
    <t xml:space="preserve">acct_01586</t>
  </si>
  <si>
    <t xml:space="preserve">acct_01699</t>
  </si>
  <si>
    <t xml:space="preserve">acct_01790</t>
  </si>
  <si>
    <t xml:space="preserve">acct_01674</t>
  </si>
  <si>
    <t xml:space="preserve">acct_01807</t>
  </si>
  <si>
    <t xml:space="preserve">acct_01744</t>
  </si>
  <si>
    <t xml:space="preserve">acct_01875</t>
  </si>
  <si>
    <t xml:space="preserve">acct_01944</t>
  </si>
  <si>
    <t xml:space="preserve">acct_01289</t>
  </si>
  <si>
    <t xml:space="preserve">acct_01721</t>
  </si>
  <si>
    <t xml:space="preserve">acct_01716</t>
  </si>
  <si>
    <t xml:space="preserve">acct_01802</t>
  </si>
  <si>
    <t xml:space="preserve">acct_01945</t>
  </si>
  <si>
    <t xml:space="preserve">acct_01712</t>
  </si>
  <si>
    <t xml:space="preserve">acct_02007</t>
  </si>
  <si>
    <t xml:space="preserve">acct_01857</t>
  </si>
  <si>
    <t xml:space="preserve">acct_01921</t>
  </si>
  <si>
    <t xml:space="preserve">acct_01682</t>
  </si>
  <si>
    <t xml:space="preserve">acct_01763</t>
  </si>
  <si>
    <t xml:space="preserve">acct_01970</t>
  </si>
  <si>
    <t xml:space="preserve">acct_01597</t>
  </si>
  <si>
    <t xml:space="preserve">acct_01823</t>
  </si>
  <si>
    <t xml:space="preserve">acct_01762</t>
  </si>
  <si>
    <t xml:space="preserve">acct_01897</t>
  </si>
  <si>
    <t xml:space="preserve">acct_01846</t>
  </si>
  <si>
    <t xml:space="preserve">acct_01347</t>
  </si>
  <si>
    <t xml:space="preserve">acct_01812</t>
  </si>
  <si>
    <t xml:space="preserve">acct_01619</t>
  </si>
  <si>
    <t xml:space="preserve">acct_01828</t>
  </si>
  <si>
    <t xml:space="preserve">acct_01784</t>
  </si>
  <si>
    <t xml:space="preserve">acct_01333</t>
  </si>
  <si>
    <t xml:space="preserve">acct_01729</t>
  </si>
  <si>
    <t xml:space="preserve">acct_01964</t>
  </si>
  <si>
    <t xml:space="preserve">acct_01636</t>
  </si>
  <si>
    <t xml:space="preserve">acct_02003</t>
  </si>
  <si>
    <t xml:space="preserve">acct_01594</t>
  </si>
  <si>
    <t xml:space="preserve">acct_01824</t>
  </si>
  <si>
    <t xml:space="preserve">acct_01632</t>
  </si>
  <si>
    <t xml:space="preserve">acct_01628</t>
  </si>
  <si>
    <t xml:space="preserve">acct_01705</t>
  </si>
  <si>
    <t xml:space="preserve">acct_01681</t>
  </si>
  <si>
    <t xml:space="preserve">acct_01672</t>
  </si>
  <si>
    <t xml:space="preserve">acct_01933</t>
  </si>
  <si>
    <t xml:space="preserve">acct_01930</t>
  </si>
  <si>
    <t xml:space="preserve">acct_01717</t>
  </si>
  <si>
    <t xml:space="preserve">acct_01646</t>
  </si>
  <si>
    <t xml:space="preserve">acct_01966</t>
  </si>
  <si>
    <t xml:space="preserve">acct_01890</t>
  </si>
  <si>
    <t xml:space="preserve">acct_01799</t>
  </si>
  <si>
    <t xml:space="preserve">acct_01694</t>
  </si>
  <si>
    <t xml:space="preserve">acct_01883</t>
  </si>
  <si>
    <t xml:space="preserve">acct_01612</t>
  </si>
  <si>
    <t xml:space="preserve">acct_01819</t>
  </si>
  <si>
    <t xml:space="preserve">acct_01637</t>
  </si>
  <si>
    <t xml:space="preserve">acct_01973</t>
  </si>
  <si>
    <t xml:space="preserve">acct_01885</t>
  </si>
  <si>
    <t xml:space="preserve">acct_01972</t>
  </si>
  <si>
    <t xml:space="preserve">acct_01913</t>
  </si>
  <si>
    <t xml:space="preserve">acct_01995</t>
  </si>
  <si>
    <t xml:space="preserve">acct_01811</t>
  </si>
  <si>
    <t xml:space="preserve">acct_01935</t>
  </si>
  <si>
    <t xml:space="preserve">acct_01956</t>
  </si>
  <si>
    <t xml:space="preserve">acct_01482</t>
  </si>
  <si>
    <t xml:space="preserve">acct_01776</t>
  </si>
  <si>
    <t xml:space="preserve">acct_01841</t>
  </si>
  <si>
    <t xml:space="preserve">acct_01713</t>
  </si>
  <si>
    <t xml:space="preserve">acct_01704</t>
  </si>
  <si>
    <t xml:space="preserve">acct_01903</t>
  </si>
  <si>
    <t xml:space="preserve">acct_01290</t>
  </si>
  <si>
    <t xml:space="preserve">acct_01227</t>
  </si>
  <si>
    <t xml:space="preserve">acct_01645</t>
  </si>
  <si>
    <t xml:space="preserve">acct_01902</t>
  </si>
  <si>
    <t xml:space="preserve">acct_01590</t>
  </si>
  <si>
    <t xml:space="preserve">acct_01787</t>
  </si>
  <si>
    <t xml:space="preserve">acct_01460</t>
  </si>
  <si>
    <t xml:space="preserve">acct_01986</t>
  </si>
  <si>
    <t xml:space="preserve">acct_01680</t>
  </si>
  <si>
    <t xml:space="preserve">acct_01833</t>
  </si>
  <si>
    <t xml:space="preserve">acct_01959</t>
  </si>
  <si>
    <t xml:space="preserve">acct_01938</t>
  </si>
  <si>
    <t xml:space="preserve">acct_01775</t>
  </si>
  <si>
    <t xml:space="preserve">acct_01577</t>
  </si>
  <si>
    <t xml:space="preserve">acct_01739</t>
  </si>
  <si>
    <t xml:space="preserve">acct_01750</t>
  </si>
  <si>
    <t xml:space="preserve">acct_01996</t>
  </si>
  <si>
    <t xml:space="preserve">acct_01988</t>
  </si>
  <si>
    <t xml:space="preserve">acct_01624</t>
  </si>
  <si>
    <t xml:space="preserve">acct_01962</t>
  </si>
  <si>
    <t xml:space="preserve">acct_01876</t>
  </si>
  <si>
    <t xml:space="preserve">acct_01984</t>
  </si>
  <si>
    <t xml:space="preserve">acct_01951</t>
  </si>
  <si>
    <t xml:space="preserve">acct_01715</t>
  </si>
  <si>
    <t xml:space="preserve">acct_01663</t>
  </si>
  <si>
    <t xml:space="preserve">acct_01217</t>
  </si>
  <si>
    <t xml:space="preserve">acct_01994</t>
  </si>
  <si>
    <t xml:space="preserve">acct_02013</t>
  </si>
  <si>
    <t xml:space="preserve">acct_01914</t>
  </si>
  <si>
    <t xml:space="preserve">acct_01686</t>
  </si>
  <si>
    <t xml:space="preserve">acct_01583</t>
  </si>
  <si>
    <t xml:space="preserve">acct_01971</t>
  </si>
  <si>
    <t xml:space="preserve">acct_01827</t>
  </si>
  <si>
    <t xml:space="preserve">acct_01323</t>
  </si>
  <si>
    <t xml:space="preserve">acct_01731</t>
  </si>
  <si>
    <t xml:space="preserve">acct_01609</t>
  </si>
  <si>
    <t xml:space="preserve">acct_02009</t>
  </si>
  <si>
    <t xml:space="preserve">acct_01958</t>
  </si>
  <si>
    <t xml:space="preserve">acct_01789</t>
  </si>
  <si>
    <t xml:space="preserve">acct_01848</t>
  </si>
  <si>
    <t xml:space="preserve">acct_01748</t>
  </si>
  <si>
    <t xml:space="preserve">acct_01847</t>
  </si>
  <si>
    <t xml:space="preserve">acct_01766</t>
  </si>
  <si>
    <t xml:space="preserve">acct_01346</t>
  </si>
  <si>
    <t xml:space="preserve">acct_01614</t>
  </si>
  <si>
    <t xml:space="preserve">acct_01925</t>
  </si>
  <si>
    <t xml:space="preserve">acct_01920</t>
  </si>
  <si>
    <t xml:space="preserve">acct_01853</t>
  </si>
  <si>
    <t xml:space="preserve">acct_01691</t>
  </si>
  <si>
    <t xml:space="preserve">acct_01954</t>
  </si>
  <si>
    <t xml:space="preserve">acct_01746</t>
  </si>
  <si>
    <t xml:space="preserve">acct_01863</t>
  </si>
  <si>
    <t xml:space="preserve">acct_01839</t>
  </si>
  <si>
    <t xml:space="preserve">acct_01677</t>
  </si>
  <si>
    <t xml:space="preserve">acct_01436</t>
  </si>
  <si>
    <t xml:space="preserve">acct_01666</t>
  </si>
  <si>
    <t xml:space="preserve">acct_01596</t>
  </si>
  <si>
    <t xml:space="preserve">acct_01837</t>
  </si>
  <si>
    <t xml:space="preserve">acct_01759</t>
  </si>
  <si>
    <t xml:space="preserve">acct_01701</t>
  </si>
  <si>
    <t xml:space="preserve">acct_01194</t>
  </si>
  <si>
    <t xml:space="preserve">acct_01772</t>
  </si>
  <si>
    <t xml:space="preserve">acct_01788</t>
  </si>
  <si>
    <t xml:space="preserve">acct_01476</t>
  </si>
  <si>
    <t xml:space="preserve">acct_01638</t>
  </si>
  <si>
    <t xml:space="preserve">acct_01702</t>
  </si>
  <si>
    <t xml:space="preserve">acct_01773</t>
  </si>
  <si>
    <t xml:space="preserve">acct_01634</t>
  </si>
  <si>
    <t xml:space="preserve">acct_01792</t>
  </si>
  <si>
    <t xml:space="preserve">acct_01678</t>
  </si>
  <si>
    <t xml:space="preserve">acct_01572</t>
  </si>
  <si>
    <t xml:space="preserve">acct_01813</t>
  </si>
  <si>
    <t xml:space="preserve">acct_02008</t>
  </si>
  <si>
    <t xml:space="preserve">acct_01864</t>
  </si>
  <si>
    <t xml:space="preserve">acct_01836</t>
  </si>
  <si>
    <t xml:space="preserve">acct_01872</t>
  </si>
  <si>
    <t xml:space="preserve">acct_01595</t>
  </si>
  <si>
    <t xml:space="preserve">acct_01854</t>
  </si>
  <si>
    <t xml:space="preserve">acct_01398</t>
  </si>
  <si>
    <t xml:space="preserve">acct_01369</t>
  </si>
  <si>
    <t xml:space="preserve">check_no</t>
  </si>
  <si>
    <t xml:space="preserve">check_name</t>
  </si>
  <si>
    <t xml:space="preserve">scope</t>
  </si>
  <si>
    <t xml:space="preserve">expected</t>
  </si>
  <si>
    <t xml:space="preserve">actual</t>
  </si>
  <si>
    <t xml:space="preserve">usd_impact</t>
  </si>
  <si>
    <t xml:space="preserve">status</t>
  </si>
  <si>
    <t xml:space="preserve">detail</t>
  </si>
  <si>
    <t xml:space="preserve">Billed tokens tie to billable usage</t>
  </si>
  <si>
    <t xml:space="preserve">2026-12</t>
  </si>
  <si>
    <t xml:space="preserve">FLAG</t>
  </si>
  <si>
    <t xml:space="preserve">176 accounts billed for a different number of tokens than billable usage</t>
  </si>
  <si>
    <t xml:space="preserve">Invoices use the right unit price</t>
  </si>
  <si>
    <t xml:space="preserve">2027-01</t>
  </si>
  <si>
    <t xml:space="preserve">Meridian Legal at $0.042/M vs expected $0.0336/M</t>
  </si>
  <si>
    <t xml:space="preserve">Gateway statement matches our logs</t>
  </si>
  <si>
    <t xml:space="preserve">openrouter 2027-01</t>
  </si>
  <si>
    <t xml:space="preserve">Statement is -2.6% vs our logs</t>
  </si>
  <si>
    <t xml:space="preserve">Enterprise usage below commitment</t>
  </si>
  <si>
    <t xml:space="preserve">Halcyon Games 2026-12</t>
  </si>
  <si>
    <t xml:space="preserve">INFO</t>
  </si>
  <si>
    <t xml:space="preserve">Usage at 65.0% of commitment; true-up owed. Revenue is protected this month; renewal is the risk.</t>
  </si>
  <si>
    <t xml:space="preserve">Ledgerline Payments 2026-11</t>
  </si>
  <si>
    <t xml:space="preserve">Meridian Legal 2027-01</t>
  </si>
  <si>
    <t xml:space="preserve">Usage at 47.0% of commitment; true-up owed. Revenue is protected this month; renewal is the risk.</t>
  </si>
  <si>
    <t xml:space="preserve">Meridian Legal 2027-02</t>
  </si>
  <si>
    <t xml:space="preserve">Usage at 69.0% of commitment; true-up owed. Revenue is protected this month; renewal is the risk.</t>
  </si>
  <si>
    <t xml:space="preserve">Northwind Insurance 2026-12</t>
  </si>
  <si>
    <t xml:space="preserve">Usage at 39.0% of commitment; true-up owed. Revenue is protected this month; renewal is the risk.</t>
  </si>
  <si>
    <t xml:space="preserve">Northwind Insurance 2027-01</t>
  </si>
  <si>
    <t xml:space="preserve">Usage at 48.0% of commitment; true-up owed. Revenue is protected this month; renewal is the risk.</t>
  </si>
  <si>
    <t xml:space="preserve">Northwind Insurance 2027-02</t>
  </si>
  <si>
    <t xml:space="preserve">Usage at 46.0% of commitment; true-up owed. Revenue is protected this month; renewal is the risk.</t>
  </si>
  <si>
    <t xml:space="preserve">Sable Research 2027-02</t>
  </si>
  <si>
    <t xml:space="preserve">Usage at 71.0% of commitment; true-up owed. Revenue is protected this month; renewal is the risk.</t>
  </si>
  <si>
    <t xml:space="preserve">No duplicate request IDs in call logs</t>
  </si>
  <si>
    <t xml:space="preserve">all calls to close</t>
  </si>
  <si>
    <t xml:space="preserve">SKIP</t>
  </si>
  <si>
    <t xml:space="preserve">Needs call-level logs with request_id</t>
  </si>
  <si>
    <t xml:space="preserve">No missing days in usage data</t>
  </si>
  <si>
    <t xml:space="preserve">2026-09-15 to 2027-02-28</t>
  </si>
  <si>
    <t xml:space="preserve">PASS</t>
  </si>
  <si>
    <t xml:space="preserve">Days with usage vs days in period. A gap usually means a failed export, not a quiet day.</t>
  </si>
  <si>
    <t xml:space="preserve">All usage belongs to a known account</t>
  </si>
  <si>
    <t xml:space="preserve">reporting window</t>
  </si>
  <si>
    <t xml:space="preserve">0 account IDs in usage are missing from the accounts source</t>
  </si>
  <si>
    <t xml:space="preserve">2026-09</t>
  </si>
  <si>
    <t xml:space="preserve">0 accounts billed for a different number of tokens than billable usage</t>
  </si>
  <si>
    <t xml:space="preserve">2026-10</t>
  </si>
  <si>
    <t xml:space="preserve">2026-11</t>
  </si>
  <si>
    <t xml:space="preserve">2027-02</t>
  </si>
  <si>
    <t xml:space="preserve">Every account with revenue has an invoice</t>
  </si>
  <si>
    <t xml:space="preserve">Every account with chargeable usage has an invoice</t>
  </si>
  <si>
    <t xml:space="preserve">All invoices at the expected price</t>
  </si>
  <si>
    <t xml:space="preserve">Free credit used stays within each account's grant</t>
  </si>
  <si>
    <t xml:space="preserve">all accounts</t>
  </si>
  <si>
    <t xml:space="preserve">0 accounts used more free credit than granted</t>
  </si>
  <si>
    <t xml:space="preserve">digitalocean 2026-09</t>
  </si>
  <si>
    <t xml:space="preserve">Statement is -0.11% vs our logs</t>
  </si>
  <si>
    <t xml:space="preserve">digitalocean 2026-10</t>
  </si>
  <si>
    <t xml:space="preserve">Statement is 0.03% vs our logs</t>
  </si>
  <si>
    <t xml:space="preserve">digitalocean 2026-11</t>
  </si>
  <si>
    <t xml:space="preserve">Statement is 0.02% vs our logs</t>
  </si>
  <si>
    <t xml:space="preserve">digitalocean 2026-12</t>
  </si>
  <si>
    <t xml:space="preserve">Statement is -0.0% vs our logs</t>
  </si>
  <si>
    <t xml:space="preserve">digitalocean 2027-01</t>
  </si>
  <si>
    <t xml:space="preserve">digitalocean 2027-02</t>
  </si>
  <si>
    <t xml:space="preserve">Statement is 0.0% vs our logs</t>
  </si>
  <si>
    <t xml:space="preserve">openrouter 2026-09</t>
  </si>
  <si>
    <t xml:space="preserve">Statement is -0.01% vs our logs</t>
  </si>
  <si>
    <t xml:space="preserve">openrouter 2026-10</t>
  </si>
  <si>
    <t xml:space="preserve">openrouter 2026-11</t>
  </si>
  <si>
    <t xml:space="preserve">openrouter 2026-12</t>
  </si>
  <si>
    <t xml:space="preserve">openrouter 2027-02</t>
  </si>
  <si>
    <t xml:space="preserve">vercel 2026-09</t>
  </si>
  <si>
    <t xml:space="preserve">vercel 2026-10</t>
  </si>
  <si>
    <t xml:space="preserve">vercel 2026-11</t>
  </si>
  <si>
    <t xml:space="preserve">vercel 2026-12</t>
  </si>
  <si>
    <t xml:space="preserve">vercel 2027-01</t>
  </si>
  <si>
    <t xml:space="preserve">vercel 2027-02</t>
  </si>
  <si>
    <t xml:space="preserve">Gateway remittance = gross less agreed fee</t>
  </si>
  <si>
    <t xml:space="preserve">Agreed fee 8.0% (config), statement fee 8.0%</t>
  </si>
  <si>
    <t xml:space="preserve">Agreed fee 5.0% (config), statement fee 5.0%</t>
  </si>
  <si>
    <t xml:space="preserve">Top-3 customer concentration</t>
  </si>
  <si>
    <t xml:space="preserve">Top 3 accounts = 46.0% of net revenue</t>
  </si>
  <si>
    <t xml:space="preserve">Use case known for most usage</t>
  </si>
  <si>
    <t xml:space="preserve">Share of tokens with no label and no inferred use case</t>
  </si>
  <si>
    <t xml:space="preserve">calls_ok</t>
  </si>
  <si>
    <t xml:space="preserve">calls_failed</t>
  </si>
  <si>
    <t xml:space="preserve">hour_start</t>
  </si>
  <si>
    <t xml:space="preserve">tokens</t>
  </si>
  <si>
    <t xml:space="preserve">close_month</t>
  </si>
  <si>
    <t xml:space="preserve">target_month</t>
  </si>
  <si>
    <t xml:space="preserve">scenario</t>
  </si>
  <si>
    <t xml:space="preserve">component</t>
  </si>
  <si>
    <t xml:space="preserve">btok_per_day</t>
  </si>
  <si>
    <t xml:space="preserve">base</t>
  </si>
  <si>
    <t xml:space="preserve">total</t>
  </si>
  <si>
    <t xml:space="preserve">high</t>
  </si>
  <si>
    <t xml:space="preserve">low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</si>
</sst>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mmm\ yyyy"/>
    <numFmt numFmtId="166" formatCode="yyyy\-mm\-dd"/>
    <numFmt numFmtId="167" formatCode="#,##0.0;\(#,##0.0\);\-"/>
    <numFmt numFmtId="168" formatCode="0.0%;\(0.0%\);\-"/>
    <numFmt numFmtId="169" formatCode="#,##0;\(#,##0\);\-"/>
    <numFmt numFmtId="170" formatCode="\$#,##0.0000;&quot;($&quot;#,##0.0000\);\-"/>
    <numFmt numFmtId="171" formatCode="\$#,##0.00;&quot;($&quot;#,##0.00\);\-"/>
    <numFmt numFmtId="172" formatCode="#,##0.00;\(#,##0.00\);0"/>
    <numFmt numFmtId="173" formatCode="#,##0.00;\(#,##0.00\);\-"/>
    <numFmt numFmtId="174" formatCode="#,##0.000;\(#,##0.000\);\-"/>
    <numFmt numFmtId="175" formatCode="\$#,##0;&quot;($&quot;#,##0\);\-"/>
    <numFmt numFmtId="176" formatCode="0.00\x;\(0.00&quot;x)&quot;;\-"/>
    <numFmt numFmtId="177" formatCode="0.000000"/>
    <numFmt numFmtId="178" formatCode="0%;[RED]\(0%\);\-"/>
    <numFmt numFmtId="179" formatCode="yyyy\-mm\-dd\ hh: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3F6FA"/>
        <bgColor rgb="FFE8EEF5"/>
      </patternFill>
    </fill>
    <fill>
      <patternFill patternType="solid">
        <fgColor rgb="FFE8EEF5"/>
        <bgColor rgb="FFF3F6FA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3CD"/>
      </patternFill>
    </fill>
    <fill>
      <patternFill patternType="solid">
        <fgColor rgb="FF5B6770"/>
        <bgColor rgb="FF55555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  <dxf>
      <fill>
        <patternFill>
          <bgColor rgb="FFE2E3E5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E8EEF5"/>
      <rgbColor rgb="FF660066"/>
      <rgbColor rgb="FFFF8080"/>
      <rgbColor rgb="FF0066CC"/>
      <rgbColor rgb="FFE2E3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A"/>
      <rgbColor rgb="FFD4EDDA"/>
      <rgbColor rgb="FFFFF2CC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E69138"/>
      <rgbColor rgb="FFFF6600"/>
      <rgbColor rgb="FF5B6770"/>
      <rgbColor rgb="FF8A939B"/>
      <rgbColor rgb="FF1F3A5F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3" t="s">
        <v>8</v>
      </c>
      <c r="B11" s="4" t="n">
        <f aca="false">Data_Params!$B$2</f>
        <v>46419</v>
      </c>
    </row>
    <row r="12" customFormat="false" ht="15" hidden="false" customHeight="false" outlineLevel="0" collapsed="false">
      <c r="A12" s="3" t="s">
        <v>9</v>
      </c>
      <c r="B12" s="5" t="str">
        <f aca="false">Data_Params!$B$13</f>
        <v>2026-10-08 12:54</v>
      </c>
    </row>
    <row r="13" customFormat="false" ht="15" hidden="false" customHeight="false" outlineLevel="0" collapsed="false">
      <c r="A13" s="3" t="s">
        <v>10</v>
      </c>
      <c r="B13" s="5" t="str">
        <f aca="false">Data_Params!$B$9</f>
        <v>daily</v>
      </c>
    </row>
    <row r="14" customFormat="false" ht="15" hidden="false" customHeight="false" outlineLevel="0" collapsed="false">
      <c r="A14" s="3" t="s">
        <v>11</v>
      </c>
      <c r="B14" s="5" t="str">
        <f aca="false">Data_Params!$B$12</f>
        <v>usage, accounts, contracts, pipeline, billing_ledger, gateway_statements, hourly, label_map</v>
      </c>
    </row>
    <row r="15" customFormat="false" ht="15" hidden="false" customHeight="false" outlineLevel="0" collapsed="false">
      <c r="A15" s="3" t="s">
        <v>12</v>
      </c>
      <c r="B15" s="6" t="n">
        <f aca="false">Data_Params!$B$10</f>
        <v>46280</v>
      </c>
    </row>
    <row r="16" customFormat="false" ht="15" hidden="false" customHeight="false" outlineLevel="0" collapsed="false">
      <c r="A16" s="3" t="s">
        <v>13</v>
      </c>
      <c r="B16" s="6" t="n">
        <f aca="false">Data_Params!$B$11</f>
        <v>46446</v>
      </c>
    </row>
    <row r="17" customFormat="false" ht="15" hidden="false" customHeight="false" outlineLevel="0" collapsed="false">
      <c r="A17" s="3" t="s">
        <v>14</v>
      </c>
      <c r="B17" s="5" t="n">
        <f aca="false">COUNTIF(Checks!$G$5:$G$154,"FLAG")</f>
        <v>3</v>
      </c>
    </row>
    <row r="18" customFormat="false" ht="15" hidden="false" customHeight="false" outlineLevel="0" collapsed="false">
      <c r="A18" s="3" t="s">
        <v>15</v>
      </c>
      <c r="B18" s="5" t="str">
        <f aca="false">Overrides!$C$5</f>
        <v>0 input(s) and 0 adjustment(s) applied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7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tr">
        <f aca="false">Data_Params!$B$14&amp;" | Monthly close"</f>
        <v>Example Co (synthetic data) | Monthly close</v>
      </c>
    </row>
    <row r="2" customFormat="false" ht="15" hidden="false" customHeight="false" outlineLevel="0" collapsed="false">
      <c r="A2" s="7" t="s">
        <v>17</v>
      </c>
    </row>
    <row r="3" customFormat="false" ht="15" hidden="false" customHeight="false" outlineLevel="0" collapsed="false">
      <c r="A3" s="2" t="s">
        <v>8</v>
      </c>
      <c r="B3" s="4" t="n">
        <f aca="false">Data_Params!$B$2</f>
        <v>46419</v>
      </c>
      <c r="C3" s="2" t="s">
        <v>18</v>
      </c>
      <c r="D3" s="5" t="str">
        <f aca="false">Data_Params!$B$12</f>
        <v>usage, accounts, contracts, pipeline, billing_ledger, gateway_statements, hourly, label_map</v>
      </c>
      <c r="F3" s="2" t="s">
        <v>15</v>
      </c>
      <c r="G3" s="5" t="str">
        <f aca="false">Overrides!$C$5</f>
        <v>0 input(s) and 0 adjustment(s) applied</v>
      </c>
    </row>
    <row r="5" customFormat="false" ht="15" hidden="false" customHeight="false" outlineLevel="0" collapsed="false">
      <c r="A5" s="8" t="s">
        <v>19</v>
      </c>
      <c r="B5" s="9" t="n">
        <f aca="false">Monthly!H4</f>
        <v>46266</v>
      </c>
      <c r="C5" s="9" t="n">
        <f aca="false">Monthly!I4</f>
        <v>46296</v>
      </c>
      <c r="D5" s="9" t="n">
        <f aca="false">Monthly!J4</f>
        <v>46327</v>
      </c>
      <c r="E5" s="9" t="n">
        <f aca="false">Monthly!K4</f>
        <v>46357</v>
      </c>
      <c r="F5" s="9" t="n">
        <f aca="false">Monthly!L4</f>
        <v>46388</v>
      </c>
      <c r="G5" s="9" t="n">
        <f aca="false">Monthly!M4</f>
        <v>46419</v>
      </c>
    </row>
    <row r="6" customFormat="false" ht="15" hidden="false" customHeight="false" outlineLevel="0" collapsed="false">
      <c r="A6" s="3" t="s">
        <v>20</v>
      </c>
      <c r="B6" s="10" t="n">
        <f aca="false">Monthly!H12</f>
        <v>0.4543475549375</v>
      </c>
      <c r="C6" s="10" t="n">
        <f aca="false">Monthly!I12</f>
        <v>20.8887516306129</v>
      </c>
      <c r="D6" s="10" t="n">
        <f aca="false">Monthly!J12</f>
        <v>72.9445734024</v>
      </c>
      <c r="E6" s="10" t="n">
        <f aca="false">Monthly!K12</f>
        <v>138.413062816645</v>
      </c>
      <c r="F6" s="10" t="n">
        <f aca="false">Monthly!L12</f>
        <v>182.181106277258</v>
      </c>
      <c r="G6" s="10" t="n">
        <f aca="false">Monthly!M12</f>
        <v>215.72280060425</v>
      </c>
    </row>
    <row r="7" customFormat="false" ht="15" hidden="false" customHeight="false" outlineLevel="0" collapsed="false">
      <c r="A7" s="3" t="s">
        <v>21</v>
      </c>
      <c r="B7" s="11" t="n">
        <f aca="false">Monthly!H16</f>
        <v>0</v>
      </c>
      <c r="C7" s="11" t="n">
        <f aca="false">Monthly!I16</f>
        <v>44.9752702608609</v>
      </c>
      <c r="D7" s="11" t="n">
        <f aca="false">Monthly!J16</f>
        <v>2.49205039594124</v>
      </c>
      <c r="E7" s="11" t="n">
        <f aca="false">Monthly!K16</f>
        <v>0.89751007320431</v>
      </c>
      <c r="F7" s="11" t="n">
        <f aca="false">Monthly!L16</f>
        <v>0.316213242955198</v>
      </c>
      <c r="G7" s="11" t="n">
        <f aca="false">Monthly!M16</f>
        <v>0.18411181605158</v>
      </c>
    </row>
    <row r="8" customFormat="false" ht="15" hidden="false" customHeight="false" outlineLevel="0" collapsed="false">
      <c r="A8" s="3" t="s">
        <v>22</v>
      </c>
      <c r="B8" s="10" t="n">
        <f aca="false">Monthly!H34</f>
        <v>0.17380234788786</v>
      </c>
      <c r="C8" s="10" t="n">
        <f aca="false">Monthly!I34</f>
        <v>54.2486664705595</v>
      </c>
      <c r="D8" s="10" t="n">
        <f aca="false">Monthly!J34</f>
        <v>114.923480966904</v>
      </c>
      <c r="E8" s="10" t="n">
        <f aca="false">Monthly!K34</f>
        <v>191.625244368978</v>
      </c>
      <c r="F8" s="10" t="n">
        <f aca="false">Monthly!L34</f>
        <v>233.346627944471</v>
      </c>
      <c r="G8" s="10" t="n">
        <f aca="false">Monthly!M34</f>
        <v>247.705146763158</v>
      </c>
    </row>
    <row r="9" customFormat="false" ht="15" hidden="false" customHeight="false" outlineLevel="0" collapsed="false">
      <c r="A9" s="3" t="s">
        <v>23</v>
      </c>
      <c r="B9" s="12" t="n">
        <f aca="false">Monthly!H36</f>
        <v>3.96486606119181</v>
      </c>
      <c r="C9" s="12" t="n">
        <f aca="false">Monthly!I36</f>
        <v>638.734298766265</v>
      </c>
      <c r="D9" s="12" t="n">
        <f aca="false">Monthly!J36</f>
        <v>1398.23568509734</v>
      </c>
      <c r="E9" s="12" t="n">
        <f aca="false">Monthly!K36</f>
        <v>2256.23271595732</v>
      </c>
      <c r="F9" s="12" t="n">
        <f aca="false">Monthly!L36</f>
        <v>2747.46836128168</v>
      </c>
      <c r="G9" s="12" t="n">
        <f aca="false">Monthly!M36</f>
        <v>3229.01352030545</v>
      </c>
    </row>
    <row r="10" customFormat="false" ht="15" hidden="false" customHeight="false" outlineLevel="0" collapsed="false">
      <c r="A10" s="3" t="s">
        <v>24</v>
      </c>
      <c r="B10" s="11" t="n">
        <f aca="false">Monthly!H37</f>
        <v>0</v>
      </c>
      <c r="C10" s="11" t="n">
        <f aca="false">Monthly!I37</f>
        <v>0.95735964125778</v>
      </c>
      <c r="D10" s="11" t="n">
        <f aca="false">Monthly!J37</f>
        <v>0.895527968554516</v>
      </c>
      <c r="E10" s="11" t="n">
        <f aca="false">Monthly!K37</f>
        <v>0.833873439826521</v>
      </c>
      <c r="F10" s="11" t="n">
        <f aca="false">Monthly!L37</f>
        <v>0.794687121701727</v>
      </c>
      <c r="G10" s="11" t="n">
        <f aca="false">Monthly!M37</f>
        <v>0.767507609788158</v>
      </c>
    </row>
    <row r="11" customFormat="false" ht="15" hidden="false" customHeight="false" outlineLevel="0" collapsed="false">
      <c r="A11" s="3" t="s">
        <v>25</v>
      </c>
      <c r="B11" s="13" t="n">
        <f aca="false">Monthly!H38</f>
        <v>0.0239082319799994</v>
      </c>
      <c r="C11" s="13" t="n">
        <f aca="false">Monthly!I38</f>
        <v>0.0837750868920608</v>
      </c>
      <c r="D11" s="13" t="n">
        <f aca="false">Monthly!J38</f>
        <v>0.0525163493350524</v>
      </c>
      <c r="E11" s="13" t="n">
        <f aca="false">Monthly!K38</f>
        <v>0.0446595095143731</v>
      </c>
      <c r="F11" s="13" t="n">
        <f aca="false">Monthly!L38</f>
        <v>0.0413177344932698</v>
      </c>
      <c r="G11" s="13" t="n">
        <f aca="false">Monthly!M38</f>
        <v>0.0410091671330925</v>
      </c>
    </row>
    <row r="12" customFormat="false" ht="15" hidden="false" customHeight="false" outlineLevel="0" collapsed="false">
      <c r="A12" s="3" t="s">
        <v>26</v>
      </c>
      <c r="B12" s="12" t="n">
        <f aca="false">Monthly!H44</f>
        <v>205</v>
      </c>
      <c r="C12" s="12" t="n">
        <f aca="false">Monthly!I44</f>
        <v>386</v>
      </c>
      <c r="D12" s="12" t="n">
        <f aca="false">Monthly!J44</f>
        <v>448</v>
      </c>
      <c r="E12" s="12" t="n">
        <f aca="false">Monthly!K44</f>
        <v>496</v>
      </c>
      <c r="F12" s="12" t="n">
        <f aca="false">Monthly!L44</f>
        <v>576</v>
      </c>
      <c r="G12" s="12" t="n">
        <f aca="false">Monthly!M44</f>
        <v>680</v>
      </c>
    </row>
    <row r="13" customFormat="false" ht="15" hidden="false" customHeight="false" outlineLevel="0" collapsed="false">
      <c r="A13" s="3" t="s">
        <v>27</v>
      </c>
      <c r="B13" s="12" t="n">
        <f aca="false">Monthly!H45</f>
        <v>99</v>
      </c>
      <c r="C13" s="12" t="n">
        <f aca="false">Monthly!I45</f>
        <v>209</v>
      </c>
      <c r="D13" s="12" t="n">
        <f aca="false">Monthly!J45</f>
        <v>249</v>
      </c>
      <c r="E13" s="12" t="n">
        <f aca="false">Monthly!K45</f>
        <v>313</v>
      </c>
      <c r="F13" s="12" t="n">
        <f aca="false">Monthly!L45</f>
        <v>384</v>
      </c>
      <c r="G13" s="12" t="n">
        <f aca="false">Monthly!M45</f>
        <v>421</v>
      </c>
    </row>
    <row r="14" customFormat="false" ht="15" hidden="false" customHeight="false" outlineLevel="0" collapsed="false">
      <c r="A14" s="3" t="s">
        <v>28</v>
      </c>
      <c r="B14" s="11" t="n">
        <f aca="false">Monthly!H46</f>
        <v>0.00374989345249095</v>
      </c>
      <c r="C14" s="11" t="n">
        <f aca="false">Monthly!I46</f>
        <v>0.00589802017150388</v>
      </c>
      <c r="D14" s="11" t="n">
        <f aca="false">Monthly!J46</f>
        <v>0.00593100384552513</v>
      </c>
      <c r="E14" s="11" t="n">
        <f aca="false">Monthly!K46</f>
        <v>0.0251713769266476</v>
      </c>
      <c r="F14" s="11" t="n">
        <f aca="false">Monthly!L46</f>
        <v>0.00593991203609551</v>
      </c>
      <c r="G14" s="11" t="n">
        <f aca="false">Monthly!M46</f>
        <v>0.0059398741015462</v>
      </c>
    </row>
    <row r="16" customFormat="false" ht="15" hidden="false" customHeight="false" outlineLevel="0" collapsed="false">
      <c r="A16" s="2" t="s">
        <v>29</v>
      </c>
    </row>
    <row r="17" customFormat="false" ht="15" hidden="false" customHeight="false" outlineLevel="0" collapsed="false">
      <c r="A17" s="3" t="s">
        <v>30</v>
      </c>
      <c r="B17" s="12" t="n">
        <f aca="false">COUNTIF(Checks!$G$5:$G$154,"FLAG")</f>
        <v>3</v>
      </c>
    </row>
    <row r="18" customFormat="false" ht="15" hidden="false" customHeight="false" outlineLevel="0" collapsed="false">
      <c r="A18" s="3" t="s">
        <v>31</v>
      </c>
      <c r="B18" s="12" t="n">
        <f aca="false">COUNTIF(Checks!$G$5:$G$154,"INFO")</f>
        <v>8</v>
      </c>
    </row>
    <row r="19" customFormat="false" ht="15" hidden="false" customHeight="false" outlineLevel="0" collapsed="false">
      <c r="A19" s="3" t="s">
        <v>32</v>
      </c>
      <c r="B19" s="12" t="n">
        <f aca="false">COUNTIF(Checks!$G$5:$G$154,"SKIP")</f>
        <v>1</v>
      </c>
    </row>
    <row r="20" customFormat="false" ht="15" hidden="false" customHeight="false" outlineLevel="0" collapsed="false">
      <c r="A20" s="3" t="s">
        <v>33</v>
      </c>
      <c r="B20" s="12" t="n">
        <f aca="false">COUNTIF(Checks!$G$5:$G$154,"PASS")</f>
        <v>51</v>
      </c>
    </row>
    <row r="21" customFormat="false" ht="15" hidden="false" customHeight="false" outlineLevel="0" collapsed="false">
      <c r="A21" s="3" t="s">
        <v>34</v>
      </c>
      <c r="B21" s="14" t="n">
        <f aca="false">SUMIF(Checks!$G$5:$G$154,"FLAG",Checks!$F$5:$F$154)</f>
        <v>3888.71473397109</v>
      </c>
    </row>
    <row r="23" customFormat="false" ht="15" hidden="false" customHeight="false" outlineLevel="0" collapsed="false">
      <c r="A23" s="2" t="s">
        <v>35</v>
      </c>
    </row>
    <row r="24" customFormat="false" ht="15" hidden="false" customHeight="false" outlineLevel="0" collapsed="false">
      <c r="A24" s="8" t="s">
        <v>36</v>
      </c>
      <c r="B24" s="9" t="n">
        <f aca="false">EDATE(Data_Params!$B$2,1)</f>
        <v>46447</v>
      </c>
      <c r="C24" s="9" t="n">
        <f aca="false">EDATE(Data_Params!$B$2,2)</f>
        <v>46478</v>
      </c>
      <c r="D24" s="9" t="n">
        <f aca="false">EDATE(Data_Params!$B$2,3)</f>
        <v>46508</v>
      </c>
    </row>
    <row r="25" customFormat="false" ht="15" hidden="false" customHeight="false" outlineLevel="0" collapsed="false">
      <c r="A25" s="3" t="s">
        <v>37</v>
      </c>
      <c r="B25" s="10" t="n">
        <f aca="false">Forecast!B127</f>
        <v>226.977792026543</v>
      </c>
      <c r="C25" s="10" t="n">
        <f aca="false">Forecast!C127</f>
        <v>228.44125451057</v>
      </c>
      <c r="D25" s="10" t="n">
        <f aca="false">Forecast!D127</f>
        <v>228.447821143426</v>
      </c>
    </row>
    <row r="26" customFormat="false" ht="15" hidden="false" customHeight="false" outlineLevel="0" collapsed="false">
      <c r="A26" s="3" t="s">
        <v>38</v>
      </c>
      <c r="B26" s="10" t="n">
        <f aca="false">Forecast!E127</f>
        <v>248.564380839011</v>
      </c>
      <c r="C26" s="10" t="n">
        <f aca="false">Forecast!F127</f>
        <v>279.402828143942</v>
      </c>
      <c r="D26" s="10" t="n">
        <f aca="false">Forecast!G127</f>
        <v>317.130972497883</v>
      </c>
    </row>
    <row r="27" customFormat="false" ht="15" hidden="false" customHeight="false" outlineLevel="0" collapsed="false">
      <c r="A27" s="3" t="s">
        <v>39</v>
      </c>
      <c r="B27" s="10" t="n">
        <f aca="false">Forecast!H127</f>
        <v>266.413637594115</v>
      </c>
      <c r="C27" s="10" t="n">
        <f aca="false">Forecast!I127</f>
        <v>323.316822009403</v>
      </c>
      <c r="D27" s="10" t="n">
        <f aca="false">Forecast!J127</f>
        <v>398.038361162941</v>
      </c>
    </row>
    <row r="28" customFormat="false" ht="15" hidden="false" customHeight="false" outlineLevel="0" collapsed="false">
      <c r="A28" s="3" t="s">
        <v>40</v>
      </c>
      <c r="B28" s="10" t="n">
        <f aca="false">Forecast!E135</f>
        <v>294.77719578193</v>
      </c>
      <c r="C28" s="10" t="n">
        <f aca="false">Forecast!F135</f>
        <v>320.994964191908</v>
      </c>
      <c r="D28" s="10" t="n">
        <f aca="false">Forecast!G135</f>
        <v>374.316082280811</v>
      </c>
    </row>
    <row r="29" customFormat="false" ht="15" hidden="false" customHeight="false" outlineLevel="0" collapsed="false">
      <c r="A29" s="3" t="s">
        <v>41</v>
      </c>
      <c r="B29" s="11" t="n">
        <f aca="false">IF(Forecast!E143="","no forecast on file",Forecast!E143)</f>
        <v>-0.0415394842273779</v>
      </c>
    </row>
    <row r="30" customFormat="false" ht="15" hidden="false" customHeight="false" outlineLevel="0" collapsed="false">
      <c r="A30" s="3" t="s">
        <v>42</v>
      </c>
      <c r="B30" s="12" t="n">
        <f aca="false">Capacity!B27</f>
        <v>67</v>
      </c>
    </row>
    <row r="32" customFormat="false" ht="15" hidden="false" customHeight="false" outlineLevel="0" collapsed="false">
      <c r="A32" s="2" t="s">
        <v>43</v>
      </c>
    </row>
    <row r="33" customFormat="false" ht="30" hidden="false" customHeight="true" outlineLevel="0" collapsed="false">
      <c r="A33" s="15"/>
      <c r="B33" s="15"/>
      <c r="C33" s="15"/>
      <c r="D33" s="15"/>
      <c r="E33" s="15"/>
      <c r="F33" s="15"/>
      <c r="G33" s="15"/>
    </row>
    <row r="34" customFormat="false" ht="30" hidden="false" customHeight="true" outlineLevel="0" collapsed="false">
      <c r="A34" s="15"/>
      <c r="B34" s="15"/>
      <c r="C34" s="15"/>
      <c r="D34" s="15"/>
      <c r="E34" s="15"/>
      <c r="F34" s="15"/>
      <c r="G34" s="15"/>
    </row>
    <row r="35" customFormat="false" ht="30" hidden="false" customHeight="true" outlineLevel="0" collapsed="false">
      <c r="A35" s="15"/>
      <c r="B35" s="15"/>
      <c r="C35" s="15"/>
      <c r="D35" s="15"/>
      <c r="E35" s="15"/>
      <c r="F35" s="15"/>
      <c r="G35" s="15"/>
    </row>
    <row r="36" customFormat="false" ht="30" hidden="false" customHeight="true" outlineLevel="0" collapsed="false">
      <c r="A36" s="15"/>
      <c r="B36" s="15"/>
      <c r="C36" s="15"/>
      <c r="D36" s="15"/>
      <c r="E36" s="15"/>
      <c r="F36" s="15"/>
      <c r="G36" s="15"/>
    </row>
    <row r="37" customFormat="false" ht="30" hidden="false" customHeight="true" outlineLevel="0" collapsed="false">
      <c r="A37" s="15"/>
      <c r="B37" s="15"/>
      <c r="C37" s="15"/>
      <c r="D37" s="15"/>
      <c r="E37" s="15"/>
      <c r="F37" s="15"/>
      <c r="G37" s="15"/>
    </row>
    <row r="38" customFormat="false" ht="30" hidden="false" customHeight="true" outlineLevel="0" collapsed="false">
      <c r="A38" s="15"/>
      <c r="B38" s="15"/>
      <c r="C38" s="15"/>
      <c r="D38" s="15"/>
      <c r="E38" s="15"/>
      <c r="F38" s="15"/>
      <c r="G38" s="15"/>
    </row>
  </sheetData>
  <mergeCells count="6">
    <mergeCell ref="A33:G33"/>
    <mergeCell ref="A34:G34"/>
    <mergeCell ref="A35:G35"/>
    <mergeCell ref="A36:G36"/>
    <mergeCell ref="A37:G37"/>
    <mergeCell ref="A38:G38"/>
  </mergeCells>
  <conditionalFormatting sqref="G3">
    <cfRule type="expression" priority="2" aboveAverage="0" equalAverage="0" bottom="0" percent="0" rank="0" text="" dxfId="0">
      <formula>AND(Overrides!$C$4="ON",COUNTIF(Overrides!$F$8:$F$39,"Applied")+COUNTIF(Overrides!$H$46:$H$75,"Applied")&gt;0)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52"/>
    <col collapsed="false" customWidth="true" hidden="false" outlineLevel="0" max="9" min="9" style="0" width="16"/>
    <col collapsed="false" customWidth="true" hidden="false" outlineLevel="0" max="10" min="10" style="0" width="36"/>
    <col collapsed="false" customWidth="true" hidden="false" outlineLevel="0" max="11" min="11" style="0" width="44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tr">
        <f aca="false">Data_Params!$B$14&amp;" | Close checks"</f>
        <v>Example Co (synthetic data) | Close checks</v>
      </c>
    </row>
    <row r="2" customFormat="false" ht="15" hidden="false" customHeight="false" outlineLevel="0" collapsed="false">
      <c r="A2" s="7" t="s">
        <v>44</v>
      </c>
    </row>
    <row r="4" customFormat="false" ht="15" hidden="false" customHeight="false" outlineLevel="0" collapsed="false">
      <c r="A4" s="8" t="s">
        <v>45</v>
      </c>
      <c r="B4" s="8" t="s">
        <v>46</v>
      </c>
      <c r="C4" s="8" t="s">
        <v>47</v>
      </c>
      <c r="D4" s="8" t="s">
        <v>48</v>
      </c>
      <c r="E4" s="8" t="s">
        <v>49</v>
      </c>
      <c r="F4" s="8" t="s">
        <v>50</v>
      </c>
      <c r="G4" s="8" t="s">
        <v>51</v>
      </c>
      <c r="H4" s="8" t="s">
        <v>52</v>
      </c>
      <c r="I4" s="8" t="s">
        <v>53</v>
      </c>
      <c r="J4" s="8" t="s">
        <v>54</v>
      </c>
      <c r="K4" s="8" t="s">
        <v>55</v>
      </c>
      <c r="L4" s="8" t="s">
        <v>56</v>
      </c>
    </row>
    <row r="5" customFormat="false" ht="15" hidden="false" customHeight="false" outlineLevel="0" collapsed="false">
      <c r="A5" s="3" t="n">
        <f aca="false">IF(INDEX(Data_Checks!$A:$A,1+1)="","",INDEX(Data_Checks!$A:$A,1+1))</f>
        <v>4</v>
      </c>
      <c r="B5" s="3" t="str">
        <f aca="false">IF(INDEX(Data_Checks!$B:$B,1+1)="","",INDEX(Data_Checks!$B:$B,1+1))</f>
        <v>Billed tokens tie to billable usage</v>
      </c>
      <c r="C5" s="3" t="str">
        <f aca="false">IF(INDEX(Data_Checks!$C:$C,1+1)="","",INDEX(Data_Checks!$C:$C,1+1))</f>
        <v>2026-12</v>
      </c>
      <c r="D5" s="16" t="n">
        <f aca="false">IF(INDEX(Data_Checks!$D:$D,1+1)="","",INDEX(Data_Checks!$D:$D,1+1))</f>
        <v>3798184735378</v>
      </c>
      <c r="E5" s="16" t="n">
        <f aca="false">IF(INDEX(Data_Checks!$E:$E,1+1)="","",INDEX(Data_Checks!$E:$E,1+1))</f>
        <v>3875687837224</v>
      </c>
      <c r="F5" s="17" t="n">
        <f aca="false">IF(INDEX(Data_Checks!$F:$F,1+1)="","",INDEX(Data_Checks!$F:$F,1+1))</f>
        <v>2756.4943792617</v>
      </c>
      <c r="G5" s="2" t="str">
        <f aca="false">IF(INDEX(Data_Checks!$G:$G,1+1)="","",INDEX(Data_Checks!$G:$G,1+1))</f>
        <v>FLAG</v>
      </c>
      <c r="H5" s="3" t="str">
        <f aca="false">IF(INDEX(Data_Checks!$H:$H,1+1)="","",INDEX(Data_Checks!$H:$H,1+1))</f>
        <v>176 accounts billed for a different number of tokens than billable usage</v>
      </c>
      <c r="I5" s="18"/>
      <c r="J5" s="18"/>
      <c r="K5" s="18"/>
      <c r="L5" s="18"/>
    </row>
    <row r="6" customFormat="false" ht="15" hidden="false" customHeight="false" outlineLevel="0" collapsed="false">
      <c r="A6" s="3" t="n">
        <f aca="false">IF(INDEX(Data_Checks!$A:$A,2+1)="","",INDEX(Data_Checks!$A:$A,2+1))</f>
        <v>6</v>
      </c>
      <c r="B6" s="3" t="str">
        <f aca="false">IF(INDEX(Data_Checks!$B:$B,2+1)="","",INDEX(Data_Checks!$B:$B,2+1))</f>
        <v>Invoices use the right unit price</v>
      </c>
      <c r="C6" s="3" t="str">
        <f aca="false">IF(INDEX(Data_Checks!$C:$C,2+1)="","",INDEX(Data_Checks!$C:$C,2+1))</f>
        <v>2027-01</v>
      </c>
      <c r="D6" s="16" t="n">
        <f aca="false">IF(INDEX(Data_Checks!$D:$D,2+1)="","",INDEX(Data_Checks!$D:$D,2+1))</f>
        <v>175335.727905818</v>
      </c>
      <c r="E6" s="16" t="n">
        <f aca="false">IF(INDEX(Data_Checks!$E:$E,2+1)="","",INDEX(Data_Checks!$E:$E,2+1))</f>
        <v>176794.48</v>
      </c>
      <c r="F6" s="17" t="n">
        <f aca="false">IF(INDEX(Data_Checks!$F:$F,2+1)="","",INDEX(Data_Checks!$F:$F,2+1))</f>
        <v>1458.75209418249</v>
      </c>
      <c r="G6" s="2" t="str">
        <f aca="false">IF(INDEX(Data_Checks!$G:$G,2+1)="","",INDEX(Data_Checks!$G:$G,2+1))</f>
        <v>FLAG</v>
      </c>
      <c r="H6" s="3" t="str">
        <f aca="false">IF(INDEX(Data_Checks!$H:$H,2+1)="","",INDEX(Data_Checks!$H:$H,2+1))</f>
        <v>Meridian Legal at $0.042/M vs expected $0.0336/M</v>
      </c>
      <c r="I6" s="18"/>
      <c r="J6" s="18"/>
      <c r="K6" s="18"/>
      <c r="L6" s="18"/>
    </row>
    <row r="7" customFormat="false" ht="15" hidden="false" customHeight="false" outlineLevel="0" collapsed="false">
      <c r="A7" s="3" t="n">
        <f aca="false">IF(INDEX(Data_Checks!$A:$A,3+1)="","",INDEX(Data_Checks!$A:$A,3+1))</f>
        <v>8</v>
      </c>
      <c r="B7" s="3" t="str">
        <f aca="false">IF(INDEX(Data_Checks!$B:$B,3+1)="","",INDEX(Data_Checks!$B:$B,3+1))</f>
        <v>Gateway statement matches our logs</v>
      </c>
      <c r="C7" s="3" t="str">
        <f aca="false">IF(INDEX(Data_Checks!$C:$C,3+1)="","",INDEX(Data_Checks!$C:$C,3+1))</f>
        <v>openrouter 2027-01</v>
      </c>
      <c r="D7" s="16" t="n">
        <f aca="false">IF(INDEX(Data_Checks!$D:$D,3+1)="","",INDEX(Data_Checks!$D:$D,3+1))</f>
        <v>314743752869</v>
      </c>
      <c r="E7" s="16" t="n">
        <f aca="false">IF(INDEX(Data_Checks!$E:$E,3+1)="","",INDEX(Data_Checks!$E:$E,3+1))</f>
        <v>306560000000</v>
      </c>
      <c r="F7" s="17" t="n">
        <f aca="false">IF(INDEX(Data_Checks!$F:$F,3+1)="","",INDEX(Data_Checks!$F:$F,3+1))</f>
        <v>-326.5317394731</v>
      </c>
      <c r="G7" s="2" t="str">
        <f aca="false">IF(INDEX(Data_Checks!$G:$G,3+1)="","",INDEX(Data_Checks!$G:$G,3+1))</f>
        <v>FLAG</v>
      </c>
      <c r="H7" s="3" t="str">
        <f aca="false">IF(INDEX(Data_Checks!$H:$H,3+1)="","",INDEX(Data_Checks!$H:$H,3+1))</f>
        <v>Statement is -2.6% vs our logs</v>
      </c>
      <c r="I7" s="18"/>
      <c r="J7" s="18"/>
      <c r="K7" s="18"/>
      <c r="L7" s="18"/>
    </row>
    <row r="8" customFormat="false" ht="15" hidden="false" customHeight="false" outlineLevel="0" collapsed="false">
      <c r="A8" s="3" t="n">
        <f aca="false">IF(INDEX(Data_Checks!$A:$A,4+1)="","",INDEX(Data_Checks!$A:$A,4+1))</f>
        <v>10</v>
      </c>
      <c r="B8" s="3" t="str">
        <f aca="false">IF(INDEX(Data_Checks!$B:$B,4+1)="","",INDEX(Data_Checks!$B:$B,4+1))</f>
        <v>Enterprise usage below commitment</v>
      </c>
      <c r="C8" s="3" t="str">
        <f aca="false">IF(INDEX(Data_Checks!$C:$C,4+1)="","",INDEX(Data_Checks!$C:$C,4+1))</f>
        <v>Halcyon Games 2026-12</v>
      </c>
      <c r="D8" s="16" t="n">
        <f aca="false">IF(INDEX(Data_Checks!$D:$D,4+1)="","",INDEX(Data_Checks!$D:$D,4+1))</f>
        <v>15000</v>
      </c>
      <c r="E8" s="16" t="n">
        <f aca="false">IF(INDEX(Data_Checks!$E:$E,4+1)="","",INDEX(Data_Checks!$E:$E,4+1))</f>
        <v>9731.6831071656</v>
      </c>
      <c r="F8" s="17" t="n">
        <f aca="false">IF(INDEX(Data_Checks!$F:$F,4+1)="","",INDEX(Data_Checks!$F:$F,4+1))</f>
        <v>5268.3168928344</v>
      </c>
      <c r="G8" s="2" t="str">
        <f aca="false">IF(INDEX(Data_Checks!$G:$G,4+1)="","",INDEX(Data_Checks!$G:$G,4+1))</f>
        <v>INFO</v>
      </c>
      <c r="H8" s="3" t="str">
        <f aca="false">IF(INDEX(Data_Checks!$H:$H,4+1)="","",INDEX(Data_Checks!$H:$H,4+1))</f>
        <v>Usage at 65.0% of commitment; true-up owed. Revenue is protected this month; renewal is the risk.</v>
      </c>
      <c r="I8" s="18"/>
      <c r="J8" s="18"/>
      <c r="K8" s="18"/>
      <c r="L8" s="18"/>
    </row>
    <row r="9" customFormat="false" ht="15" hidden="false" customHeight="false" outlineLevel="0" collapsed="false">
      <c r="A9" s="3" t="n">
        <f aca="false">IF(INDEX(Data_Checks!$A:$A,5+1)="","",INDEX(Data_Checks!$A:$A,5+1))</f>
        <v>10</v>
      </c>
      <c r="B9" s="3" t="str">
        <f aca="false">IF(INDEX(Data_Checks!$B:$B,5+1)="","",INDEX(Data_Checks!$B:$B,5+1))</f>
        <v>Enterprise usage below commitment</v>
      </c>
      <c r="C9" s="3" t="str">
        <f aca="false">IF(INDEX(Data_Checks!$C:$C,5+1)="","",INDEX(Data_Checks!$C:$C,5+1))</f>
        <v>Ledgerline Payments 2026-11</v>
      </c>
      <c r="D9" s="16" t="n">
        <f aca="false">IF(INDEX(Data_Checks!$D:$D,5+1)="","",INDEX(Data_Checks!$D:$D,5+1))</f>
        <v>40000</v>
      </c>
      <c r="E9" s="16" t="n">
        <f aca="false">IF(INDEX(Data_Checks!$E:$E,5+1)="","",INDEX(Data_Checks!$E:$E,5+1))</f>
        <v>26079.2116111968</v>
      </c>
      <c r="F9" s="17" t="n">
        <f aca="false">IF(INDEX(Data_Checks!$F:$F,5+1)="","",INDEX(Data_Checks!$F:$F,5+1))</f>
        <v>13920.7883888032</v>
      </c>
      <c r="G9" s="2" t="str">
        <f aca="false">IF(INDEX(Data_Checks!$G:$G,5+1)="","",INDEX(Data_Checks!$G:$G,5+1))</f>
        <v>INFO</v>
      </c>
      <c r="H9" s="3" t="str">
        <f aca="false">IF(INDEX(Data_Checks!$H:$H,5+1)="","",INDEX(Data_Checks!$H:$H,5+1))</f>
        <v>Usage at 65.0% of commitment; true-up owed. Revenue is protected this month; renewal is the risk.</v>
      </c>
      <c r="I9" s="18"/>
      <c r="J9" s="18"/>
      <c r="K9" s="18"/>
      <c r="L9" s="18"/>
    </row>
    <row r="10" customFormat="false" ht="15" hidden="false" customHeight="false" outlineLevel="0" collapsed="false">
      <c r="A10" s="3" t="n">
        <f aca="false">IF(INDEX(Data_Checks!$A:$A,6+1)="","",INDEX(Data_Checks!$A:$A,6+1))</f>
        <v>10</v>
      </c>
      <c r="B10" s="3" t="str">
        <f aca="false">IF(INDEX(Data_Checks!$B:$B,6+1)="","",INDEX(Data_Checks!$B:$B,6+1))</f>
        <v>Enterprise usage below commitment</v>
      </c>
      <c r="C10" s="3" t="str">
        <f aca="false">IF(INDEX(Data_Checks!$C:$C,6+1)="","",INDEX(Data_Checks!$C:$C,6+1))</f>
        <v>Meridian Legal 2027-01</v>
      </c>
      <c r="D10" s="16" t="n">
        <f aca="false">IF(INDEX(Data_Checks!$D:$D,6+1)="","",INDEX(Data_Checks!$D:$D,6+1))</f>
        <v>12500</v>
      </c>
      <c r="E10" s="16" t="n">
        <f aca="false">IF(INDEX(Data_Checks!$E:$E,6+1)="","",INDEX(Data_Checks!$E:$E,6+1))</f>
        <v>5834.676275064</v>
      </c>
      <c r="F10" s="17" t="n">
        <f aca="false">IF(INDEX(Data_Checks!$F:$F,6+1)="","",INDEX(Data_Checks!$F:$F,6+1))</f>
        <v>6665.323724936</v>
      </c>
      <c r="G10" s="2" t="str">
        <f aca="false">IF(INDEX(Data_Checks!$G:$G,6+1)="","",INDEX(Data_Checks!$G:$G,6+1))</f>
        <v>INFO</v>
      </c>
      <c r="H10" s="3" t="str">
        <f aca="false">IF(INDEX(Data_Checks!$H:$H,6+1)="","",INDEX(Data_Checks!$H:$H,6+1))</f>
        <v>Usage at 47.0% of commitment; true-up owed. Revenue is protected this month; renewal is the risk.</v>
      </c>
      <c r="I10" s="18"/>
      <c r="J10" s="18"/>
      <c r="K10" s="18"/>
      <c r="L10" s="18"/>
    </row>
    <row r="11" customFormat="false" ht="15" hidden="false" customHeight="false" outlineLevel="0" collapsed="false">
      <c r="A11" s="3" t="n">
        <f aca="false">IF(INDEX(Data_Checks!$A:$A,7+1)="","",INDEX(Data_Checks!$A:$A,7+1))</f>
        <v>10</v>
      </c>
      <c r="B11" s="3" t="str">
        <f aca="false">IF(INDEX(Data_Checks!$B:$B,7+1)="","",INDEX(Data_Checks!$B:$B,7+1))</f>
        <v>Enterprise usage below commitment</v>
      </c>
      <c r="C11" s="3" t="str">
        <f aca="false">IF(INDEX(Data_Checks!$C:$C,7+1)="","",INDEX(Data_Checks!$C:$C,7+1))</f>
        <v>Meridian Legal 2027-02</v>
      </c>
      <c r="D11" s="16" t="n">
        <f aca="false">IF(INDEX(Data_Checks!$D:$D,7+1)="","",INDEX(Data_Checks!$D:$D,7+1))</f>
        <v>12500</v>
      </c>
      <c r="E11" s="16" t="n">
        <f aca="false">IF(INDEX(Data_Checks!$E:$E,7+1)="","",INDEX(Data_Checks!$E:$E,7+1))</f>
        <v>8675.3028367824</v>
      </c>
      <c r="F11" s="17" t="n">
        <f aca="false">IF(INDEX(Data_Checks!$F:$F,7+1)="","",INDEX(Data_Checks!$F:$F,7+1))</f>
        <v>3824.6971632176</v>
      </c>
      <c r="G11" s="2" t="str">
        <f aca="false">IF(INDEX(Data_Checks!$G:$G,7+1)="","",INDEX(Data_Checks!$G:$G,7+1))</f>
        <v>INFO</v>
      </c>
      <c r="H11" s="3" t="str">
        <f aca="false">IF(INDEX(Data_Checks!$H:$H,7+1)="","",INDEX(Data_Checks!$H:$H,7+1))</f>
        <v>Usage at 69.0% of commitment; true-up owed. Revenue is protected this month; renewal is the risk.</v>
      </c>
      <c r="I11" s="18"/>
      <c r="J11" s="18"/>
      <c r="K11" s="18"/>
      <c r="L11" s="18"/>
    </row>
    <row r="12" customFormat="false" ht="15" hidden="false" customHeight="false" outlineLevel="0" collapsed="false">
      <c r="A12" s="3" t="n">
        <f aca="false">IF(INDEX(Data_Checks!$A:$A,8+1)="","",INDEX(Data_Checks!$A:$A,8+1))</f>
        <v>10</v>
      </c>
      <c r="B12" s="3" t="str">
        <f aca="false">IF(INDEX(Data_Checks!$B:$B,8+1)="","",INDEX(Data_Checks!$B:$B,8+1))</f>
        <v>Enterprise usage below commitment</v>
      </c>
      <c r="C12" s="3" t="str">
        <f aca="false">IF(INDEX(Data_Checks!$C:$C,8+1)="","",INDEX(Data_Checks!$C:$C,8+1))</f>
        <v>Northwind Insurance 2026-12</v>
      </c>
      <c r="D12" s="16" t="n">
        <f aca="false">IF(INDEX(Data_Checks!$D:$D,8+1)="","",INDEX(Data_Checks!$D:$D,8+1))</f>
        <v>20000</v>
      </c>
      <c r="E12" s="16" t="n">
        <f aca="false">IF(INDEX(Data_Checks!$E:$E,8+1)="","",INDEX(Data_Checks!$E:$E,8+1))</f>
        <v>7777.3879521534</v>
      </c>
      <c r="F12" s="17" t="n">
        <f aca="false">IF(INDEX(Data_Checks!$F:$F,8+1)="","",INDEX(Data_Checks!$F:$F,8+1))</f>
        <v>12222.6120478466</v>
      </c>
      <c r="G12" s="2" t="str">
        <f aca="false">IF(INDEX(Data_Checks!$G:$G,8+1)="","",INDEX(Data_Checks!$G:$G,8+1))</f>
        <v>INFO</v>
      </c>
      <c r="H12" s="3" t="str">
        <f aca="false">IF(INDEX(Data_Checks!$H:$H,8+1)="","",INDEX(Data_Checks!$H:$H,8+1))</f>
        <v>Usage at 39.0% of commitment; true-up owed. Revenue is protected this month; renewal is the risk.</v>
      </c>
      <c r="I12" s="18"/>
      <c r="J12" s="18"/>
      <c r="K12" s="18"/>
      <c r="L12" s="18"/>
    </row>
    <row r="13" customFormat="false" ht="15" hidden="false" customHeight="false" outlineLevel="0" collapsed="false">
      <c r="A13" s="3" t="n">
        <f aca="false">IF(INDEX(Data_Checks!$A:$A,9+1)="","",INDEX(Data_Checks!$A:$A,9+1))</f>
        <v>10</v>
      </c>
      <c r="B13" s="3" t="str">
        <f aca="false">IF(INDEX(Data_Checks!$B:$B,9+1)="","",INDEX(Data_Checks!$B:$B,9+1))</f>
        <v>Enterprise usage below commitment</v>
      </c>
      <c r="C13" s="3" t="str">
        <f aca="false">IF(INDEX(Data_Checks!$C:$C,9+1)="","",INDEX(Data_Checks!$C:$C,9+1))</f>
        <v>Northwind Insurance 2027-01</v>
      </c>
      <c r="D13" s="16" t="n">
        <f aca="false">IF(INDEX(Data_Checks!$D:$D,9+1)="","",INDEX(Data_Checks!$D:$D,9+1))</f>
        <v>20000</v>
      </c>
      <c r="E13" s="16" t="n">
        <f aca="false">IF(INDEX(Data_Checks!$E:$E,9+1)="","",INDEX(Data_Checks!$E:$E,9+1))</f>
        <v>9624.0228684285</v>
      </c>
      <c r="F13" s="17" t="n">
        <f aca="false">IF(INDEX(Data_Checks!$F:$F,9+1)="","",INDEX(Data_Checks!$F:$F,9+1))</f>
        <v>10375.9771315715</v>
      </c>
      <c r="G13" s="2" t="str">
        <f aca="false">IF(INDEX(Data_Checks!$G:$G,9+1)="","",INDEX(Data_Checks!$G:$G,9+1))</f>
        <v>INFO</v>
      </c>
      <c r="H13" s="3" t="str">
        <f aca="false">IF(INDEX(Data_Checks!$H:$H,9+1)="","",INDEX(Data_Checks!$H:$H,9+1))</f>
        <v>Usage at 48.0% of commitment; true-up owed. Revenue is protected this month; renewal is the risk.</v>
      </c>
      <c r="I13" s="18"/>
      <c r="J13" s="18"/>
      <c r="K13" s="18"/>
      <c r="L13" s="18"/>
    </row>
    <row r="14" customFormat="false" ht="15" hidden="false" customHeight="false" outlineLevel="0" collapsed="false">
      <c r="A14" s="3" t="n">
        <f aca="false">IF(INDEX(Data_Checks!$A:$A,10+1)="","",INDEX(Data_Checks!$A:$A,10+1))</f>
        <v>10</v>
      </c>
      <c r="B14" s="3" t="str">
        <f aca="false">IF(INDEX(Data_Checks!$B:$B,10+1)="","",INDEX(Data_Checks!$B:$B,10+1))</f>
        <v>Enterprise usage below commitment</v>
      </c>
      <c r="C14" s="3" t="str">
        <f aca="false">IF(INDEX(Data_Checks!$C:$C,10+1)="","",INDEX(Data_Checks!$C:$C,10+1))</f>
        <v>Northwind Insurance 2027-02</v>
      </c>
      <c r="D14" s="16" t="n">
        <f aca="false">IF(INDEX(Data_Checks!$D:$D,10+1)="","",INDEX(Data_Checks!$D:$D,10+1))</f>
        <v>20000</v>
      </c>
      <c r="E14" s="16" t="n">
        <f aca="false">IF(INDEX(Data_Checks!$E:$E,10+1)="","",INDEX(Data_Checks!$E:$E,10+1))</f>
        <v>9112.6607104638</v>
      </c>
      <c r="F14" s="17" t="n">
        <f aca="false">IF(INDEX(Data_Checks!$F:$F,10+1)="","",INDEX(Data_Checks!$F:$F,10+1))</f>
        <v>10887.3392895362</v>
      </c>
      <c r="G14" s="2" t="str">
        <f aca="false">IF(INDEX(Data_Checks!$G:$G,10+1)="","",INDEX(Data_Checks!$G:$G,10+1))</f>
        <v>INFO</v>
      </c>
      <c r="H14" s="3" t="str">
        <f aca="false">IF(INDEX(Data_Checks!$H:$H,10+1)="","",INDEX(Data_Checks!$H:$H,10+1))</f>
        <v>Usage at 46.0% of commitment; true-up owed. Revenue is protected this month; renewal is the risk.</v>
      </c>
      <c r="I14" s="18"/>
      <c r="J14" s="18"/>
      <c r="K14" s="18"/>
      <c r="L14" s="18"/>
    </row>
    <row r="15" customFormat="false" ht="15" hidden="false" customHeight="false" outlineLevel="0" collapsed="false">
      <c r="A15" s="3" t="n">
        <f aca="false">IF(INDEX(Data_Checks!$A:$A,11+1)="","",INDEX(Data_Checks!$A:$A,11+1))</f>
        <v>10</v>
      </c>
      <c r="B15" s="3" t="str">
        <f aca="false">IF(INDEX(Data_Checks!$B:$B,11+1)="","",INDEX(Data_Checks!$B:$B,11+1))</f>
        <v>Enterprise usage below commitment</v>
      </c>
      <c r="C15" s="3" t="str">
        <f aca="false">IF(INDEX(Data_Checks!$C:$C,11+1)="","",INDEX(Data_Checks!$C:$C,11+1))</f>
        <v>Sable Research 2027-02</v>
      </c>
      <c r="D15" s="16" t="n">
        <f aca="false">IF(INDEX(Data_Checks!$D:$D,11+1)="","",INDEX(Data_Checks!$D:$D,11+1))</f>
        <v>17500</v>
      </c>
      <c r="E15" s="16" t="n">
        <f aca="false">IF(INDEX(Data_Checks!$E:$E,11+1)="","",INDEX(Data_Checks!$E:$E,11+1))</f>
        <v>12418.1236852239</v>
      </c>
      <c r="F15" s="17" t="n">
        <f aca="false">IF(INDEX(Data_Checks!$F:$F,11+1)="","",INDEX(Data_Checks!$F:$F,11+1))</f>
        <v>5081.8763147761</v>
      </c>
      <c r="G15" s="2" t="str">
        <f aca="false">IF(INDEX(Data_Checks!$G:$G,11+1)="","",INDEX(Data_Checks!$G:$G,11+1))</f>
        <v>INFO</v>
      </c>
      <c r="H15" s="3" t="str">
        <f aca="false">IF(INDEX(Data_Checks!$H:$H,11+1)="","",INDEX(Data_Checks!$H:$H,11+1))</f>
        <v>Usage at 71.0% of commitment; true-up owed. Revenue is protected this month; renewal is the risk.</v>
      </c>
      <c r="I15" s="18"/>
      <c r="J15" s="18"/>
      <c r="K15" s="18"/>
      <c r="L15" s="18"/>
    </row>
    <row r="16" customFormat="false" ht="15" hidden="false" customHeight="false" outlineLevel="0" collapsed="false">
      <c r="A16" s="3" t="n">
        <f aca="false">IF(INDEX(Data_Checks!$A:$A,12+1)="","",INDEX(Data_Checks!$A:$A,12+1))</f>
        <v>1</v>
      </c>
      <c r="B16" s="3" t="str">
        <f aca="false">IF(INDEX(Data_Checks!$B:$B,12+1)="","",INDEX(Data_Checks!$B:$B,12+1))</f>
        <v>No duplicate request IDs in call logs</v>
      </c>
      <c r="C16" s="3" t="str">
        <f aca="false">IF(INDEX(Data_Checks!$C:$C,12+1)="","",INDEX(Data_Checks!$C:$C,12+1))</f>
        <v>all calls to close</v>
      </c>
      <c r="D16" s="16" t="n">
        <f aca="false">IF(INDEX(Data_Checks!$D:$D,12+1)="","",INDEX(Data_Checks!$D:$D,12+1))</f>
        <v>0</v>
      </c>
      <c r="E16" s="16" t="str">
        <f aca="false">IF(INDEX(Data_Checks!$E:$E,12+1)="","",INDEX(Data_Checks!$E:$E,12+1))</f>
        <v/>
      </c>
      <c r="F16" s="17" t="n">
        <f aca="false">IF(INDEX(Data_Checks!$F:$F,12+1)="","",INDEX(Data_Checks!$F:$F,12+1))</f>
        <v>0</v>
      </c>
      <c r="G16" s="2" t="str">
        <f aca="false">IF(INDEX(Data_Checks!$G:$G,12+1)="","",INDEX(Data_Checks!$G:$G,12+1))</f>
        <v>SKIP</v>
      </c>
      <c r="H16" s="3" t="str">
        <f aca="false">IF(INDEX(Data_Checks!$H:$H,12+1)="","",INDEX(Data_Checks!$H:$H,12+1))</f>
        <v>Needs call-level logs with request_id</v>
      </c>
      <c r="I16" s="18"/>
      <c r="J16" s="18"/>
      <c r="K16" s="18"/>
      <c r="L16" s="18"/>
    </row>
    <row r="17" customFormat="false" ht="15" hidden="false" customHeight="false" outlineLevel="0" collapsed="false">
      <c r="A17" s="3" t="n">
        <f aca="false">IF(INDEX(Data_Checks!$A:$A,13+1)="","",INDEX(Data_Checks!$A:$A,13+1))</f>
        <v>2</v>
      </c>
      <c r="B17" s="3" t="str">
        <f aca="false">IF(INDEX(Data_Checks!$B:$B,13+1)="","",INDEX(Data_Checks!$B:$B,13+1))</f>
        <v>No missing days in usage data</v>
      </c>
      <c r="C17" s="3" t="str">
        <f aca="false">IF(INDEX(Data_Checks!$C:$C,13+1)="","",INDEX(Data_Checks!$C:$C,13+1))</f>
        <v>2026-09-15 to 2027-02-28</v>
      </c>
      <c r="D17" s="16" t="n">
        <f aca="false">IF(INDEX(Data_Checks!$D:$D,13+1)="","",INDEX(Data_Checks!$D:$D,13+1))</f>
        <v>167</v>
      </c>
      <c r="E17" s="16" t="n">
        <f aca="false">IF(INDEX(Data_Checks!$E:$E,13+1)="","",INDEX(Data_Checks!$E:$E,13+1))</f>
        <v>167</v>
      </c>
      <c r="F17" s="17" t="n">
        <f aca="false">IF(INDEX(Data_Checks!$F:$F,13+1)="","",INDEX(Data_Checks!$F:$F,13+1))</f>
        <v>0</v>
      </c>
      <c r="G17" s="2" t="str">
        <f aca="false">IF(INDEX(Data_Checks!$G:$G,13+1)="","",INDEX(Data_Checks!$G:$G,13+1))</f>
        <v>PASS</v>
      </c>
      <c r="H17" s="3" t="str">
        <f aca="false">IF(INDEX(Data_Checks!$H:$H,13+1)="","",INDEX(Data_Checks!$H:$H,13+1))</f>
        <v>Days with usage vs days in period. A gap usually means a failed export, not a quiet day.</v>
      </c>
      <c r="I17" s="18"/>
      <c r="J17" s="18"/>
      <c r="K17" s="18"/>
      <c r="L17" s="18"/>
    </row>
    <row r="18" customFormat="false" ht="15" hidden="false" customHeight="false" outlineLevel="0" collapsed="false">
      <c r="A18" s="3" t="n">
        <f aca="false">IF(INDEX(Data_Checks!$A:$A,14+1)="","",INDEX(Data_Checks!$A:$A,14+1))</f>
        <v>3</v>
      </c>
      <c r="B18" s="3" t="str">
        <f aca="false">IF(INDEX(Data_Checks!$B:$B,14+1)="","",INDEX(Data_Checks!$B:$B,14+1))</f>
        <v>All usage belongs to a known account</v>
      </c>
      <c r="C18" s="3" t="str">
        <f aca="false">IF(INDEX(Data_Checks!$C:$C,14+1)="","",INDEX(Data_Checks!$C:$C,14+1))</f>
        <v>reporting window</v>
      </c>
      <c r="D18" s="16" t="n">
        <f aca="false">IF(INDEX(Data_Checks!$D:$D,14+1)="","",INDEX(Data_Checks!$D:$D,14+1))</f>
        <v>0</v>
      </c>
      <c r="E18" s="16" t="n">
        <f aca="false">IF(INDEX(Data_Checks!$E:$E,14+1)="","",INDEX(Data_Checks!$E:$E,14+1))</f>
        <v>0</v>
      </c>
      <c r="F18" s="17" t="n">
        <f aca="false">IF(INDEX(Data_Checks!$F:$F,14+1)="","",INDEX(Data_Checks!$F:$F,14+1))</f>
        <v>0</v>
      </c>
      <c r="G18" s="2" t="str">
        <f aca="false">IF(INDEX(Data_Checks!$G:$G,14+1)="","",INDEX(Data_Checks!$G:$G,14+1))</f>
        <v>PASS</v>
      </c>
      <c r="H18" s="3" t="str">
        <f aca="false">IF(INDEX(Data_Checks!$H:$H,14+1)="","",INDEX(Data_Checks!$H:$H,14+1))</f>
        <v>0 account IDs in usage are missing from the accounts source</v>
      </c>
      <c r="I18" s="18"/>
      <c r="J18" s="18"/>
      <c r="K18" s="18"/>
      <c r="L18" s="18"/>
    </row>
    <row r="19" customFormat="false" ht="15" hidden="false" customHeight="false" outlineLevel="0" collapsed="false">
      <c r="A19" s="3" t="n">
        <f aca="false">IF(INDEX(Data_Checks!$A:$A,15+1)="","",INDEX(Data_Checks!$A:$A,15+1))</f>
        <v>4</v>
      </c>
      <c r="B19" s="3" t="str">
        <f aca="false">IF(INDEX(Data_Checks!$B:$B,15+1)="","",INDEX(Data_Checks!$B:$B,15+1))</f>
        <v>Billed tokens tie to billable usage</v>
      </c>
      <c r="C19" s="3" t="str">
        <f aca="false">IF(INDEX(Data_Checks!$C:$C,15+1)="","",INDEX(Data_Checks!$C:$C,15+1))</f>
        <v>2026-09</v>
      </c>
      <c r="D19" s="16" t="n">
        <f aca="false">IF(INDEX(Data_Checks!$D:$D,15+1)="","",INDEX(Data_Checks!$D:$D,15+1))</f>
        <v>3100670156</v>
      </c>
      <c r="E19" s="16" t="n">
        <f aca="false">IF(INDEX(Data_Checks!$E:$E,15+1)="","",INDEX(Data_Checks!$E:$E,15+1))</f>
        <v>3100670156</v>
      </c>
      <c r="F19" s="17" t="n">
        <f aca="false">IF(INDEX(Data_Checks!$F:$F,15+1)="","",INDEX(Data_Checks!$F:$F,15+1))</f>
        <v>0</v>
      </c>
      <c r="G19" s="2" t="str">
        <f aca="false">IF(INDEX(Data_Checks!$G:$G,15+1)="","",INDEX(Data_Checks!$G:$G,15+1))</f>
        <v>PASS</v>
      </c>
      <c r="H19" s="3" t="str">
        <f aca="false">IF(INDEX(Data_Checks!$H:$H,15+1)="","",INDEX(Data_Checks!$H:$H,15+1))</f>
        <v>0 accounts billed for a different number of tokens than billable usage</v>
      </c>
      <c r="I19" s="18"/>
      <c r="J19" s="18"/>
      <c r="K19" s="18"/>
      <c r="L19" s="18"/>
    </row>
    <row r="20" customFormat="false" ht="15" hidden="false" customHeight="false" outlineLevel="0" collapsed="false">
      <c r="A20" s="3" t="n">
        <f aca="false">IF(INDEX(Data_Checks!$A:$A,16+1)="","",INDEX(Data_Checks!$A:$A,16+1))</f>
        <v>4</v>
      </c>
      <c r="B20" s="3" t="str">
        <f aca="false">IF(INDEX(Data_Checks!$B:$B,16+1)="","",INDEX(Data_Checks!$B:$B,16+1))</f>
        <v>Billed tokens tie to billable usage</v>
      </c>
      <c r="C20" s="3" t="str">
        <f aca="false">IF(INDEX(Data_Checks!$C:$C,16+1)="","",INDEX(Data_Checks!$C:$C,16+1))</f>
        <v>2026-10</v>
      </c>
      <c r="D20" s="16" t="n">
        <f aca="false">IF(INDEX(Data_Checks!$D:$D,16+1)="","",INDEX(Data_Checks!$D:$D,16+1))</f>
        <v>620098291596</v>
      </c>
      <c r="E20" s="16" t="n">
        <f aca="false">IF(INDEX(Data_Checks!$E:$E,16+1)="","",INDEX(Data_Checks!$E:$E,16+1))</f>
        <v>620098291596</v>
      </c>
      <c r="F20" s="17" t="n">
        <f aca="false">IF(INDEX(Data_Checks!$F:$F,16+1)="","",INDEX(Data_Checks!$F:$F,16+1))</f>
        <v>0</v>
      </c>
      <c r="G20" s="2" t="str">
        <f aca="false">IF(INDEX(Data_Checks!$G:$G,16+1)="","",INDEX(Data_Checks!$G:$G,16+1))</f>
        <v>PASS</v>
      </c>
      <c r="H20" s="3" t="str">
        <f aca="false">IF(INDEX(Data_Checks!$H:$H,16+1)="","",INDEX(Data_Checks!$H:$H,16+1))</f>
        <v>0 accounts billed for a different number of tokens than billable usage</v>
      </c>
      <c r="I20" s="18"/>
      <c r="J20" s="18"/>
      <c r="K20" s="18"/>
      <c r="L20" s="18"/>
    </row>
    <row r="21" customFormat="false" ht="15" hidden="false" customHeight="false" outlineLevel="0" collapsed="false">
      <c r="A21" s="3" t="n">
        <f aca="false">IF(INDEX(Data_Checks!$A:$A,17+1)="","",INDEX(Data_Checks!$A:$A,17+1))</f>
        <v>4</v>
      </c>
      <c r="B21" s="3" t="str">
        <f aca="false">IF(INDEX(Data_Checks!$B:$B,17+1)="","",INDEX(Data_Checks!$B:$B,17+1))</f>
        <v>Billed tokens tie to billable usage</v>
      </c>
      <c r="C21" s="3" t="str">
        <f aca="false">IF(INDEX(Data_Checks!$C:$C,17+1)="","",INDEX(Data_Checks!$C:$C,17+1))</f>
        <v>2026-11</v>
      </c>
      <c r="D21" s="16" t="n">
        <f aca="false">IF(INDEX(Data_Checks!$D:$D,17+1)="","",INDEX(Data_Checks!$D:$D,17+1))</f>
        <v>2026111033189</v>
      </c>
      <c r="E21" s="16" t="n">
        <f aca="false">IF(INDEX(Data_Checks!$E:$E,17+1)="","",INDEX(Data_Checks!$E:$E,17+1))</f>
        <v>2026111033189</v>
      </c>
      <c r="F21" s="17" t="n">
        <f aca="false">IF(INDEX(Data_Checks!$F:$F,17+1)="","",INDEX(Data_Checks!$F:$F,17+1))</f>
        <v>0</v>
      </c>
      <c r="G21" s="2" t="str">
        <f aca="false">IF(INDEX(Data_Checks!$G:$G,17+1)="","",INDEX(Data_Checks!$G:$G,17+1))</f>
        <v>PASS</v>
      </c>
      <c r="H21" s="3" t="str">
        <f aca="false">IF(INDEX(Data_Checks!$H:$H,17+1)="","",INDEX(Data_Checks!$H:$H,17+1))</f>
        <v>0 accounts billed for a different number of tokens than billable usage</v>
      </c>
      <c r="I21" s="18"/>
      <c r="J21" s="18"/>
      <c r="K21" s="18"/>
      <c r="L21" s="18"/>
    </row>
    <row r="22" customFormat="false" ht="15" hidden="false" customHeight="false" outlineLevel="0" collapsed="false">
      <c r="A22" s="3" t="n">
        <f aca="false">IF(INDEX(Data_Checks!$A:$A,18+1)="","",INDEX(Data_Checks!$A:$A,18+1))</f>
        <v>4</v>
      </c>
      <c r="B22" s="3" t="str">
        <f aca="false">IF(INDEX(Data_Checks!$B:$B,18+1)="","",INDEX(Data_Checks!$B:$B,18+1))</f>
        <v>Billed tokens tie to billable usage</v>
      </c>
      <c r="C22" s="3" t="str">
        <f aca="false">IF(INDEX(Data_Checks!$C:$C,18+1)="","",INDEX(Data_Checks!$C:$C,18+1))</f>
        <v>2027-01</v>
      </c>
      <c r="D22" s="16" t="n">
        <f aca="false">IF(INDEX(Data_Checks!$D:$D,18+1)="","",INDEX(Data_Checks!$D:$D,18+1))</f>
        <v>4910016675784</v>
      </c>
      <c r="E22" s="16" t="n">
        <f aca="false">IF(INDEX(Data_Checks!$E:$E,18+1)="","",INDEX(Data_Checks!$E:$E,18+1))</f>
        <v>4910016675784</v>
      </c>
      <c r="F22" s="17" t="n">
        <f aca="false">IF(INDEX(Data_Checks!$F:$F,18+1)="","",INDEX(Data_Checks!$F:$F,18+1))</f>
        <v>0</v>
      </c>
      <c r="G22" s="2" t="str">
        <f aca="false">IF(INDEX(Data_Checks!$G:$G,18+1)="","",INDEX(Data_Checks!$G:$G,18+1))</f>
        <v>PASS</v>
      </c>
      <c r="H22" s="3" t="str">
        <f aca="false">IF(INDEX(Data_Checks!$H:$H,18+1)="","",INDEX(Data_Checks!$H:$H,18+1))</f>
        <v>0 accounts billed for a different number of tokens than billable usage</v>
      </c>
      <c r="I22" s="18"/>
      <c r="J22" s="18"/>
      <c r="K22" s="18"/>
      <c r="L22" s="18"/>
    </row>
    <row r="23" customFormat="false" ht="15" hidden="false" customHeight="false" outlineLevel="0" collapsed="false">
      <c r="A23" s="3" t="n">
        <f aca="false">IF(INDEX(Data_Checks!$A:$A,19+1)="","",INDEX(Data_Checks!$A:$A,19+1))</f>
        <v>4</v>
      </c>
      <c r="B23" s="3" t="str">
        <f aca="false">IF(INDEX(Data_Checks!$B:$B,19+1)="","",INDEX(Data_Checks!$B:$B,19+1))</f>
        <v>Billed tokens tie to billable usage</v>
      </c>
      <c r="C23" s="3" t="str">
        <f aca="false">IF(INDEX(Data_Checks!$C:$C,19+1)="","",INDEX(Data_Checks!$C:$C,19+1))</f>
        <v>2027-02</v>
      </c>
      <c r="D23" s="16" t="n">
        <f aca="false">IF(INDEX(Data_Checks!$D:$D,19+1)="","",INDEX(Data_Checks!$D:$D,19+1))</f>
        <v>5198170656463</v>
      </c>
      <c r="E23" s="16" t="n">
        <f aca="false">IF(INDEX(Data_Checks!$E:$E,19+1)="","",INDEX(Data_Checks!$E:$E,19+1))</f>
        <v>5198170656463</v>
      </c>
      <c r="F23" s="17" t="n">
        <f aca="false">IF(INDEX(Data_Checks!$F:$F,19+1)="","",INDEX(Data_Checks!$F:$F,19+1))</f>
        <v>0</v>
      </c>
      <c r="G23" s="2" t="str">
        <f aca="false">IF(INDEX(Data_Checks!$G:$G,19+1)="","",INDEX(Data_Checks!$G:$G,19+1))</f>
        <v>PASS</v>
      </c>
      <c r="H23" s="3" t="str">
        <f aca="false">IF(INDEX(Data_Checks!$H:$H,19+1)="","",INDEX(Data_Checks!$H:$H,19+1))</f>
        <v>0 accounts billed for a different number of tokens than billable usage</v>
      </c>
      <c r="I23" s="18"/>
      <c r="J23" s="18"/>
      <c r="K23" s="18"/>
      <c r="L23" s="18"/>
    </row>
    <row r="24" customFormat="false" ht="15" hidden="false" customHeight="false" outlineLevel="0" collapsed="false">
      <c r="A24" s="3" t="n">
        <f aca="false">IF(INDEX(Data_Checks!$A:$A,20+1)="","",INDEX(Data_Checks!$A:$A,20+1))</f>
        <v>5</v>
      </c>
      <c r="B24" s="3" t="str">
        <f aca="false">IF(INDEX(Data_Checks!$B:$B,20+1)="","",INDEX(Data_Checks!$B:$B,20+1))</f>
        <v>Every account with revenue has an invoice</v>
      </c>
      <c r="C24" s="3" t="str">
        <f aca="false">IF(INDEX(Data_Checks!$C:$C,20+1)="","",INDEX(Data_Checks!$C:$C,20+1))</f>
        <v>reporting window</v>
      </c>
      <c r="D24" s="16" t="n">
        <f aca="false">IF(INDEX(Data_Checks!$D:$D,20+1)="","",INDEX(Data_Checks!$D:$D,20+1))</f>
        <v>0</v>
      </c>
      <c r="E24" s="16" t="n">
        <f aca="false">IF(INDEX(Data_Checks!$E:$E,20+1)="","",INDEX(Data_Checks!$E:$E,20+1))</f>
        <v>0</v>
      </c>
      <c r="F24" s="17" t="n">
        <f aca="false">IF(INDEX(Data_Checks!$F:$F,20+1)="","",INDEX(Data_Checks!$F:$F,20+1))</f>
        <v>0</v>
      </c>
      <c r="G24" s="2" t="str">
        <f aca="false">IF(INDEX(Data_Checks!$G:$G,20+1)="","",INDEX(Data_Checks!$G:$G,20+1))</f>
        <v>PASS</v>
      </c>
      <c r="H24" s="3" t="str">
        <f aca="false">IF(INDEX(Data_Checks!$H:$H,20+1)="","",INDEX(Data_Checks!$H:$H,20+1))</f>
        <v>Every account with chargeable usage has an invoice</v>
      </c>
      <c r="I24" s="18"/>
      <c r="J24" s="18"/>
      <c r="K24" s="18"/>
      <c r="L24" s="18"/>
    </row>
    <row r="25" customFormat="false" ht="15" hidden="false" customHeight="false" outlineLevel="0" collapsed="false">
      <c r="A25" s="3" t="n">
        <f aca="false">IF(INDEX(Data_Checks!$A:$A,21+1)="","",INDEX(Data_Checks!$A:$A,21+1))</f>
        <v>6</v>
      </c>
      <c r="B25" s="3" t="str">
        <f aca="false">IF(INDEX(Data_Checks!$B:$B,21+1)="","",INDEX(Data_Checks!$B:$B,21+1))</f>
        <v>Invoices use the right unit price</v>
      </c>
      <c r="C25" s="3" t="str">
        <f aca="false">IF(INDEX(Data_Checks!$C:$C,21+1)="","",INDEX(Data_Checks!$C:$C,21+1))</f>
        <v>2026-09</v>
      </c>
      <c r="D25" s="16" t="n">
        <f aca="false">IF(INDEX(Data_Checks!$D:$D,21+1)="","",INDEX(Data_Checks!$D:$D,21+1))</f>
        <v>8.000959722</v>
      </c>
      <c r="E25" s="16" t="n">
        <f aca="false">IF(INDEX(Data_Checks!$E:$E,21+1)="","",INDEX(Data_Checks!$E:$E,21+1))</f>
        <v>8</v>
      </c>
      <c r="F25" s="17" t="n">
        <f aca="false">IF(INDEX(Data_Checks!$F:$F,21+1)="","",INDEX(Data_Checks!$F:$F,21+1))</f>
        <v>-0.000959722000000662</v>
      </c>
      <c r="G25" s="2" t="str">
        <f aca="false">IF(INDEX(Data_Checks!$G:$G,21+1)="","",INDEX(Data_Checks!$G:$G,21+1))</f>
        <v>PASS</v>
      </c>
      <c r="H25" s="3" t="str">
        <f aca="false">IF(INDEX(Data_Checks!$H:$H,21+1)="","",INDEX(Data_Checks!$H:$H,21+1))</f>
        <v>All invoices at the expected price</v>
      </c>
      <c r="I25" s="18"/>
      <c r="J25" s="18"/>
      <c r="K25" s="18"/>
      <c r="L25" s="18"/>
    </row>
    <row r="26" customFormat="false" ht="15" hidden="false" customHeight="false" outlineLevel="0" collapsed="false">
      <c r="A26" s="3" t="n">
        <f aca="false">IF(INDEX(Data_Checks!$A:$A,22+1)="","",INDEX(Data_Checks!$A:$A,22+1))</f>
        <v>6</v>
      </c>
      <c r="B26" s="3" t="str">
        <f aca="false">IF(INDEX(Data_Checks!$B:$B,22+1)="","",INDEX(Data_Checks!$B:$B,22+1))</f>
        <v>Invoices use the right unit price</v>
      </c>
      <c r="C26" s="3" t="str">
        <f aca="false">IF(INDEX(Data_Checks!$C:$C,22+1)="","",INDEX(Data_Checks!$C:$C,22+1))</f>
        <v>2026-10</v>
      </c>
      <c r="D26" s="16" t="n">
        <f aca="false">IF(INDEX(Data_Checks!$D:$D,22+1)="","",INDEX(Data_Checks!$D:$D,22+1))</f>
        <v>21735.1293171243</v>
      </c>
      <c r="E26" s="16" t="n">
        <f aca="false">IF(INDEX(Data_Checks!$E:$E,22+1)="","",INDEX(Data_Checks!$E:$E,22+1))</f>
        <v>21735.14</v>
      </c>
      <c r="F26" s="17" t="n">
        <f aca="false">IF(INDEX(Data_Checks!$F:$F,22+1)="","",INDEX(Data_Checks!$F:$F,22+1))</f>
        <v>0.0106828756981419</v>
      </c>
      <c r="G26" s="2" t="str">
        <f aca="false">IF(INDEX(Data_Checks!$G:$G,22+1)="","",INDEX(Data_Checks!$G:$G,22+1))</f>
        <v>PASS</v>
      </c>
      <c r="H26" s="3" t="str">
        <f aca="false">IF(INDEX(Data_Checks!$H:$H,22+1)="","",INDEX(Data_Checks!$H:$H,22+1))</f>
        <v>All invoices at the expected price</v>
      </c>
      <c r="I26" s="18"/>
      <c r="J26" s="18"/>
      <c r="K26" s="18"/>
      <c r="L26" s="18"/>
    </row>
    <row r="27" customFormat="false" ht="15" hidden="false" customHeight="false" outlineLevel="0" collapsed="false">
      <c r="A27" s="3" t="n">
        <f aca="false">IF(INDEX(Data_Checks!$A:$A,23+1)="","",INDEX(Data_Checks!$A:$A,23+1))</f>
        <v>6</v>
      </c>
      <c r="B27" s="3" t="str">
        <f aca="false">IF(INDEX(Data_Checks!$B:$B,23+1)="","",INDEX(Data_Checks!$B:$B,23+1))</f>
        <v>Invoices use the right unit price</v>
      </c>
      <c r="C27" s="3" t="str">
        <f aca="false">IF(INDEX(Data_Checks!$C:$C,23+1)="","",INDEX(Data_Checks!$C:$C,23+1))</f>
        <v>2026-11</v>
      </c>
      <c r="D27" s="16" t="n">
        <f aca="false">IF(INDEX(Data_Checks!$D:$D,23+1)="","",INDEX(Data_Checks!$D:$D,23+1))</f>
        <v>71340.1356766329</v>
      </c>
      <c r="E27" s="16" t="n">
        <f aca="false">IF(INDEX(Data_Checks!$E:$E,23+1)="","",INDEX(Data_Checks!$E:$E,23+1))</f>
        <v>71340.12</v>
      </c>
      <c r="F27" s="17" t="n">
        <f aca="false">IF(INDEX(Data_Checks!$F:$F,23+1)="","",INDEX(Data_Checks!$F:$F,23+1))</f>
        <v>-0.0156766328990123</v>
      </c>
      <c r="G27" s="2" t="str">
        <f aca="false">IF(INDEX(Data_Checks!$G:$G,23+1)="","",INDEX(Data_Checks!$G:$G,23+1))</f>
        <v>PASS</v>
      </c>
      <c r="H27" s="3" t="str">
        <f aca="false">IF(INDEX(Data_Checks!$H:$H,23+1)="","",INDEX(Data_Checks!$H:$H,23+1))</f>
        <v>All invoices at the expected price</v>
      </c>
      <c r="I27" s="18"/>
      <c r="J27" s="18"/>
      <c r="K27" s="18"/>
      <c r="L27" s="18"/>
    </row>
    <row r="28" customFormat="false" ht="15" hidden="false" customHeight="false" outlineLevel="0" collapsed="false">
      <c r="A28" s="3" t="n">
        <f aca="false">IF(INDEX(Data_Checks!$A:$A,24+1)="","",INDEX(Data_Checks!$A:$A,24+1))</f>
        <v>6</v>
      </c>
      <c r="B28" s="3" t="str">
        <f aca="false">IF(INDEX(Data_Checks!$B:$B,24+1)="","",INDEX(Data_Checks!$B:$B,24+1))</f>
        <v>Invoices use the right unit price</v>
      </c>
      <c r="C28" s="3" t="str">
        <f aca="false">IF(INDEX(Data_Checks!$C:$C,24+1)="","",INDEX(Data_Checks!$C:$C,24+1))</f>
        <v>2026-12</v>
      </c>
      <c r="D28" s="16" t="n">
        <f aca="false">IF(INDEX(Data_Checks!$D:$D,24+1)="","",INDEX(Data_Checks!$D:$D,24+1))</f>
        <v>137442.99179554</v>
      </c>
      <c r="E28" s="16" t="n">
        <f aca="false">IF(INDEX(Data_Checks!$E:$E,24+1)="","",INDEX(Data_Checks!$E:$E,24+1))</f>
        <v>137443.02</v>
      </c>
      <c r="F28" s="17" t="n">
        <f aca="false">IF(INDEX(Data_Checks!$F:$F,24+1)="","",INDEX(Data_Checks!$F:$F,24+1))</f>
        <v>0.0282044597980256</v>
      </c>
      <c r="G28" s="2" t="str">
        <f aca="false">IF(INDEX(Data_Checks!$G:$G,24+1)="","",INDEX(Data_Checks!$G:$G,24+1))</f>
        <v>PASS</v>
      </c>
      <c r="H28" s="3" t="str">
        <f aca="false">IF(INDEX(Data_Checks!$H:$H,24+1)="","",INDEX(Data_Checks!$H:$H,24+1))</f>
        <v>All invoices at the expected price</v>
      </c>
      <c r="I28" s="18"/>
      <c r="J28" s="18"/>
      <c r="K28" s="18"/>
      <c r="L28" s="18"/>
    </row>
    <row r="29" customFormat="false" ht="15" hidden="false" customHeight="false" outlineLevel="0" collapsed="false">
      <c r="A29" s="3" t="n">
        <f aca="false">IF(INDEX(Data_Checks!$A:$A,25+1)="","",INDEX(Data_Checks!$A:$A,25+1))</f>
        <v>6</v>
      </c>
      <c r="B29" s="3" t="str">
        <f aca="false">IF(INDEX(Data_Checks!$B:$B,25+1)="","",INDEX(Data_Checks!$B:$B,25+1))</f>
        <v>Invoices use the right unit price</v>
      </c>
      <c r="C29" s="3" t="str">
        <f aca="false">IF(INDEX(Data_Checks!$C:$C,25+1)="","",INDEX(Data_Checks!$C:$C,25+1))</f>
        <v>2027-02</v>
      </c>
      <c r="D29" s="16" t="n">
        <f aca="false">IF(INDEX(Data_Checks!$D:$D,25+1)="","",INDEX(Data_Checks!$D:$D,25+1))</f>
        <v>186569.476268446</v>
      </c>
      <c r="E29" s="16" t="n">
        <f aca="false">IF(INDEX(Data_Checks!$E:$E,25+1)="","",INDEX(Data_Checks!$E:$E,25+1))</f>
        <v>186569.45</v>
      </c>
      <c r="F29" s="17" t="n">
        <f aca="false">IF(INDEX(Data_Checks!$F:$F,25+1)="","",INDEX(Data_Checks!$F:$F,25+1))</f>
        <v>-0.026268445903476</v>
      </c>
      <c r="G29" s="2" t="str">
        <f aca="false">IF(INDEX(Data_Checks!$G:$G,25+1)="","",INDEX(Data_Checks!$G:$G,25+1))</f>
        <v>PASS</v>
      </c>
      <c r="H29" s="3" t="str">
        <f aca="false">IF(INDEX(Data_Checks!$H:$H,25+1)="","",INDEX(Data_Checks!$H:$H,25+1))</f>
        <v>All invoices at the expected price</v>
      </c>
      <c r="I29" s="18"/>
      <c r="J29" s="18"/>
      <c r="K29" s="18"/>
      <c r="L29" s="18"/>
    </row>
    <row r="30" customFormat="false" ht="15" hidden="false" customHeight="false" outlineLevel="0" collapsed="false">
      <c r="A30" s="3" t="n">
        <f aca="false">IF(INDEX(Data_Checks!$A:$A,26+1)="","",INDEX(Data_Checks!$A:$A,26+1))</f>
        <v>7</v>
      </c>
      <c r="B30" s="3" t="str">
        <f aca="false">IF(INDEX(Data_Checks!$B:$B,26+1)="","",INDEX(Data_Checks!$B:$B,26+1))</f>
        <v>Free credit used stays within each account's grant</v>
      </c>
      <c r="C30" s="3" t="str">
        <f aca="false">IF(INDEX(Data_Checks!$C:$C,26+1)="","",INDEX(Data_Checks!$C:$C,26+1))</f>
        <v>all accounts</v>
      </c>
      <c r="D30" s="16" t="n">
        <f aca="false">IF(INDEX(Data_Checks!$D:$D,26+1)="","",INDEX(Data_Checks!$D:$D,26+1))</f>
        <v>5</v>
      </c>
      <c r="E30" s="16" t="n">
        <f aca="false">IF(INDEX(Data_Checks!$E:$E,26+1)="","",INDEX(Data_Checks!$E:$E,26+1))</f>
        <v>4.999999998</v>
      </c>
      <c r="F30" s="17" t="n">
        <f aca="false">IF(INDEX(Data_Checks!$F:$F,26+1)="","",INDEX(Data_Checks!$F:$F,26+1))</f>
        <v>0</v>
      </c>
      <c r="G30" s="2" t="str">
        <f aca="false">IF(INDEX(Data_Checks!$G:$G,26+1)="","",INDEX(Data_Checks!$G:$G,26+1))</f>
        <v>PASS</v>
      </c>
      <c r="H30" s="3" t="str">
        <f aca="false">IF(INDEX(Data_Checks!$H:$H,26+1)="","",INDEX(Data_Checks!$H:$H,26+1))</f>
        <v>0 accounts used more free credit than granted</v>
      </c>
      <c r="I30" s="18"/>
      <c r="J30" s="18"/>
      <c r="K30" s="18"/>
      <c r="L30" s="18"/>
    </row>
    <row r="31" customFormat="false" ht="15" hidden="false" customHeight="false" outlineLevel="0" collapsed="false">
      <c r="A31" s="3" t="n">
        <f aca="false">IF(INDEX(Data_Checks!$A:$A,27+1)="","",INDEX(Data_Checks!$A:$A,27+1))</f>
        <v>8</v>
      </c>
      <c r="B31" s="3" t="str">
        <f aca="false">IF(INDEX(Data_Checks!$B:$B,27+1)="","",INDEX(Data_Checks!$B:$B,27+1))</f>
        <v>Gateway statement matches our logs</v>
      </c>
      <c r="C31" s="3" t="str">
        <f aca="false">IF(INDEX(Data_Checks!$C:$C,27+1)="","",INDEX(Data_Checks!$C:$C,27+1))</f>
        <v>digitalocean 2026-09</v>
      </c>
      <c r="D31" s="16" t="n">
        <f aca="false">IF(INDEX(Data_Checks!$D:$D,27+1)="","",INDEX(Data_Checks!$D:$D,27+1))</f>
        <v>426469684</v>
      </c>
      <c r="E31" s="16" t="n">
        <f aca="false">IF(INDEX(Data_Checks!$E:$E,27+1)="","",INDEX(Data_Checks!$E:$E,27+1))</f>
        <v>426000000</v>
      </c>
      <c r="F31" s="17" t="n">
        <f aca="false">IF(INDEX(Data_Checks!$F:$F,27+1)="","",INDEX(Data_Checks!$F:$F,27+1))</f>
        <v>-0.01814858976</v>
      </c>
      <c r="G31" s="2" t="str">
        <f aca="false">IF(INDEX(Data_Checks!$G:$G,27+1)="","",INDEX(Data_Checks!$G:$G,27+1))</f>
        <v>PASS</v>
      </c>
      <c r="H31" s="3" t="str">
        <f aca="false">IF(INDEX(Data_Checks!$H:$H,27+1)="","",INDEX(Data_Checks!$H:$H,27+1))</f>
        <v>Statement is -0.11% vs our logs</v>
      </c>
      <c r="I31" s="18"/>
      <c r="J31" s="18"/>
      <c r="K31" s="18"/>
      <c r="L31" s="18"/>
    </row>
    <row r="32" customFormat="false" ht="15" hidden="false" customHeight="false" outlineLevel="0" collapsed="false">
      <c r="A32" s="3" t="n">
        <f aca="false">IF(INDEX(Data_Checks!$A:$A,28+1)="","",INDEX(Data_Checks!$A:$A,28+1))</f>
        <v>8</v>
      </c>
      <c r="B32" s="3" t="str">
        <f aca="false">IF(INDEX(Data_Checks!$B:$B,28+1)="","",INDEX(Data_Checks!$B:$B,28+1))</f>
        <v>Gateway statement matches our logs</v>
      </c>
      <c r="C32" s="3" t="str">
        <f aca="false">IF(INDEX(Data_Checks!$C:$C,28+1)="","",INDEX(Data_Checks!$C:$C,28+1))</f>
        <v>digitalocean 2026-10</v>
      </c>
      <c r="D32" s="16" t="n">
        <f aca="false">IF(INDEX(Data_Checks!$D:$D,28+1)="","",INDEX(Data_Checks!$D:$D,28+1))</f>
        <v>1055669350</v>
      </c>
      <c r="E32" s="16" t="n">
        <f aca="false">IF(INDEX(Data_Checks!$E:$E,28+1)="","",INDEX(Data_Checks!$E:$E,28+1))</f>
        <v>1056000000</v>
      </c>
      <c r="F32" s="17" t="n">
        <f aca="false">IF(INDEX(Data_Checks!$F:$F,28+1)="","",INDEX(Data_Checks!$F:$F,28+1))</f>
        <v>0.012776316</v>
      </c>
      <c r="G32" s="2" t="str">
        <f aca="false">IF(INDEX(Data_Checks!$G:$G,28+1)="","",INDEX(Data_Checks!$G:$G,28+1))</f>
        <v>PASS</v>
      </c>
      <c r="H32" s="3" t="str">
        <f aca="false">IF(INDEX(Data_Checks!$H:$H,28+1)="","",INDEX(Data_Checks!$H:$H,28+1))</f>
        <v>Statement is 0.03% vs our logs</v>
      </c>
      <c r="I32" s="18"/>
      <c r="J32" s="18"/>
      <c r="K32" s="18"/>
      <c r="L32" s="18"/>
    </row>
    <row r="33" customFormat="false" ht="15" hidden="false" customHeight="false" outlineLevel="0" collapsed="false">
      <c r="A33" s="3" t="n">
        <f aca="false">IF(INDEX(Data_Checks!$A:$A,29+1)="","",INDEX(Data_Checks!$A:$A,29+1))</f>
        <v>8</v>
      </c>
      <c r="B33" s="3" t="str">
        <f aca="false">IF(INDEX(Data_Checks!$B:$B,29+1)="","",INDEX(Data_Checks!$B:$B,29+1))</f>
        <v>Gateway statement matches our logs</v>
      </c>
      <c r="C33" s="3" t="str">
        <f aca="false">IF(INDEX(Data_Checks!$C:$C,29+1)="","",INDEX(Data_Checks!$C:$C,29+1))</f>
        <v>digitalocean 2026-11</v>
      </c>
      <c r="D33" s="16" t="n">
        <f aca="false">IF(INDEX(Data_Checks!$D:$D,29+1)="","",INDEX(Data_Checks!$D:$D,29+1))</f>
        <v>2114605799</v>
      </c>
      <c r="E33" s="16" t="n">
        <f aca="false">IF(INDEX(Data_Checks!$E:$E,29+1)="","",INDEX(Data_Checks!$E:$E,29+1))</f>
        <v>2115000000</v>
      </c>
      <c r="F33" s="17" t="n">
        <f aca="false">IF(INDEX(Data_Checks!$F:$F,29+1)="","",INDEX(Data_Checks!$F:$F,29+1))</f>
        <v>0.01523192664</v>
      </c>
      <c r="G33" s="2" t="str">
        <f aca="false">IF(INDEX(Data_Checks!$G:$G,29+1)="","",INDEX(Data_Checks!$G:$G,29+1))</f>
        <v>PASS</v>
      </c>
      <c r="H33" s="3" t="str">
        <f aca="false">IF(INDEX(Data_Checks!$H:$H,29+1)="","",INDEX(Data_Checks!$H:$H,29+1))</f>
        <v>Statement is 0.02% vs our logs</v>
      </c>
      <c r="I33" s="18"/>
      <c r="J33" s="18"/>
      <c r="K33" s="18"/>
      <c r="L33" s="18"/>
    </row>
    <row r="34" customFormat="false" ht="15" hidden="false" customHeight="false" outlineLevel="0" collapsed="false">
      <c r="A34" s="3" t="n">
        <f aca="false">IF(INDEX(Data_Checks!$A:$A,30+1)="","",INDEX(Data_Checks!$A:$A,30+1))</f>
        <v>8</v>
      </c>
      <c r="B34" s="3" t="str">
        <f aca="false">IF(INDEX(Data_Checks!$B:$B,30+1)="","",INDEX(Data_Checks!$B:$B,30+1))</f>
        <v>Gateway statement matches our logs</v>
      </c>
      <c r="C34" s="3" t="str">
        <f aca="false">IF(INDEX(Data_Checks!$C:$C,30+1)="","",INDEX(Data_Checks!$C:$C,30+1))</f>
        <v>digitalocean 2026-12</v>
      </c>
      <c r="D34" s="16" t="n">
        <f aca="false">IF(INDEX(Data_Checks!$D:$D,30+1)="","",INDEX(Data_Checks!$D:$D,30+1))</f>
        <v>7466089971</v>
      </c>
      <c r="E34" s="16" t="n">
        <f aca="false">IF(INDEX(Data_Checks!$E:$E,30+1)="","",INDEX(Data_Checks!$E:$E,30+1))</f>
        <v>7466000000</v>
      </c>
      <c r="F34" s="17" t="n">
        <f aca="false">IF(INDEX(Data_Checks!$F:$F,30+1)="","",INDEX(Data_Checks!$F:$F,30+1))</f>
        <v>-0.00347647944</v>
      </c>
      <c r="G34" s="2" t="str">
        <f aca="false">IF(INDEX(Data_Checks!$G:$G,30+1)="","",INDEX(Data_Checks!$G:$G,30+1))</f>
        <v>PASS</v>
      </c>
      <c r="H34" s="3" t="str">
        <f aca="false">IF(INDEX(Data_Checks!$H:$H,30+1)="","",INDEX(Data_Checks!$H:$H,30+1))</f>
        <v>Statement is -0.0% vs our logs</v>
      </c>
      <c r="I34" s="18"/>
      <c r="J34" s="18"/>
      <c r="K34" s="18"/>
      <c r="L34" s="18"/>
    </row>
    <row r="35" customFormat="false" ht="15" hidden="false" customHeight="false" outlineLevel="0" collapsed="false">
      <c r="A35" s="3" t="n">
        <f aca="false">IF(INDEX(Data_Checks!$A:$A,31+1)="","",INDEX(Data_Checks!$A:$A,31+1))</f>
        <v>8</v>
      </c>
      <c r="B35" s="3" t="str">
        <f aca="false">IF(INDEX(Data_Checks!$B:$B,31+1)="","",INDEX(Data_Checks!$B:$B,31+1))</f>
        <v>Gateway statement matches our logs</v>
      </c>
      <c r="C35" s="3" t="str">
        <f aca="false">IF(INDEX(Data_Checks!$C:$C,31+1)="","",INDEX(Data_Checks!$C:$C,31+1))</f>
        <v>digitalocean 2027-01</v>
      </c>
      <c r="D35" s="16" t="n">
        <f aca="false">IF(INDEX(Data_Checks!$D:$D,31+1)="","",INDEX(Data_Checks!$D:$D,31+1))</f>
        <v>12737283801</v>
      </c>
      <c r="E35" s="16" t="n">
        <f aca="false">IF(INDEX(Data_Checks!$E:$E,31+1)="","",INDEX(Data_Checks!$E:$E,31+1))</f>
        <v>12737000000</v>
      </c>
      <c r="F35" s="17" t="n">
        <f aca="false">IF(INDEX(Data_Checks!$F:$F,31+1)="","",INDEX(Data_Checks!$F:$F,31+1))</f>
        <v>-0.01096607064</v>
      </c>
      <c r="G35" s="2" t="str">
        <f aca="false">IF(INDEX(Data_Checks!$G:$G,31+1)="","",INDEX(Data_Checks!$G:$G,31+1))</f>
        <v>PASS</v>
      </c>
      <c r="H35" s="3" t="str">
        <f aca="false">IF(INDEX(Data_Checks!$H:$H,31+1)="","",INDEX(Data_Checks!$H:$H,31+1))</f>
        <v>Statement is -0.0% vs our logs</v>
      </c>
      <c r="I35" s="18"/>
      <c r="J35" s="18"/>
      <c r="K35" s="18"/>
      <c r="L35" s="18"/>
    </row>
    <row r="36" customFormat="false" ht="15" hidden="false" customHeight="false" outlineLevel="0" collapsed="false">
      <c r="A36" s="3" t="n">
        <f aca="false">IF(INDEX(Data_Checks!$A:$A,32+1)="","",INDEX(Data_Checks!$A:$A,32+1))</f>
        <v>8</v>
      </c>
      <c r="B36" s="3" t="str">
        <f aca="false">IF(INDEX(Data_Checks!$B:$B,32+1)="","",INDEX(Data_Checks!$B:$B,32+1))</f>
        <v>Gateway statement matches our logs</v>
      </c>
      <c r="C36" s="3" t="str">
        <f aca="false">IF(INDEX(Data_Checks!$C:$C,32+1)="","",INDEX(Data_Checks!$C:$C,32+1))</f>
        <v>digitalocean 2027-02</v>
      </c>
      <c r="D36" s="16" t="n">
        <f aca="false">IF(INDEX(Data_Checks!$D:$D,32+1)="","",INDEX(Data_Checks!$D:$D,32+1))</f>
        <v>14986734199</v>
      </c>
      <c r="E36" s="16" t="n">
        <f aca="false">IF(INDEX(Data_Checks!$E:$E,32+1)="","",INDEX(Data_Checks!$E:$E,32+1))</f>
        <v>14987000000</v>
      </c>
      <c r="F36" s="17" t="n">
        <f aca="false">IF(INDEX(Data_Checks!$F:$F,32+1)="","",INDEX(Data_Checks!$F:$F,32+1))</f>
        <v>0.01027055064</v>
      </c>
      <c r="G36" s="2" t="str">
        <f aca="false">IF(INDEX(Data_Checks!$G:$G,32+1)="","",INDEX(Data_Checks!$G:$G,32+1))</f>
        <v>PASS</v>
      </c>
      <c r="H36" s="3" t="str">
        <f aca="false">IF(INDEX(Data_Checks!$H:$H,32+1)="","",INDEX(Data_Checks!$H:$H,32+1))</f>
        <v>Statement is 0.0% vs our logs</v>
      </c>
      <c r="I36" s="18"/>
      <c r="J36" s="18"/>
      <c r="K36" s="18"/>
      <c r="L36" s="18"/>
    </row>
    <row r="37" customFormat="false" ht="15" hidden="false" customHeight="false" outlineLevel="0" collapsed="false">
      <c r="A37" s="3" t="n">
        <f aca="false">IF(INDEX(Data_Checks!$A:$A,33+1)="","",INDEX(Data_Checks!$A:$A,33+1))</f>
        <v>8</v>
      </c>
      <c r="B37" s="3" t="str">
        <f aca="false">IF(INDEX(Data_Checks!$B:$B,33+1)="","",INDEX(Data_Checks!$B:$B,33+1))</f>
        <v>Gateway statement matches our logs</v>
      </c>
      <c r="C37" s="3" t="str">
        <f aca="false">IF(INDEX(Data_Checks!$C:$C,33+1)="","",INDEX(Data_Checks!$C:$C,33+1))</f>
        <v>openrouter 2026-09</v>
      </c>
      <c r="D37" s="16" t="n">
        <f aca="false">IF(INDEX(Data_Checks!$D:$D,33+1)="","",INDEX(Data_Checks!$D:$D,33+1))</f>
        <v>1226175518</v>
      </c>
      <c r="E37" s="16" t="n">
        <f aca="false">IF(INDEX(Data_Checks!$E:$E,33+1)="","",INDEX(Data_Checks!$E:$E,33+1))</f>
        <v>1226000000</v>
      </c>
      <c r="F37" s="17" t="n">
        <f aca="false">IF(INDEX(Data_Checks!$F:$F,33+1)="","",INDEX(Data_Checks!$F:$F,33+1))</f>
        <v>-0.0070031682</v>
      </c>
      <c r="G37" s="2" t="str">
        <f aca="false">IF(INDEX(Data_Checks!$G:$G,33+1)="","",INDEX(Data_Checks!$G:$G,33+1))</f>
        <v>PASS</v>
      </c>
      <c r="H37" s="3" t="str">
        <f aca="false">IF(INDEX(Data_Checks!$H:$H,33+1)="","",INDEX(Data_Checks!$H:$H,33+1))</f>
        <v>Statement is -0.01% vs our logs</v>
      </c>
      <c r="I37" s="18"/>
      <c r="J37" s="18"/>
      <c r="K37" s="18"/>
      <c r="L37" s="18"/>
    </row>
    <row r="38" customFormat="false" ht="15" hidden="false" customHeight="false" outlineLevel="0" collapsed="false">
      <c r="A38" s="3" t="n">
        <f aca="false">IF(INDEX(Data_Checks!$A:$A,34+1)="","",INDEX(Data_Checks!$A:$A,34+1))</f>
        <v>8</v>
      </c>
      <c r="B38" s="3" t="str">
        <f aca="false">IF(INDEX(Data_Checks!$B:$B,34+1)="","",INDEX(Data_Checks!$B:$B,34+1))</f>
        <v>Gateway statement matches our logs</v>
      </c>
      <c r="C38" s="3" t="str">
        <f aca="false">IF(INDEX(Data_Checks!$C:$C,34+1)="","",INDEX(Data_Checks!$C:$C,34+1))</f>
        <v>openrouter 2026-10</v>
      </c>
      <c r="D38" s="16" t="n">
        <f aca="false">IF(INDEX(Data_Checks!$D:$D,34+1)="","",INDEX(Data_Checks!$D:$D,34+1))</f>
        <v>10059494302</v>
      </c>
      <c r="E38" s="16" t="n">
        <f aca="false">IF(INDEX(Data_Checks!$E:$E,34+1)="","",INDEX(Data_Checks!$E:$E,34+1))</f>
        <v>10059000000</v>
      </c>
      <c r="F38" s="17" t="n">
        <f aca="false">IF(INDEX(Data_Checks!$F:$F,34+1)="","",INDEX(Data_Checks!$F:$F,34+1))</f>
        <v>-0.0197226498</v>
      </c>
      <c r="G38" s="2" t="str">
        <f aca="false">IF(INDEX(Data_Checks!$G:$G,34+1)="","",INDEX(Data_Checks!$G:$G,34+1))</f>
        <v>PASS</v>
      </c>
      <c r="H38" s="3" t="str">
        <f aca="false">IF(INDEX(Data_Checks!$H:$H,34+1)="","",INDEX(Data_Checks!$H:$H,34+1))</f>
        <v>Statement is -0.0% vs our logs</v>
      </c>
      <c r="I38" s="18"/>
      <c r="J38" s="18"/>
      <c r="K38" s="18"/>
      <c r="L38" s="18"/>
    </row>
    <row r="39" customFormat="false" ht="15" hidden="false" customHeight="false" outlineLevel="0" collapsed="false">
      <c r="A39" s="3" t="n">
        <f aca="false">IF(INDEX(Data_Checks!$A:$A,35+1)="","",INDEX(Data_Checks!$A:$A,35+1))</f>
        <v>8</v>
      </c>
      <c r="B39" s="3" t="str">
        <f aca="false">IF(INDEX(Data_Checks!$B:$B,35+1)="","",INDEX(Data_Checks!$B:$B,35+1))</f>
        <v>Gateway statement matches our logs</v>
      </c>
      <c r="C39" s="3" t="str">
        <f aca="false">IF(INDEX(Data_Checks!$C:$C,35+1)="","",INDEX(Data_Checks!$C:$C,35+1))</f>
        <v>openrouter 2026-11</v>
      </c>
      <c r="D39" s="16" t="n">
        <f aca="false">IF(INDEX(Data_Checks!$D:$D,35+1)="","",INDEX(Data_Checks!$D:$D,35+1))</f>
        <v>46369863095</v>
      </c>
      <c r="E39" s="16" t="n">
        <f aca="false">IF(INDEX(Data_Checks!$E:$E,35+1)="","",INDEX(Data_Checks!$E:$E,35+1))</f>
        <v>46370000000</v>
      </c>
      <c r="F39" s="17" t="n">
        <f aca="false">IF(INDEX(Data_Checks!$F:$F,35+1)="","",INDEX(Data_Checks!$F:$F,35+1))</f>
        <v>0.0054625095</v>
      </c>
      <c r="G39" s="2" t="str">
        <f aca="false">IF(INDEX(Data_Checks!$G:$G,35+1)="","",INDEX(Data_Checks!$G:$G,35+1))</f>
        <v>PASS</v>
      </c>
      <c r="H39" s="3" t="str">
        <f aca="false">IF(INDEX(Data_Checks!$H:$H,35+1)="","",INDEX(Data_Checks!$H:$H,35+1))</f>
        <v>Statement is 0.0% vs our logs</v>
      </c>
      <c r="I39" s="18"/>
      <c r="J39" s="18"/>
      <c r="K39" s="18"/>
      <c r="L39" s="18"/>
    </row>
    <row r="40" customFormat="false" ht="15" hidden="false" customHeight="false" outlineLevel="0" collapsed="false">
      <c r="A40" s="3" t="n">
        <f aca="false">IF(INDEX(Data_Checks!$A:$A,36+1)="","",INDEX(Data_Checks!$A:$A,36+1))</f>
        <v>8</v>
      </c>
      <c r="B40" s="3" t="str">
        <f aca="false">IF(INDEX(Data_Checks!$B:$B,36+1)="","",INDEX(Data_Checks!$B:$B,36+1))</f>
        <v>Gateway statement matches our logs</v>
      </c>
      <c r="C40" s="3" t="str">
        <f aca="false">IF(INDEX(Data_Checks!$C:$C,36+1)="","",INDEX(Data_Checks!$C:$C,36+1))</f>
        <v>openrouter 2026-12</v>
      </c>
      <c r="D40" s="16" t="n">
        <f aca="false">IF(INDEX(Data_Checks!$D:$D,36+1)="","",INDEX(Data_Checks!$D:$D,36+1))</f>
        <v>165493359479</v>
      </c>
      <c r="E40" s="16" t="n">
        <f aca="false">IF(INDEX(Data_Checks!$E:$E,36+1)="","",INDEX(Data_Checks!$E:$E,36+1))</f>
        <v>165493000000</v>
      </c>
      <c r="F40" s="17" t="n">
        <f aca="false">IF(INDEX(Data_Checks!$F:$F,36+1)="","",INDEX(Data_Checks!$F:$F,36+1))</f>
        <v>-0.0143432121</v>
      </c>
      <c r="G40" s="2" t="str">
        <f aca="false">IF(INDEX(Data_Checks!$G:$G,36+1)="","",INDEX(Data_Checks!$G:$G,36+1))</f>
        <v>PASS</v>
      </c>
      <c r="H40" s="3" t="str">
        <f aca="false">IF(INDEX(Data_Checks!$H:$H,36+1)="","",INDEX(Data_Checks!$H:$H,36+1))</f>
        <v>Statement is -0.0% vs our logs</v>
      </c>
      <c r="I40" s="18"/>
      <c r="J40" s="18"/>
      <c r="K40" s="18"/>
      <c r="L40" s="18"/>
    </row>
    <row r="41" customFormat="false" ht="15" hidden="false" customHeight="false" outlineLevel="0" collapsed="false">
      <c r="A41" s="3" t="n">
        <f aca="false">IF(INDEX(Data_Checks!$A:$A,37+1)="","",INDEX(Data_Checks!$A:$A,37+1))</f>
        <v>8</v>
      </c>
      <c r="B41" s="3" t="str">
        <f aca="false">IF(INDEX(Data_Checks!$B:$B,37+1)="","",INDEX(Data_Checks!$B:$B,37+1))</f>
        <v>Gateway statement matches our logs</v>
      </c>
      <c r="C41" s="3" t="str">
        <f aca="false">IF(INDEX(Data_Checks!$C:$C,37+1)="","",INDEX(Data_Checks!$C:$C,37+1))</f>
        <v>openrouter 2027-02</v>
      </c>
      <c r="D41" s="16" t="n">
        <f aca="false">IF(INDEX(Data_Checks!$D:$D,37+1)="","",INDEX(Data_Checks!$D:$D,37+1))</f>
        <v>370518908817</v>
      </c>
      <c r="E41" s="16" t="n">
        <f aca="false">IF(INDEX(Data_Checks!$E:$E,37+1)="","",INDEX(Data_Checks!$E:$E,37+1))</f>
        <v>370519000000</v>
      </c>
      <c r="F41" s="17" t="n">
        <f aca="false">IF(INDEX(Data_Checks!$F:$F,37+1)="","",INDEX(Data_Checks!$F:$F,37+1))</f>
        <v>0.0036382017</v>
      </c>
      <c r="G41" s="2" t="str">
        <f aca="false">IF(INDEX(Data_Checks!$G:$G,37+1)="","",INDEX(Data_Checks!$G:$G,37+1))</f>
        <v>PASS</v>
      </c>
      <c r="H41" s="3" t="str">
        <f aca="false">IF(INDEX(Data_Checks!$H:$H,37+1)="","",INDEX(Data_Checks!$H:$H,37+1))</f>
        <v>Statement is 0.0% vs our logs</v>
      </c>
      <c r="I41" s="18"/>
      <c r="J41" s="18"/>
      <c r="K41" s="18"/>
      <c r="L41" s="18"/>
    </row>
    <row r="42" customFormat="false" ht="15" hidden="false" customHeight="false" outlineLevel="0" collapsed="false">
      <c r="A42" s="3" t="n">
        <f aca="false">IF(INDEX(Data_Checks!$A:$A,38+1)="","",INDEX(Data_Checks!$A:$A,38+1))</f>
        <v>8</v>
      </c>
      <c r="B42" s="3" t="str">
        <f aca="false">IF(INDEX(Data_Checks!$B:$B,38+1)="","",INDEX(Data_Checks!$B:$B,38+1))</f>
        <v>Gateway statement matches our logs</v>
      </c>
      <c r="C42" s="3" t="str">
        <f aca="false">IF(INDEX(Data_Checks!$C:$C,38+1)="","",INDEX(Data_Checks!$C:$C,38+1))</f>
        <v>vercel 2026-09</v>
      </c>
      <c r="D42" s="16" t="n">
        <f aca="false">IF(INDEX(Data_Checks!$D:$D,38+1)="","",INDEX(Data_Checks!$D:$D,38+1))</f>
        <v>2516245521</v>
      </c>
      <c r="E42" s="16" t="n">
        <f aca="false">IF(INDEX(Data_Checks!$E:$E,38+1)="","",INDEX(Data_Checks!$E:$E,38+1))</f>
        <v>2516000000</v>
      </c>
      <c r="F42" s="17" t="n">
        <f aca="false">IF(INDEX(Data_Checks!$F:$F,38+1)="","",INDEX(Data_Checks!$F:$F,38+1))</f>
        <v>-0.0097962879</v>
      </c>
      <c r="G42" s="2" t="str">
        <f aca="false">IF(INDEX(Data_Checks!$G:$G,38+1)="","",INDEX(Data_Checks!$G:$G,38+1))</f>
        <v>PASS</v>
      </c>
      <c r="H42" s="3" t="str">
        <f aca="false">IF(INDEX(Data_Checks!$H:$H,38+1)="","",INDEX(Data_Checks!$H:$H,38+1))</f>
        <v>Statement is -0.01% vs our logs</v>
      </c>
      <c r="I42" s="18"/>
      <c r="J42" s="18"/>
      <c r="K42" s="18"/>
      <c r="L42" s="18"/>
    </row>
    <row r="43" customFormat="false" ht="15" hidden="false" customHeight="false" outlineLevel="0" collapsed="false">
      <c r="A43" s="3" t="n">
        <f aca="false">IF(INDEX(Data_Checks!$A:$A,39+1)="","",INDEX(Data_Checks!$A:$A,39+1))</f>
        <v>8</v>
      </c>
      <c r="B43" s="3" t="str">
        <f aca="false">IF(INDEX(Data_Checks!$B:$B,39+1)="","",INDEX(Data_Checks!$B:$B,39+1))</f>
        <v>Gateway statement matches our logs</v>
      </c>
      <c r="C43" s="3" t="str">
        <f aca="false">IF(INDEX(Data_Checks!$C:$C,39+1)="","",INDEX(Data_Checks!$C:$C,39+1))</f>
        <v>vercel 2026-10</v>
      </c>
      <c r="D43" s="16" t="n">
        <f aca="false">IF(INDEX(Data_Checks!$D:$D,39+1)="","",INDEX(Data_Checks!$D:$D,39+1))</f>
        <v>16337845301</v>
      </c>
      <c r="E43" s="16" t="n">
        <f aca="false">IF(INDEX(Data_Checks!$E:$E,39+1)="","",INDEX(Data_Checks!$E:$E,39+1))</f>
        <v>16338000000</v>
      </c>
      <c r="F43" s="17" t="n">
        <f aca="false">IF(INDEX(Data_Checks!$F:$F,39+1)="","",INDEX(Data_Checks!$F:$F,39+1))</f>
        <v>0.0061724901</v>
      </c>
      <c r="G43" s="2" t="str">
        <f aca="false">IF(INDEX(Data_Checks!$G:$G,39+1)="","",INDEX(Data_Checks!$G:$G,39+1))</f>
        <v>PASS</v>
      </c>
      <c r="H43" s="3" t="str">
        <f aca="false">IF(INDEX(Data_Checks!$H:$H,39+1)="","",INDEX(Data_Checks!$H:$H,39+1))</f>
        <v>Statement is 0.0% vs our logs</v>
      </c>
      <c r="I43" s="18"/>
      <c r="J43" s="18"/>
      <c r="K43" s="18"/>
      <c r="L43" s="18"/>
    </row>
    <row r="44" customFormat="false" ht="15" hidden="false" customHeight="false" outlineLevel="0" collapsed="false">
      <c r="A44" s="3" t="n">
        <f aca="false">IF(INDEX(Data_Checks!$A:$A,40+1)="","",INDEX(Data_Checks!$A:$A,40+1))</f>
        <v>8</v>
      </c>
      <c r="B44" s="3" t="str">
        <f aca="false">IF(INDEX(Data_Checks!$B:$B,40+1)="","",INDEX(Data_Checks!$B:$B,40+1))</f>
        <v>Gateway statement matches our logs</v>
      </c>
      <c r="C44" s="3" t="str">
        <f aca="false">IF(INDEX(Data_Checks!$C:$C,40+1)="","",INDEX(Data_Checks!$C:$C,40+1))</f>
        <v>vercel 2026-11</v>
      </c>
      <c r="D44" s="16" t="n">
        <f aca="false">IF(INDEX(Data_Checks!$D:$D,40+1)="","",INDEX(Data_Checks!$D:$D,40+1))</f>
        <v>113741699989</v>
      </c>
      <c r="E44" s="16" t="n">
        <f aca="false">IF(INDEX(Data_Checks!$E:$E,40+1)="","",INDEX(Data_Checks!$E:$E,40+1))</f>
        <v>113742000000</v>
      </c>
      <c r="F44" s="17" t="n">
        <f aca="false">IF(INDEX(Data_Checks!$F:$F,40+1)="","",INDEX(Data_Checks!$F:$F,40+1))</f>
        <v>0.0119704389</v>
      </c>
      <c r="G44" s="2" t="str">
        <f aca="false">IF(INDEX(Data_Checks!$G:$G,40+1)="","",INDEX(Data_Checks!$G:$G,40+1))</f>
        <v>PASS</v>
      </c>
      <c r="H44" s="3" t="str">
        <f aca="false">IF(INDEX(Data_Checks!$H:$H,40+1)="","",INDEX(Data_Checks!$H:$H,40+1))</f>
        <v>Statement is 0.0% vs our logs</v>
      </c>
      <c r="I44" s="18"/>
      <c r="J44" s="18"/>
      <c r="K44" s="18"/>
      <c r="L44" s="18"/>
    </row>
    <row r="45" customFormat="false" ht="15" hidden="false" customHeight="false" outlineLevel="0" collapsed="false">
      <c r="A45" s="3" t="n">
        <f aca="false">IF(INDEX(Data_Checks!$A:$A,41+1)="","",INDEX(Data_Checks!$A:$A,41+1))</f>
        <v>8</v>
      </c>
      <c r="B45" s="3" t="str">
        <f aca="false">IF(INDEX(Data_Checks!$B:$B,41+1)="","",INDEX(Data_Checks!$B:$B,41+1))</f>
        <v>Gateway statement matches our logs</v>
      </c>
      <c r="C45" s="3" t="str">
        <f aca="false">IF(INDEX(Data_Checks!$C:$C,41+1)="","",INDEX(Data_Checks!$C:$C,41+1))</f>
        <v>vercel 2026-12</v>
      </c>
      <c r="D45" s="16" t="n">
        <f aca="false">IF(INDEX(Data_Checks!$D:$D,41+1)="","",INDEX(Data_Checks!$D:$D,41+1))</f>
        <v>319660762488</v>
      </c>
      <c r="E45" s="16" t="n">
        <f aca="false">IF(INDEX(Data_Checks!$E:$E,41+1)="","",INDEX(Data_Checks!$E:$E,41+1))</f>
        <v>319661000000</v>
      </c>
      <c r="F45" s="17" t="n">
        <f aca="false">IF(INDEX(Data_Checks!$F:$F,41+1)="","",INDEX(Data_Checks!$F:$F,41+1))</f>
        <v>0.0094767288</v>
      </c>
      <c r="G45" s="2" t="str">
        <f aca="false">IF(INDEX(Data_Checks!$G:$G,41+1)="","",INDEX(Data_Checks!$G:$G,41+1))</f>
        <v>PASS</v>
      </c>
      <c r="H45" s="3" t="str">
        <f aca="false">IF(INDEX(Data_Checks!$H:$H,41+1)="","",INDEX(Data_Checks!$H:$H,41+1))</f>
        <v>Statement is 0.0% vs our logs</v>
      </c>
      <c r="I45" s="18"/>
      <c r="J45" s="18"/>
      <c r="K45" s="18"/>
      <c r="L45" s="18"/>
    </row>
    <row r="46" customFormat="false" ht="15" hidden="false" customHeight="false" outlineLevel="0" collapsed="false">
      <c r="A46" s="3" t="n">
        <f aca="false">IF(INDEX(Data_Checks!$A:$A,42+1)="","",INDEX(Data_Checks!$A:$A,42+1))</f>
        <v>8</v>
      </c>
      <c r="B46" s="3" t="str">
        <f aca="false">IF(INDEX(Data_Checks!$B:$B,42+1)="","",INDEX(Data_Checks!$B:$B,42+1))</f>
        <v>Gateway statement matches our logs</v>
      </c>
      <c r="C46" s="3" t="str">
        <f aca="false">IF(INDEX(Data_Checks!$C:$C,42+1)="","",INDEX(Data_Checks!$C:$C,42+1))</f>
        <v>vercel 2027-01</v>
      </c>
      <c r="D46" s="16" t="n">
        <f aca="false">IF(INDEX(Data_Checks!$D:$D,42+1)="","",INDEX(Data_Checks!$D:$D,42+1))</f>
        <v>410116582141</v>
      </c>
      <c r="E46" s="16" t="n">
        <f aca="false">IF(INDEX(Data_Checks!$E:$E,42+1)="","",INDEX(Data_Checks!$E:$E,42+1))</f>
        <v>410117000000</v>
      </c>
      <c r="F46" s="17" t="n">
        <f aca="false">IF(INDEX(Data_Checks!$F:$F,42+1)="","",INDEX(Data_Checks!$F:$F,42+1))</f>
        <v>0.0166725741</v>
      </c>
      <c r="G46" s="2" t="str">
        <f aca="false">IF(INDEX(Data_Checks!$G:$G,42+1)="","",INDEX(Data_Checks!$G:$G,42+1))</f>
        <v>PASS</v>
      </c>
      <c r="H46" s="3" t="str">
        <f aca="false">IF(INDEX(Data_Checks!$H:$H,42+1)="","",INDEX(Data_Checks!$H:$H,42+1))</f>
        <v>Statement is 0.0% vs our logs</v>
      </c>
      <c r="I46" s="18"/>
      <c r="J46" s="18"/>
      <c r="K46" s="18"/>
      <c r="L46" s="18"/>
    </row>
    <row r="47" customFormat="false" ht="15" hidden="false" customHeight="false" outlineLevel="0" collapsed="false">
      <c r="A47" s="3" t="n">
        <f aca="false">IF(INDEX(Data_Checks!$A:$A,43+1)="","",INDEX(Data_Checks!$A:$A,43+1))</f>
        <v>8</v>
      </c>
      <c r="B47" s="3" t="str">
        <f aca="false">IF(INDEX(Data_Checks!$B:$B,43+1)="","",INDEX(Data_Checks!$B:$B,43+1))</f>
        <v>Gateway statement matches our logs</v>
      </c>
      <c r="C47" s="3" t="str">
        <f aca="false">IF(INDEX(Data_Checks!$C:$C,43+1)="","",INDEX(Data_Checks!$C:$C,43+1))</f>
        <v>vercel 2027-02</v>
      </c>
      <c r="D47" s="16" t="n">
        <f aca="false">IF(INDEX(Data_Checks!$D:$D,43+1)="","",INDEX(Data_Checks!$D:$D,43+1))</f>
        <v>456562117440</v>
      </c>
      <c r="E47" s="16" t="n">
        <f aca="false">IF(INDEX(Data_Checks!$E:$E,43+1)="","",INDEX(Data_Checks!$E:$E,43+1))</f>
        <v>456562000000</v>
      </c>
      <c r="F47" s="17" t="n">
        <f aca="false">IF(INDEX(Data_Checks!$F:$F,43+1)="","",INDEX(Data_Checks!$F:$F,43+1))</f>
        <v>-0.004685856</v>
      </c>
      <c r="G47" s="2" t="str">
        <f aca="false">IF(INDEX(Data_Checks!$G:$G,43+1)="","",INDEX(Data_Checks!$G:$G,43+1))</f>
        <v>PASS</v>
      </c>
      <c r="H47" s="3" t="str">
        <f aca="false">IF(INDEX(Data_Checks!$H:$H,43+1)="","",INDEX(Data_Checks!$H:$H,43+1))</f>
        <v>Statement is -0.0% vs our logs</v>
      </c>
      <c r="I47" s="18"/>
      <c r="J47" s="18"/>
      <c r="K47" s="18"/>
      <c r="L47" s="18"/>
    </row>
    <row r="48" customFormat="false" ht="15" hidden="false" customHeight="false" outlineLevel="0" collapsed="false">
      <c r="A48" s="3" t="n">
        <f aca="false">IF(INDEX(Data_Checks!$A:$A,44+1)="","",INDEX(Data_Checks!$A:$A,44+1))</f>
        <v>9</v>
      </c>
      <c r="B48" s="3" t="str">
        <f aca="false">IF(INDEX(Data_Checks!$B:$B,44+1)="","",INDEX(Data_Checks!$B:$B,44+1))</f>
        <v>Gateway remittance = gross less agreed fee</v>
      </c>
      <c r="C48" s="3" t="str">
        <f aca="false">IF(INDEX(Data_Checks!$C:$C,44+1)="","",INDEX(Data_Checks!$C:$C,44+1))</f>
        <v>digitalocean 2026-09</v>
      </c>
      <c r="D48" s="16" t="n">
        <f aca="false">IF(INDEX(Data_Checks!$D:$D,44+1)="","",INDEX(Data_Checks!$D:$D,44+1))</f>
        <v>16.4588</v>
      </c>
      <c r="E48" s="16" t="n">
        <f aca="false">IF(INDEX(Data_Checks!$E:$E,44+1)="","",INDEX(Data_Checks!$E:$E,44+1))</f>
        <v>16.46</v>
      </c>
      <c r="F48" s="17" t="n">
        <f aca="false">IF(INDEX(Data_Checks!$F:$F,44+1)="","",INDEX(Data_Checks!$F:$F,44+1))</f>
        <v>0.00120000000000076</v>
      </c>
      <c r="G48" s="2" t="str">
        <f aca="false">IF(INDEX(Data_Checks!$G:$G,44+1)="","",INDEX(Data_Checks!$G:$G,44+1))</f>
        <v>PASS</v>
      </c>
      <c r="H48" s="3" t="str">
        <f aca="false">IF(INDEX(Data_Checks!$H:$H,44+1)="","",INDEX(Data_Checks!$H:$H,44+1))</f>
        <v>Agreed fee 8.0% (config), statement fee 8.0%</v>
      </c>
      <c r="I48" s="18"/>
      <c r="J48" s="18"/>
      <c r="K48" s="18"/>
      <c r="L48" s="18"/>
    </row>
    <row r="49" customFormat="false" ht="15" hidden="false" customHeight="false" outlineLevel="0" collapsed="false">
      <c r="A49" s="3" t="n">
        <f aca="false">IF(INDEX(Data_Checks!$A:$A,45+1)="","",INDEX(Data_Checks!$A:$A,45+1))</f>
        <v>9</v>
      </c>
      <c r="B49" s="3" t="str">
        <f aca="false">IF(INDEX(Data_Checks!$B:$B,45+1)="","",INDEX(Data_Checks!$B:$B,45+1))</f>
        <v>Gateway remittance = gross less agreed fee</v>
      </c>
      <c r="C49" s="3" t="str">
        <f aca="false">IF(INDEX(Data_Checks!$C:$C,45+1)="","",INDEX(Data_Checks!$C:$C,45+1))</f>
        <v>digitalocean 2026-10</v>
      </c>
      <c r="D49" s="16" t="n">
        <f aca="false">IF(INDEX(Data_Checks!$D:$D,45+1)="","",INDEX(Data_Checks!$D:$D,45+1))</f>
        <v>40.802</v>
      </c>
      <c r="E49" s="16" t="n">
        <f aca="false">IF(INDEX(Data_Checks!$E:$E,45+1)="","",INDEX(Data_Checks!$E:$E,45+1))</f>
        <v>40.8</v>
      </c>
      <c r="F49" s="17" t="n">
        <f aca="false">IF(INDEX(Data_Checks!$F:$F,45+1)="","",INDEX(Data_Checks!$F:$F,45+1))</f>
        <v>-0.00200000000000244</v>
      </c>
      <c r="G49" s="2" t="str">
        <f aca="false">IF(INDEX(Data_Checks!$G:$G,45+1)="","",INDEX(Data_Checks!$G:$G,45+1))</f>
        <v>PASS</v>
      </c>
      <c r="H49" s="3" t="str">
        <f aca="false">IF(INDEX(Data_Checks!$H:$H,45+1)="","",INDEX(Data_Checks!$H:$H,45+1))</f>
        <v>Agreed fee 8.0% (config), statement fee 8.0%</v>
      </c>
      <c r="I49" s="18"/>
      <c r="J49" s="18"/>
      <c r="K49" s="18"/>
      <c r="L49" s="18"/>
    </row>
    <row r="50" customFormat="false" ht="15" hidden="false" customHeight="false" outlineLevel="0" collapsed="false">
      <c r="A50" s="3" t="n">
        <f aca="false">IF(INDEX(Data_Checks!$A:$A,46+1)="","",INDEX(Data_Checks!$A:$A,46+1))</f>
        <v>9</v>
      </c>
      <c r="B50" s="3" t="str">
        <f aca="false">IF(INDEX(Data_Checks!$B:$B,46+1)="","",INDEX(Data_Checks!$B:$B,46+1))</f>
        <v>Gateway remittance = gross less agreed fee</v>
      </c>
      <c r="C50" s="3" t="str">
        <f aca="false">IF(INDEX(Data_Checks!$C:$C,46+1)="","",INDEX(Data_Checks!$C:$C,46+1))</f>
        <v>digitalocean 2026-11</v>
      </c>
      <c r="D50" s="16" t="n">
        <f aca="false">IF(INDEX(Data_Checks!$D:$D,46+1)="","",INDEX(Data_Checks!$D:$D,46+1))</f>
        <v>81.7236</v>
      </c>
      <c r="E50" s="16" t="n">
        <f aca="false">IF(INDEX(Data_Checks!$E:$E,46+1)="","",INDEX(Data_Checks!$E:$E,46+1))</f>
        <v>81.72</v>
      </c>
      <c r="F50" s="17" t="n">
        <f aca="false">IF(INDEX(Data_Checks!$F:$F,46+1)="","",INDEX(Data_Checks!$F:$F,46+1))</f>
        <v>-0.00360000000000582</v>
      </c>
      <c r="G50" s="2" t="str">
        <f aca="false">IF(INDEX(Data_Checks!$G:$G,46+1)="","",INDEX(Data_Checks!$G:$G,46+1))</f>
        <v>PASS</v>
      </c>
      <c r="H50" s="3" t="str">
        <f aca="false">IF(INDEX(Data_Checks!$H:$H,46+1)="","",INDEX(Data_Checks!$H:$H,46+1))</f>
        <v>Agreed fee 8.0% (config), statement fee 8.0%</v>
      </c>
      <c r="I50" s="18"/>
      <c r="J50" s="18"/>
      <c r="K50" s="18"/>
      <c r="L50" s="18"/>
    </row>
    <row r="51" customFormat="false" ht="15" hidden="false" customHeight="false" outlineLevel="0" collapsed="false">
      <c r="A51" s="3" t="n">
        <f aca="false">IF(INDEX(Data_Checks!$A:$A,47+1)="","",INDEX(Data_Checks!$A:$A,47+1))</f>
        <v>9</v>
      </c>
      <c r="B51" s="3" t="str">
        <f aca="false">IF(INDEX(Data_Checks!$B:$B,47+1)="","",INDEX(Data_Checks!$B:$B,47+1))</f>
        <v>Gateway remittance = gross less agreed fee</v>
      </c>
      <c r="C51" s="3" t="str">
        <f aca="false">IF(INDEX(Data_Checks!$C:$C,47+1)="","",INDEX(Data_Checks!$C:$C,47+1))</f>
        <v>digitalocean 2026-12</v>
      </c>
      <c r="D51" s="16" t="n">
        <f aca="false">IF(INDEX(Data_Checks!$D:$D,47+1)="","",INDEX(Data_Checks!$D:$D,47+1))</f>
        <v>288.4844</v>
      </c>
      <c r="E51" s="16" t="n">
        <f aca="false">IF(INDEX(Data_Checks!$E:$E,47+1)="","",INDEX(Data_Checks!$E:$E,47+1))</f>
        <v>288.48</v>
      </c>
      <c r="F51" s="17" t="n">
        <f aca="false">IF(INDEX(Data_Checks!$F:$F,47+1)="","",INDEX(Data_Checks!$F:$F,47+1))</f>
        <v>-0.00439999999997554</v>
      </c>
      <c r="G51" s="2" t="str">
        <f aca="false">IF(INDEX(Data_Checks!$G:$G,47+1)="","",INDEX(Data_Checks!$G:$G,47+1))</f>
        <v>PASS</v>
      </c>
      <c r="H51" s="3" t="str">
        <f aca="false">IF(INDEX(Data_Checks!$H:$H,47+1)="","",INDEX(Data_Checks!$H:$H,47+1))</f>
        <v>Agreed fee 8.0% (config), statement fee 8.0%</v>
      </c>
      <c r="I51" s="18"/>
      <c r="J51" s="18"/>
      <c r="K51" s="18"/>
      <c r="L51" s="18"/>
    </row>
    <row r="52" customFormat="false" ht="15" hidden="false" customHeight="false" outlineLevel="0" collapsed="false">
      <c r="A52" s="3" t="n">
        <f aca="false">IF(INDEX(Data_Checks!$A:$A,48+1)="","",INDEX(Data_Checks!$A:$A,48+1))</f>
        <v>9</v>
      </c>
      <c r="B52" s="3" t="str">
        <f aca="false">IF(INDEX(Data_Checks!$B:$B,48+1)="","",INDEX(Data_Checks!$B:$B,48+1))</f>
        <v>Gateway remittance = gross less agreed fee</v>
      </c>
      <c r="C52" s="3" t="str">
        <f aca="false">IF(INDEX(Data_Checks!$C:$C,48+1)="","",INDEX(Data_Checks!$C:$C,48+1))</f>
        <v>digitalocean 2027-01</v>
      </c>
      <c r="D52" s="16" t="n">
        <f aca="false">IF(INDEX(Data_Checks!$D:$D,48+1)="","",INDEX(Data_Checks!$D:$D,48+1))</f>
        <v>492.154</v>
      </c>
      <c r="E52" s="16" t="n">
        <f aca="false">IF(INDEX(Data_Checks!$E:$E,48+1)="","",INDEX(Data_Checks!$E:$E,48+1))</f>
        <v>492.15</v>
      </c>
      <c r="F52" s="17" t="n">
        <f aca="false">IF(INDEX(Data_Checks!$F:$F,48+1)="","",INDEX(Data_Checks!$F:$F,48+1))</f>
        <v>-0.00400000000007594</v>
      </c>
      <c r="G52" s="2" t="str">
        <f aca="false">IF(INDEX(Data_Checks!$G:$G,48+1)="","",INDEX(Data_Checks!$G:$G,48+1))</f>
        <v>PASS</v>
      </c>
      <c r="H52" s="3" t="str">
        <f aca="false">IF(INDEX(Data_Checks!$H:$H,48+1)="","",INDEX(Data_Checks!$H:$H,48+1))</f>
        <v>Agreed fee 8.0% (config), statement fee 8.0%</v>
      </c>
      <c r="I52" s="18"/>
      <c r="J52" s="18"/>
      <c r="K52" s="18"/>
      <c r="L52" s="18"/>
    </row>
    <row r="53" customFormat="false" ht="15" hidden="false" customHeight="false" outlineLevel="0" collapsed="false">
      <c r="A53" s="3" t="n">
        <f aca="false">IF(INDEX(Data_Checks!$A:$A,49+1)="","",INDEX(Data_Checks!$A:$A,49+1))</f>
        <v>9</v>
      </c>
      <c r="B53" s="3" t="str">
        <f aca="false">IF(INDEX(Data_Checks!$B:$B,49+1)="","",INDEX(Data_Checks!$B:$B,49+1))</f>
        <v>Gateway remittance = gross less agreed fee</v>
      </c>
      <c r="C53" s="3" t="str">
        <f aca="false">IF(INDEX(Data_Checks!$C:$C,49+1)="","",INDEX(Data_Checks!$C:$C,49+1))</f>
        <v>digitalocean 2027-02</v>
      </c>
      <c r="D53" s="16" t="n">
        <f aca="false">IF(INDEX(Data_Checks!$D:$D,49+1)="","",INDEX(Data_Checks!$D:$D,49+1))</f>
        <v>579.094</v>
      </c>
      <c r="E53" s="16" t="n">
        <f aca="false">IF(INDEX(Data_Checks!$E:$E,49+1)="","",INDEX(Data_Checks!$E:$E,49+1))</f>
        <v>579.09</v>
      </c>
      <c r="F53" s="17" t="n">
        <f aca="false">IF(INDEX(Data_Checks!$F:$F,49+1)="","",INDEX(Data_Checks!$F:$F,49+1))</f>
        <v>-0.0040000000000191</v>
      </c>
      <c r="G53" s="2" t="str">
        <f aca="false">IF(INDEX(Data_Checks!$G:$G,49+1)="","",INDEX(Data_Checks!$G:$G,49+1))</f>
        <v>PASS</v>
      </c>
      <c r="H53" s="3" t="str">
        <f aca="false">IF(INDEX(Data_Checks!$H:$H,49+1)="","",INDEX(Data_Checks!$H:$H,49+1))</f>
        <v>Agreed fee 8.0% (config), statement fee 8.0%</v>
      </c>
      <c r="I53" s="18"/>
      <c r="J53" s="18"/>
      <c r="K53" s="18"/>
      <c r="L53" s="18"/>
    </row>
    <row r="54" customFormat="false" ht="15" hidden="false" customHeight="false" outlineLevel="0" collapsed="false">
      <c r="A54" s="3" t="n">
        <f aca="false">IF(INDEX(Data_Checks!$A:$A,50+1)="","",INDEX(Data_Checks!$A:$A,50+1))</f>
        <v>9</v>
      </c>
      <c r="B54" s="3" t="str">
        <f aca="false">IF(INDEX(Data_Checks!$B:$B,50+1)="","",INDEX(Data_Checks!$B:$B,50+1))</f>
        <v>Gateway remittance = gross less agreed fee</v>
      </c>
      <c r="C54" s="3" t="str">
        <f aca="false">IF(INDEX(Data_Checks!$C:$C,50+1)="","",INDEX(Data_Checks!$C:$C,50+1))</f>
        <v>openrouter 2026-09</v>
      </c>
      <c r="D54" s="16" t="n">
        <f aca="false">IF(INDEX(Data_Checks!$D:$D,50+1)="","",INDEX(Data_Checks!$D:$D,50+1))</f>
        <v>48.9155</v>
      </c>
      <c r="E54" s="16" t="n">
        <f aca="false">IF(INDEX(Data_Checks!$E:$E,50+1)="","",INDEX(Data_Checks!$E:$E,50+1))</f>
        <v>48.92</v>
      </c>
      <c r="F54" s="17" t="n">
        <f aca="false">IF(INDEX(Data_Checks!$F:$F,50+1)="","",INDEX(Data_Checks!$F:$F,50+1))</f>
        <v>0.00450000000000017</v>
      </c>
      <c r="G54" s="2" t="str">
        <f aca="false">IF(INDEX(Data_Checks!$G:$G,50+1)="","",INDEX(Data_Checks!$G:$G,50+1))</f>
        <v>PASS</v>
      </c>
      <c r="H54" s="3" t="str">
        <f aca="false">IF(INDEX(Data_Checks!$H:$H,50+1)="","",INDEX(Data_Checks!$H:$H,50+1))</f>
        <v>Agreed fee 5.0% (config), statement fee 5.0%</v>
      </c>
      <c r="I54" s="18"/>
      <c r="J54" s="18"/>
      <c r="K54" s="18"/>
      <c r="L54" s="18"/>
    </row>
    <row r="55" customFormat="false" ht="15" hidden="false" customHeight="false" outlineLevel="0" collapsed="false">
      <c r="A55" s="3" t="n">
        <f aca="false">IF(INDEX(Data_Checks!$A:$A,51+1)="","",INDEX(Data_Checks!$A:$A,51+1))</f>
        <v>9</v>
      </c>
      <c r="B55" s="3" t="str">
        <f aca="false">IF(INDEX(Data_Checks!$B:$B,51+1)="","",INDEX(Data_Checks!$B:$B,51+1))</f>
        <v>Gateway remittance = gross less agreed fee</v>
      </c>
      <c r="C55" s="3" t="str">
        <f aca="false">IF(INDEX(Data_Checks!$C:$C,51+1)="","",INDEX(Data_Checks!$C:$C,51+1))</f>
        <v>openrouter 2026-10</v>
      </c>
      <c r="D55" s="16" t="n">
        <f aca="false">IF(INDEX(Data_Checks!$D:$D,51+1)="","",INDEX(Data_Checks!$D:$D,51+1))</f>
        <v>401.356</v>
      </c>
      <c r="E55" s="16" t="n">
        <f aca="false">IF(INDEX(Data_Checks!$E:$E,51+1)="","",INDEX(Data_Checks!$E:$E,51+1))</f>
        <v>401.36</v>
      </c>
      <c r="F55" s="17" t="n">
        <f aca="false">IF(INDEX(Data_Checks!$F:$F,51+1)="","",INDEX(Data_Checks!$F:$F,51+1))</f>
        <v>0.0040000000000191</v>
      </c>
      <c r="G55" s="2" t="str">
        <f aca="false">IF(INDEX(Data_Checks!$G:$G,51+1)="","",INDEX(Data_Checks!$G:$G,51+1))</f>
        <v>PASS</v>
      </c>
      <c r="H55" s="3" t="str">
        <f aca="false">IF(INDEX(Data_Checks!$H:$H,51+1)="","",INDEX(Data_Checks!$H:$H,51+1))</f>
        <v>Agreed fee 5.0% (config), statement fee 5.0%</v>
      </c>
      <c r="I55" s="18"/>
      <c r="J55" s="18"/>
      <c r="K55" s="18"/>
      <c r="L55" s="18"/>
    </row>
    <row r="56" customFormat="false" ht="15" hidden="false" customHeight="false" outlineLevel="0" collapsed="false">
      <c r="A56" s="3" t="n">
        <f aca="false">IF(INDEX(Data_Checks!$A:$A,52+1)="","",INDEX(Data_Checks!$A:$A,52+1))</f>
        <v>9</v>
      </c>
      <c r="B56" s="3" t="str">
        <f aca="false">IF(INDEX(Data_Checks!$B:$B,52+1)="","",INDEX(Data_Checks!$B:$B,52+1))</f>
        <v>Gateway remittance = gross less agreed fee</v>
      </c>
      <c r="C56" s="3" t="str">
        <f aca="false">IF(INDEX(Data_Checks!$C:$C,52+1)="","",INDEX(Data_Checks!$C:$C,52+1))</f>
        <v>openrouter 2026-11</v>
      </c>
      <c r="D56" s="16" t="n">
        <f aca="false">IF(INDEX(Data_Checks!$D:$D,52+1)="","",INDEX(Data_Checks!$D:$D,52+1))</f>
        <v>1850.163</v>
      </c>
      <c r="E56" s="16" t="n">
        <f aca="false">IF(INDEX(Data_Checks!$E:$E,52+1)="","",INDEX(Data_Checks!$E:$E,52+1))</f>
        <v>1850.16</v>
      </c>
      <c r="F56" s="17" t="n">
        <f aca="false">IF(INDEX(Data_Checks!$F:$F,52+1)="","",INDEX(Data_Checks!$F:$F,52+1))</f>
        <v>-0.00299999999970169</v>
      </c>
      <c r="G56" s="2" t="str">
        <f aca="false">IF(INDEX(Data_Checks!$G:$G,52+1)="","",INDEX(Data_Checks!$G:$G,52+1))</f>
        <v>PASS</v>
      </c>
      <c r="H56" s="3" t="str">
        <f aca="false">IF(INDEX(Data_Checks!$H:$H,52+1)="","",INDEX(Data_Checks!$H:$H,52+1))</f>
        <v>Agreed fee 5.0% (config), statement fee 5.0%</v>
      </c>
      <c r="I56" s="18"/>
      <c r="J56" s="18"/>
      <c r="K56" s="18"/>
      <c r="L56" s="18"/>
    </row>
    <row r="57" customFormat="false" ht="15" hidden="false" customHeight="false" outlineLevel="0" collapsed="false">
      <c r="A57" s="3" t="n">
        <f aca="false">IF(INDEX(Data_Checks!$A:$A,53+1)="","",INDEX(Data_Checks!$A:$A,53+1))</f>
        <v>9</v>
      </c>
      <c r="B57" s="3" t="str">
        <f aca="false">IF(INDEX(Data_Checks!$B:$B,53+1)="","",INDEX(Data_Checks!$B:$B,53+1))</f>
        <v>Gateway remittance = gross less agreed fee</v>
      </c>
      <c r="C57" s="3" t="str">
        <f aca="false">IF(INDEX(Data_Checks!$C:$C,53+1)="","",INDEX(Data_Checks!$C:$C,53+1))</f>
        <v>openrouter 2026-12</v>
      </c>
      <c r="D57" s="16" t="n">
        <f aca="false">IF(INDEX(Data_Checks!$D:$D,53+1)="","",INDEX(Data_Checks!$D:$D,53+1))</f>
        <v>6603.1745</v>
      </c>
      <c r="E57" s="16" t="n">
        <f aca="false">IF(INDEX(Data_Checks!$E:$E,53+1)="","",INDEX(Data_Checks!$E:$E,53+1))</f>
        <v>6603.17</v>
      </c>
      <c r="F57" s="17" t="n">
        <f aca="false">IF(INDEX(Data_Checks!$F:$F,53+1)="","",INDEX(Data_Checks!$F:$F,53+1))</f>
        <v>-0.00450000000000728</v>
      </c>
      <c r="G57" s="2" t="str">
        <f aca="false">IF(INDEX(Data_Checks!$G:$G,53+1)="","",INDEX(Data_Checks!$G:$G,53+1))</f>
        <v>PASS</v>
      </c>
      <c r="H57" s="3" t="str">
        <f aca="false">IF(INDEX(Data_Checks!$H:$H,53+1)="","",INDEX(Data_Checks!$H:$H,53+1))</f>
        <v>Agreed fee 5.0% (config), statement fee 5.0%</v>
      </c>
      <c r="I57" s="18"/>
      <c r="J57" s="18"/>
      <c r="K57" s="18"/>
      <c r="L57" s="18"/>
    </row>
    <row r="58" customFormat="false" ht="15" hidden="false" customHeight="false" outlineLevel="0" collapsed="false">
      <c r="A58" s="3" t="n">
        <f aca="false">IF(INDEX(Data_Checks!$A:$A,54+1)="","",INDEX(Data_Checks!$A:$A,54+1))</f>
        <v>9</v>
      </c>
      <c r="B58" s="3" t="str">
        <f aca="false">IF(INDEX(Data_Checks!$B:$B,54+1)="","",INDEX(Data_Checks!$B:$B,54+1))</f>
        <v>Gateway remittance = gross less agreed fee</v>
      </c>
      <c r="C58" s="3" t="str">
        <f aca="false">IF(INDEX(Data_Checks!$C:$C,54+1)="","",INDEX(Data_Checks!$C:$C,54+1))</f>
        <v>openrouter 2027-01</v>
      </c>
      <c r="D58" s="16" t="n">
        <f aca="false">IF(INDEX(Data_Checks!$D:$D,54+1)="","",INDEX(Data_Checks!$D:$D,54+1))</f>
        <v>12231.744</v>
      </c>
      <c r="E58" s="16" t="n">
        <f aca="false">IF(INDEX(Data_Checks!$E:$E,54+1)="","",INDEX(Data_Checks!$E:$E,54+1))</f>
        <v>12231.74</v>
      </c>
      <c r="F58" s="17" t="n">
        <f aca="false">IF(INDEX(Data_Checks!$F:$F,54+1)="","",INDEX(Data_Checks!$F:$F,54+1))</f>
        <v>-0.00400000000081491</v>
      </c>
      <c r="G58" s="2" t="str">
        <f aca="false">IF(INDEX(Data_Checks!$G:$G,54+1)="","",INDEX(Data_Checks!$G:$G,54+1))</f>
        <v>PASS</v>
      </c>
      <c r="H58" s="3" t="str">
        <f aca="false">IF(INDEX(Data_Checks!$H:$H,54+1)="","",INDEX(Data_Checks!$H:$H,54+1))</f>
        <v>Agreed fee 5.0% (config), statement fee 5.0%</v>
      </c>
      <c r="I58" s="18"/>
      <c r="J58" s="18"/>
      <c r="K58" s="18"/>
      <c r="L58" s="18"/>
    </row>
    <row r="59" customFormat="false" ht="15" hidden="false" customHeight="false" outlineLevel="0" collapsed="false">
      <c r="A59" s="3" t="n">
        <f aca="false">IF(INDEX(Data_Checks!$A:$A,55+1)="","",INDEX(Data_Checks!$A:$A,55+1))</f>
        <v>9</v>
      </c>
      <c r="B59" s="3" t="str">
        <f aca="false">IF(INDEX(Data_Checks!$B:$B,55+1)="","",INDEX(Data_Checks!$B:$B,55+1))</f>
        <v>Gateway remittance = gross less agreed fee</v>
      </c>
      <c r="C59" s="3" t="str">
        <f aca="false">IF(INDEX(Data_Checks!$C:$C,55+1)="","",INDEX(Data_Checks!$C:$C,55+1))</f>
        <v>openrouter 2027-02</v>
      </c>
      <c r="D59" s="16" t="n">
        <f aca="false">IF(INDEX(Data_Checks!$D:$D,55+1)="","",INDEX(Data_Checks!$D:$D,55+1))</f>
        <v>14783.71</v>
      </c>
      <c r="E59" s="16" t="n">
        <f aca="false">IF(INDEX(Data_Checks!$E:$E,55+1)="","",INDEX(Data_Checks!$E:$E,55+1))</f>
        <v>14783.71</v>
      </c>
      <c r="F59" s="17" t="n">
        <f aca="false">IF(INDEX(Data_Checks!$F:$F,55+1)="","",INDEX(Data_Checks!$F:$F,55+1))</f>
        <v>0</v>
      </c>
      <c r="G59" s="2" t="str">
        <f aca="false">IF(INDEX(Data_Checks!$G:$G,55+1)="","",INDEX(Data_Checks!$G:$G,55+1))</f>
        <v>PASS</v>
      </c>
      <c r="H59" s="3" t="str">
        <f aca="false">IF(INDEX(Data_Checks!$H:$H,55+1)="","",INDEX(Data_Checks!$H:$H,55+1))</f>
        <v>Agreed fee 5.0% (config), statement fee 5.0%</v>
      </c>
      <c r="I59" s="18"/>
      <c r="J59" s="18"/>
      <c r="K59" s="18"/>
      <c r="L59" s="18"/>
    </row>
    <row r="60" customFormat="false" ht="15" hidden="false" customHeight="false" outlineLevel="0" collapsed="false">
      <c r="A60" s="3" t="n">
        <f aca="false">IF(INDEX(Data_Checks!$A:$A,56+1)="","",INDEX(Data_Checks!$A:$A,56+1))</f>
        <v>9</v>
      </c>
      <c r="B60" s="3" t="str">
        <f aca="false">IF(INDEX(Data_Checks!$B:$B,56+1)="","",INDEX(Data_Checks!$B:$B,56+1))</f>
        <v>Gateway remittance = gross less agreed fee</v>
      </c>
      <c r="C60" s="3" t="str">
        <f aca="false">IF(INDEX(Data_Checks!$C:$C,56+1)="","",INDEX(Data_Checks!$C:$C,56+1))</f>
        <v>vercel 2026-09</v>
      </c>
      <c r="D60" s="16" t="n">
        <f aca="false">IF(INDEX(Data_Checks!$D:$D,56+1)="","",INDEX(Data_Checks!$D:$D,56+1))</f>
        <v>100.3865</v>
      </c>
      <c r="E60" s="16" t="n">
        <f aca="false">IF(INDEX(Data_Checks!$E:$E,56+1)="","",INDEX(Data_Checks!$E:$E,56+1))</f>
        <v>100.39</v>
      </c>
      <c r="F60" s="17" t="n">
        <f aca="false">IF(INDEX(Data_Checks!$F:$F,56+1)="","",INDEX(Data_Checks!$F:$F,56+1))</f>
        <v>0.0035000000000025</v>
      </c>
      <c r="G60" s="2" t="str">
        <f aca="false">IF(INDEX(Data_Checks!$G:$G,56+1)="","",INDEX(Data_Checks!$G:$G,56+1))</f>
        <v>PASS</v>
      </c>
      <c r="H60" s="3" t="str">
        <f aca="false">IF(INDEX(Data_Checks!$H:$H,56+1)="","",INDEX(Data_Checks!$H:$H,56+1))</f>
        <v>Agreed fee 5.0% (config), statement fee 5.0%</v>
      </c>
      <c r="I60" s="18"/>
      <c r="J60" s="18"/>
      <c r="K60" s="18"/>
      <c r="L60" s="18"/>
    </row>
    <row r="61" customFormat="false" ht="15" hidden="false" customHeight="false" outlineLevel="0" collapsed="false">
      <c r="A61" s="3" t="n">
        <f aca="false">IF(INDEX(Data_Checks!$A:$A,57+1)="","",INDEX(Data_Checks!$A:$A,57+1))</f>
        <v>9</v>
      </c>
      <c r="B61" s="3" t="str">
        <f aca="false">IF(INDEX(Data_Checks!$B:$B,57+1)="","",INDEX(Data_Checks!$B:$B,57+1))</f>
        <v>Gateway remittance = gross less agreed fee</v>
      </c>
      <c r="C61" s="3" t="str">
        <f aca="false">IF(INDEX(Data_Checks!$C:$C,57+1)="","",INDEX(Data_Checks!$C:$C,57+1))</f>
        <v>vercel 2026-10</v>
      </c>
      <c r="D61" s="16" t="n">
        <f aca="false">IF(INDEX(Data_Checks!$D:$D,57+1)="","",INDEX(Data_Checks!$D:$D,57+1))</f>
        <v>651.89</v>
      </c>
      <c r="E61" s="16" t="n">
        <f aca="false">IF(INDEX(Data_Checks!$E:$E,57+1)="","",INDEX(Data_Checks!$E:$E,57+1))</f>
        <v>651.89</v>
      </c>
      <c r="F61" s="17" t="n">
        <f aca="false">IF(INDEX(Data_Checks!$F:$F,57+1)="","",INDEX(Data_Checks!$F:$F,57+1))</f>
        <v>0</v>
      </c>
      <c r="G61" s="2" t="str">
        <f aca="false">IF(INDEX(Data_Checks!$G:$G,57+1)="","",INDEX(Data_Checks!$G:$G,57+1))</f>
        <v>PASS</v>
      </c>
      <c r="H61" s="3" t="str">
        <f aca="false">IF(INDEX(Data_Checks!$H:$H,57+1)="","",INDEX(Data_Checks!$H:$H,57+1))</f>
        <v>Agreed fee 5.0% (config), statement fee 5.0%</v>
      </c>
      <c r="I61" s="18"/>
      <c r="J61" s="18"/>
      <c r="K61" s="18"/>
      <c r="L61" s="18"/>
    </row>
    <row r="62" customFormat="false" ht="15" hidden="false" customHeight="false" outlineLevel="0" collapsed="false">
      <c r="A62" s="3" t="n">
        <f aca="false">IF(INDEX(Data_Checks!$A:$A,58+1)="","",INDEX(Data_Checks!$A:$A,58+1))</f>
        <v>9</v>
      </c>
      <c r="B62" s="3" t="str">
        <f aca="false">IF(INDEX(Data_Checks!$B:$B,58+1)="","",INDEX(Data_Checks!$B:$B,58+1))</f>
        <v>Gateway remittance = gross less agreed fee</v>
      </c>
      <c r="C62" s="3" t="str">
        <f aca="false">IF(INDEX(Data_Checks!$C:$C,58+1)="","",INDEX(Data_Checks!$C:$C,58+1))</f>
        <v>vercel 2026-11</v>
      </c>
      <c r="D62" s="16" t="n">
        <f aca="false">IF(INDEX(Data_Checks!$D:$D,58+1)="","",INDEX(Data_Checks!$D:$D,58+1))</f>
        <v>4538.302</v>
      </c>
      <c r="E62" s="16" t="n">
        <f aca="false">IF(INDEX(Data_Checks!$E:$E,58+1)="","",INDEX(Data_Checks!$E:$E,58+1))</f>
        <v>4538.3</v>
      </c>
      <c r="F62" s="17" t="n">
        <f aca="false">IF(INDEX(Data_Checks!$F:$F,58+1)="","",INDEX(Data_Checks!$F:$F,58+1))</f>
        <v>-0.00199999999949796</v>
      </c>
      <c r="G62" s="2" t="str">
        <f aca="false">IF(INDEX(Data_Checks!$G:$G,58+1)="","",INDEX(Data_Checks!$G:$G,58+1))</f>
        <v>PASS</v>
      </c>
      <c r="H62" s="3" t="str">
        <f aca="false">IF(INDEX(Data_Checks!$H:$H,58+1)="","",INDEX(Data_Checks!$H:$H,58+1))</f>
        <v>Agreed fee 5.0% (config), statement fee 5.0%</v>
      </c>
      <c r="I62" s="18"/>
      <c r="J62" s="18"/>
      <c r="K62" s="18"/>
      <c r="L62" s="18"/>
    </row>
    <row r="63" customFormat="false" ht="15" hidden="false" customHeight="false" outlineLevel="0" collapsed="false">
      <c r="A63" s="3" t="n">
        <f aca="false">IF(INDEX(Data_Checks!$A:$A,59+1)="","",INDEX(Data_Checks!$A:$A,59+1))</f>
        <v>9</v>
      </c>
      <c r="B63" s="3" t="str">
        <f aca="false">IF(INDEX(Data_Checks!$B:$B,59+1)="","",INDEX(Data_Checks!$B:$B,59+1))</f>
        <v>Gateway remittance = gross less agreed fee</v>
      </c>
      <c r="C63" s="3" t="str">
        <f aca="false">IF(INDEX(Data_Checks!$C:$C,59+1)="","",INDEX(Data_Checks!$C:$C,59+1))</f>
        <v>vercel 2026-12</v>
      </c>
      <c r="D63" s="16" t="n">
        <f aca="false">IF(INDEX(Data_Checks!$D:$D,59+1)="","",INDEX(Data_Checks!$D:$D,59+1))</f>
        <v>12754.472</v>
      </c>
      <c r="E63" s="16" t="n">
        <f aca="false">IF(INDEX(Data_Checks!$E:$E,59+1)="","",INDEX(Data_Checks!$E:$E,59+1))</f>
        <v>12754.47</v>
      </c>
      <c r="F63" s="17" t="n">
        <f aca="false">IF(INDEX(Data_Checks!$F:$F,59+1)="","",INDEX(Data_Checks!$F:$F,59+1))</f>
        <v>-0.00200000000040745</v>
      </c>
      <c r="G63" s="2" t="str">
        <f aca="false">IF(INDEX(Data_Checks!$G:$G,59+1)="","",INDEX(Data_Checks!$G:$G,59+1))</f>
        <v>PASS</v>
      </c>
      <c r="H63" s="3" t="str">
        <f aca="false">IF(INDEX(Data_Checks!$H:$H,59+1)="","",INDEX(Data_Checks!$H:$H,59+1))</f>
        <v>Agreed fee 5.0% (config), statement fee 5.0%</v>
      </c>
      <c r="I63" s="18"/>
      <c r="J63" s="18"/>
      <c r="K63" s="18"/>
      <c r="L63" s="18"/>
    </row>
    <row r="64" customFormat="false" ht="15" hidden="false" customHeight="false" outlineLevel="0" collapsed="false">
      <c r="A64" s="3" t="n">
        <f aca="false">IF(INDEX(Data_Checks!$A:$A,60+1)="","",INDEX(Data_Checks!$A:$A,60+1))</f>
        <v>9</v>
      </c>
      <c r="B64" s="3" t="str">
        <f aca="false">IF(INDEX(Data_Checks!$B:$B,60+1)="","",INDEX(Data_Checks!$B:$B,60+1))</f>
        <v>Gateway remittance = gross less agreed fee</v>
      </c>
      <c r="C64" s="3" t="str">
        <f aca="false">IF(INDEX(Data_Checks!$C:$C,60+1)="","",INDEX(Data_Checks!$C:$C,60+1))</f>
        <v>vercel 2027-01</v>
      </c>
      <c r="D64" s="16" t="n">
        <f aca="false">IF(INDEX(Data_Checks!$D:$D,60+1)="","",INDEX(Data_Checks!$D:$D,60+1))</f>
        <v>16363.6645</v>
      </c>
      <c r="E64" s="16" t="n">
        <f aca="false">IF(INDEX(Data_Checks!$E:$E,60+1)="","",INDEX(Data_Checks!$E:$E,60+1))</f>
        <v>16363.66</v>
      </c>
      <c r="F64" s="17" t="n">
        <f aca="false">IF(INDEX(Data_Checks!$F:$F,60+1)="","",INDEX(Data_Checks!$F:$F,60+1))</f>
        <v>-0.00449999999909778</v>
      </c>
      <c r="G64" s="2" t="str">
        <f aca="false">IF(INDEX(Data_Checks!$G:$G,60+1)="","",INDEX(Data_Checks!$G:$G,60+1))</f>
        <v>PASS</v>
      </c>
      <c r="H64" s="3" t="str">
        <f aca="false">IF(INDEX(Data_Checks!$H:$H,60+1)="","",INDEX(Data_Checks!$H:$H,60+1))</f>
        <v>Agreed fee 5.0% (config), statement fee 5.0%</v>
      </c>
      <c r="I64" s="18"/>
      <c r="J64" s="18"/>
      <c r="K64" s="18"/>
      <c r="L64" s="18"/>
    </row>
    <row r="65" customFormat="false" ht="15" hidden="false" customHeight="false" outlineLevel="0" collapsed="false">
      <c r="A65" s="3" t="n">
        <f aca="false">IF(INDEX(Data_Checks!$A:$A,61+1)="","",INDEX(Data_Checks!$A:$A,61+1))</f>
        <v>9</v>
      </c>
      <c r="B65" s="3" t="str">
        <f aca="false">IF(INDEX(Data_Checks!$B:$B,61+1)="","",INDEX(Data_Checks!$B:$B,61+1))</f>
        <v>Gateway remittance = gross less agreed fee</v>
      </c>
      <c r="C65" s="3" t="str">
        <f aca="false">IF(INDEX(Data_Checks!$C:$C,61+1)="","",INDEX(Data_Checks!$C:$C,61+1))</f>
        <v>vercel 2027-02</v>
      </c>
      <c r="D65" s="16" t="n">
        <f aca="false">IF(INDEX(Data_Checks!$D:$D,61+1)="","",INDEX(Data_Checks!$D:$D,61+1))</f>
        <v>18216.82</v>
      </c>
      <c r="E65" s="16" t="n">
        <f aca="false">IF(INDEX(Data_Checks!$E:$E,61+1)="","",INDEX(Data_Checks!$E:$E,61+1))</f>
        <v>18216.82</v>
      </c>
      <c r="F65" s="17" t="n">
        <f aca="false">IF(INDEX(Data_Checks!$F:$F,61+1)="","",INDEX(Data_Checks!$F:$F,61+1))</f>
        <v>3.63797880709171E-012</v>
      </c>
      <c r="G65" s="2" t="str">
        <f aca="false">IF(INDEX(Data_Checks!$G:$G,61+1)="","",INDEX(Data_Checks!$G:$G,61+1))</f>
        <v>PASS</v>
      </c>
      <c r="H65" s="3" t="str">
        <f aca="false">IF(INDEX(Data_Checks!$H:$H,61+1)="","",INDEX(Data_Checks!$H:$H,61+1))</f>
        <v>Agreed fee 5.0% (config), statement fee 5.0%</v>
      </c>
      <c r="I65" s="18"/>
      <c r="J65" s="18"/>
      <c r="K65" s="18"/>
      <c r="L65" s="18"/>
    </row>
    <row r="66" customFormat="false" ht="15" hidden="false" customHeight="false" outlineLevel="0" collapsed="false">
      <c r="A66" s="3" t="n">
        <f aca="false">IF(INDEX(Data_Checks!$A:$A,62+1)="","",INDEX(Data_Checks!$A:$A,62+1))</f>
        <v>11</v>
      </c>
      <c r="B66" s="3" t="str">
        <f aca="false">IF(INDEX(Data_Checks!$B:$B,62+1)="","",INDEX(Data_Checks!$B:$B,62+1))</f>
        <v>Top-3 customer concentration</v>
      </c>
      <c r="C66" s="3" t="str">
        <f aca="false">IF(INDEX(Data_Checks!$C:$C,62+1)="","",INDEX(Data_Checks!$C:$C,62+1))</f>
        <v>2027-02</v>
      </c>
      <c r="D66" s="16" t="n">
        <f aca="false">IF(INDEX(Data_Checks!$D:$D,62+1)="","",INDEX(Data_Checks!$D:$D,62+1))</f>
        <v>0.5</v>
      </c>
      <c r="E66" s="16" t="n">
        <f aca="false">IF(INDEX(Data_Checks!$E:$E,62+1)="","",INDEX(Data_Checks!$E:$E,62+1))</f>
        <v>0.462407600835446</v>
      </c>
      <c r="F66" s="17" t="n">
        <f aca="false">IF(INDEX(Data_Checks!$F:$F,62+1)="","",INDEX(Data_Checks!$F:$F,62+1))</f>
        <v>0</v>
      </c>
      <c r="G66" s="2" t="str">
        <f aca="false">IF(INDEX(Data_Checks!$G:$G,62+1)="","",INDEX(Data_Checks!$G:$G,62+1))</f>
        <v>PASS</v>
      </c>
      <c r="H66" s="3" t="str">
        <f aca="false">IF(INDEX(Data_Checks!$H:$H,62+1)="","",INDEX(Data_Checks!$H:$H,62+1))</f>
        <v>Top 3 accounts = 46.0% of net revenue</v>
      </c>
      <c r="I66" s="18"/>
      <c r="J66" s="18"/>
      <c r="K66" s="18"/>
      <c r="L66" s="18"/>
    </row>
    <row r="67" customFormat="false" ht="15" hidden="false" customHeight="false" outlineLevel="0" collapsed="false">
      <c r="A67" s="3" t="n">
        <f aca="false">IF(INDEX(Data_Checks!$A:$A,63+1)="","",INDEX(Data_Checks!$A:$A,63+1))</f>
        <v>12</v>
      </c>
      <c r="B67" s="3" t="str">
        <f aca="false">IF(INDEX(Data_Checks!$B:$B,63+1)="","",INDEX(Data_Checks!$B:$B,63+1))</f>
        <v>Use case known for most usage</v>
      </c>
      <c r="C67" s="3" t="str">
        <f aca="false">IF(INDEX(Data_Checks!$C:$C,63+1)="","",INDEX(Data_Checks!$C:$C,63+1))</f>
        <v>2027-02</v>
      </c>
      <c r="D67" s="16" t="n">
        <f aca="false">IF(INDEX(Data_Checks!$D:$D,63+1)="","",INDEX(Data_Checks!$D:$D,63+1))</f>
        <v>0.2</v>
      </c>
      <c r="E67" s="16" t="n">
        <f aca="false">IF(INDEX(Data_Checks!$E:$E,63+1)="","",INDEX(Data_Checks!$E:$E,63+1))</f>
        <v>0</v>
      </c>
      <c r="F67" s="17" t="n">
        <f aca="false">IF(INDEX(Data_Checks!$F:$F,63+1)="","",INDEX(Data_Checks!$F:$F,63+1))</f>
        <v>0</v>
      </c>
      <c r="G67" s="2" t="str">
        <f aca="false">IF(INDEX(Data_Checks!$G:$G,63+1)="","",INDEX(Data_Checks!$G:$G,63+1))</f>
        <v>PASS</v>
      </c>
      <c r="H67" s="3" t="str">
        <f aca="false">IF(INDEX(Data_Checks!$H:$H,63+1)="","",INDEX(Data_Checks!$H:$H,63+1))</f>
        <v>Share of tokens with no label and no inferred use case</v>
      </c>
      <c r="I67" s="18"/>
      <c r="J67" s="18"/>
      <c r="K67" s="18"/>
      <c r="L67" s="18"/>
    </row>
    <row r="68" customFormat="false" ht="15" hidden="false" customHeight="false" outlineLevel="0" collapsed="false">
      <c r="A68" s="3" t="str">
        <f aca="false">IF(INDEX(Data_Checks!$A:$A,64+1)="","",INDEX(Data_Checks!$A:$A,64+1))</f>
        <v/>
      </c>
      <c r="B68" s="3" t="str">
        <f aca="false">IF(INDEX(Data_Checks!$B:$B,64+1)="","",INDEX(Data_Checks!$B:$B,64+1))</f>
        <v/>
      </c>
      <c r="C68" s="3" t="str">
        <f aca="false">IF(INDEX(Data_Checks!$C:$C,64+1)="","",INDEX(Data_Checks!$C:$C,64+1))</f>
        <v/>
      </c>
      <c r="D68" s="16" t="str">
        <f aca="false">IF(INDEX(Data_Checks!$D:$D,64+1)="","",INDEX(Data_Checks!$D:$D,64+1))</f>
        <v/>
      </c>
      <c r="E68" s="16" t="str">
        <f aca="false">IF(INDEX(Data_Checks!$E:$E,64+1)="","",INDEX(Data_Checks!$E:$E,64+1))</f>
        <v/>
      </c>
      <c r="F68" s="17" t="str">
        <f aca="false">IF(INDEX(Data_Checks!$F:$F,64+1)="","",INDEX(Data_Checks!$F:$F,64+1))</f>
        <v/>
      </c>
      <c r="G68" s="2" t="str">
        <f aca="false">IF(INDEX(Data_Checks!$G:$G,64+1)="","",INDEX(Data_Checks!$G:$G,64+1))</f>
        <v/>
      </c>
      <c r="H68" s="3" t="str">
        <f aca="false">IF(INDEX(Data_Checks!$H:$H,64+1)="","",INDEX(Data_Checks!$H:$H,64+1))</f>
        <v/>
      </c>
      <c r="I68" s="18"/>
      <c r="J68" s="18"/>
      <c r="K68" s="18"/>
      <c r="L68" s="18"/>
    </row>
    <row r="69" customFormat="false" ht="15" hidden="false" customHeight="false" outlineLevel="0" collapsed="false">
      <c r="A69" s="3" t="str">
        <f aca="false">IF(INDEX(Data_Checks!$A:$A,65+1)="","",INDEX(Data_Checks!$A:$A,65+1))</f>
        <v/>
      </c>
      <c r="B69" s="3" t="str">
        <f aca="false">IF(INDEX(Data_Checks!$B:$B,65+1)="","",INDEX(Data_Checks!$B:$B,65+1))</f>
        <v/>
      </c>
      <c r="C69" s="3" t="str">
        <f aca="false">IF(INDEX(Data_Checks!$C:$C,65+1)="","",INDEX(Data_Checks!$C:$C,65+1))</f>
        <v/>
      </c>
      <c r="D69" s="16" t="str">
        <f aca="false">IF(INDEX(Data_Checks!$D:$D,65+1)="","",INDEX(Data_Checks!$D:$D,65+1))</f>
        <v/>
      </c>
      <c r="E69" s="16" t="str">
        <f aca="false">IF(INDEX(Data_Checks!$E:$E,65+1)="","",INDEX(Data_Checks!$E:$E,65+1))</f>
        <v/>
      </c>
      <c r="F69" s="17" t="str">
        <f aca="false">IF(INDEX(Data_Checks!$F:$F,65+1)="","",INDEX(Data_Checks!$F:$F,65+1))</f>
        <v/>
      </c>
      <c r="G69" s="2" t="str">
        <f aca="false">IF(INDEX(Data_Checks!$G:$G,65+1)="","",INDEX(Data_Checks!$G:$G,65+1))</f>
        <v/>
      </c>
      <c r="H69" s="3" t="str">
        <f aca="false">IF(INDEX(Data_Checks!$H:$H,65+1)="","",INDEX(Data_Checks!$H:$H,65+1))</f>
        <v/>
      </c>
      <c r="I69" s="18"/>
      <c r="J69" s="18"/>
      <c r="K69" s="18"/>
      <c r="L69" s="18"/>
    </row>
    <row r="70" customFormat="false" ht="15" hidden="false" customHeight="false" outlineLevel="0" collapsed="false">
      <c r="A70" s="3" t="str">
        <f aca="false">IF(INDEX(Data_Checks!$A:$A,66+1)="","",INDEX(Data_Checks!$A:$A,66+1))</f>
        <v/>
      </c>
      <c r="B70" s="3" t="str">
        <f aca="false">IF(INDEX(Data_Checks!$B:$B,66+1)="","",INDEX(Data_Checks!$B:$B,66+1))</f>
        <v/>
      </c>
      <c r="C70" s="3" t="str">
        <f aca="false">IF(INDEX(Data_Checks!$C:$C,66+1)="","",INDEX(Data_Checks!$C:$C,66+1))</f>
        <v/>
      </c>
      <c r="D70" s="16" t="str">
        <f aca="false">IF(INDEX(Data_Checks!$D:$D,66+1)="","",INDEX(Data_Checks!$D:$D,66+1))</f>
        <v/>
      </c>
      <c r="E70" s="16" t="str">
        <f aca="false">IF(INDEX(Data_Checks!$E:$E,66+1)="","",INDEX(Data_Checks!$E:$E,66+1))</f>
        <v/>
      </c>
      <c r="F70" s="17" t="str">
        <f aca="false">IF(INDEX(Data_Checks!$F:$F,66+1)="","",INDEX(Data_Checks!$F:$F,66+1))</f>
        <v/>
      </c>
      <c r="G70" s="2" t="str">
        <f aca="false">IF(INDEX(Data_Checks!$G:$G,66+1)="","",INDEX(Data_Checks!$G:$G,66+1))</f>
        <v/>
      </c>
      <c r="H70" s="3" t="str">
        <f aca="false">IF(INDEX(Data_Checks!$H:$H,66+1)="","",INDEX(Data_Checks!$H:$H,66+1))</f>
        <v/>
      </c>
      <c r="I70" s="18"/>
      <c r="J70" s="18"/>
      <c r="K70" s="18"/>
      <c r="L70" s="18"/>
    </row>
    <row r="71" customFormat="false" ht="15" hidden="false" customHeight="false" outlineLevel="0" collapsed="false">
      <c r="A71" s="3" t="str">
        <f aca="false">IF(INDEX(Data_Checks!$A:$A,67+1)="","",INDEX(Data_Checks!$A:$A,67+1))</f>
        <v/>
      </c>
      <c r="B71" s="3" t="str">
        <f aca="false">IF(INDEX(Data_Checks!$B:$B,67+1)="","",INDEX(Data_Checks!$B:$B,67+1))</f>
        <v/>
      </c>
      <c r="C71" s="3" t="str">
        <f aca="false">IF(INDEX(Data_Checks!$C:$C,67+1)="","",INDEX(Data_Checks!$C:$C,67+1))</f>
        <v/>
      </c>
      <c r="D71" s="16" t="str">
        <f aca="false">IF(INDEX(Data_Checks!$D:$D,67+1)="","",INDEX(Data_Checks!$D:$D,67+1))</f>
        <v/>
      </c>
      <c r="E71" s="16" t="str">
        <f aca="false">IF(INDEX(Data_Checks!$E:$E,67+1)="","",INDEX(Data_Checks!$E:$E,67+1))</f>
        <v/>
      </c>
      <c r="F71" s="17" t="str">
        <f aca="false">IF(INDEX(Data_Checks!$F:$F,67+1)="","",INDEX(Data_Checks!$F:$F,67+1))</f>
        <v/>
      </c>
      <c r="G71" s="2" t="str">
        <f aca="false">IF(INDEX(Data_Checks!$G:$G,67+1)="","",INDEX(Data_Checks!$G:$G,67+1))</f>
        <v/>
      </c>
      <c r="H71" s="3" t="str">
        <f aca="false">IF(INDEX(Data_Checks!$H:$H,67+1)="","",INDEX(Data_Checks!$H:$H,67+1))</f>
        <v/>
      </c>
      <c r="I71" s="18"/>
      <c r="J71" s="18"/>
      <c r="K71" s="18"/>
      <c r="L71" s="18"/>
    </row>
    <row r="72" customFormat="false" ht="15" hidden="false" customHeight="false" outlineLevel="0" collapsed="false">
      <c r="A72" s="3" t="str">
        <f aca="false">IF(INDEX(Data_Checks!$A:$A,68+1)="","",INDEX(Data_Checks!$A:$A,68+1))</f>
        <v/>
      </c>
      <c r="B72" s="3" t="str">
        <f aca="false">IF(INDEX(Data_Checks!$B:$B,68+1)="","",INDEX(Data_Checks!$B:$B,68+1))</f>
        <v/>
      </c>
      <c r="C72" s="3" t="str">
        <f aca="false">IF(INDEX(Data_Checks!$C:$C,68+1)="","",INDEX(Data_Checks!$C:$C,68+1))</f>
        <v/>
      </c>
      <c r="D72" s="16" t="str">
        <f aca="false">IF(INDEX(Data_Checks!$D:$D,68+1)="","",INDEX(Data_Checks!$D:$D,68+1))</f>
        <v/>
      </c>
      <c r="E72" s="16" t="str">
        <f aca="false">IF(INDEX(Data_Checks!$E:$E,68+1)="","",INDEX(Data_Checks!$E:$E,68+1))</f>
        <v/>
      </c>
      <c r="F72" s="17" t="str">
        <f aca="false">IF(INDEX(Data_Checks!$F:$F,68+1)="","",INDEX(Data_Checks!$F:$F,68+1))</f>
        <v/>
      </c>
      <c r="G72" s="2" t="str">
        <f aca="false">IF(INDEX(Data_Checks!$G:$G,68+1)="","",INDEX(Data_Checks!$G:$G,68+1))</f>
        <v/>
      </c>
      <c r="H72" s="3" t="str">
        <f aca="false">IF(INDEX(Data_Checks!$H:$H,68+1)="","",INDEX(Data_Checks!$H:$H,68+1))</f>
        <v/>
      </c>
      <c r="I72" s="18"/>
      <c r="J72" s="18"/>
      <c r="K72" s="18"/>
      <c r="L72" s="18"/>
    </row>
    <row r="73" customFormat="false" ht="15" hidden="false" customHeight="false" outlineLevel="0" collapsed="false">
      <c r="A73" s="3" t="str">
        <f aca="false">IF(INDEX(Data_Checks!$A:$A,69+1)="","",INDEX(Data_Checks!$A:$A,69+1))</f>
        <v/>
      </c>
      <c r="B73" s="3" t="str">
        <f aca="false">IF(INDEX(Data_Checks!$B:$B,69+1)="","",INDEX(Data_Checks!$B:$B,69+1))</f>
        <v/>
      </c>
      <c r="C73" s="3" t="str">
        <f aca="false">IF(INDEX(Data_Checks!$C:$C,69+1)="","",INDEX(Data_Checks!$C:$C,69+1))</f>
        <v/>
      </c>
      <c r="D73" s="16" t="str">
        <f aca="false">IF(INDEX(Data_Checks!$D:$D,69+1)="","",INDEX(Data_Checks!$D:$D,69+1))</f>
        <v/>
      </c>
      <c r="E73" s="16" t="str">
        <f aca="false">IF(INDEX(Data_Checks!$E:$E,69+1)="","",INDEX(Data_Checks!$E:$E,69+1))</f>
        <v/>
      </c>
      <c r="F73" s="17" t="str">
        <f aca="false">IF(INDEX(Data_Checks!$F:$F,69+1)="","",INDEX(Data_Checks!$F:$F,69+1))</f>
        <v/>
      </c>
      <c r="G73" s="2" t="str">
        <f aca="false">IF(INDEX(Data_Checks!$G:$G,69+1)="","",INDEX(Data_Checks!$G:$G,69+1))</f>
        <v/>
      </c>
      <c r="H73" s="3" t="str">
        <f aca="false">IF(INDEX(Data_Checks!$H:$H,69+1)="","",INDEX(Data_Checks!$H:$H,69+1))</f>
        <v/>
      </c>
      <c r="I73" s="18"/>
      <c r="J73" s="18"/>
      <c r="K73" s="18"/>
      <c r="L73" s="18"/>
    </row>
    <row r="74" customFormat="false" ht="15" hidden="false" customHeight="false" outlineLevel="0" collapsed="false">
      <c r="A74" s="3" t="str">
        <f aca="false">IF(INDEX(Data_Checks!$A:$A,70+1)="","",INDEX(Data_Checks!$A:$A,70+1))</f>
        <v/>
      </c>
      <c r="B74" s="3" t="str">
        <f aca="false">IF(INDEX(Data_Checks!$B:$B,70+1)="","",INDEX(Data_Checks!$B:$B,70+1))</f>
        <v/>
      </c>
      <c r="C74" s="3" t="str">
        <f aca="false">IF(INDEX(Data_Checks!$C:$C,70+1)="","",INDEX(Data_Checks!$C:$C,70+1))</f>
        <v/>
      </c>
      <c r="D74" s="16" t="str">
        <f aca="false">IF(INDEX(Data_Checks!$D:$D,70+1)="","",INDEX(Data_Checks!$D:$D,70+1))</f>
        <v/>
      </c>
      <c r="E74" s="16" t="str">
        <f aca="false">IF(INDEX(Data_Checks!$E:$E,70+1)="","",INDEX(Data_Checks!$E:$E,70+1))</f>
        <v/>
      </c>
      <c r="F74" s="17" t="str">
        <f aca="false">IF(INDEX(Data_Checks!$F:$F,70+1)="","",INDEX(Data_Checks!$F:$F,70+1))</f>
        <v/>
      </c>
      <c r="G74" s="2" t="str">
        <f aca="false">IF(INDEX(Data_Checks!$G:$G,70+1)="","",INDEX(Data_Checks!$G:$G,70+1))</f>
        <v/>
      </c>
      <c r="H74" s="3" t="str">
        <f aca="false">IF(INDEX(Data_Checks!$H:$H,70+1)="","",INDEX(Data_Checks!$H:$H,70+1))</f>
        <v/>
      </c>
      <c r="I74" s="18"/>
      <c r="J74" s="18"/>
      <c r="K74" s="18"/>
      <c r="L74" s="18"/>
    </row>
    <row r="75" customFormat="false" ht="15" hidden="false" customHeight="false" outlineLevel="0" collapsed="false">
      <c r="A75" s="3" t="str">
        <f aca="false">IF(INDEX(Data_Checks!$A:$A,71+1)="","",INDEX(Data_Checks!$A:$A,71+1))</f>
        <v/>
      </c>
      <c r="B75" s="3" t="str">
        <f aca="false">IF(INDEX(Data_Checks!$B:$B,71+1)="","",INDEX(Data_Checks!$B:$B,71+1))</f>
        <v/>
      </c>
      <c r="C75" s="3" t="str">
        <f aca="false">IF(INDEX(Data_Checks!$C:$C,71+1)="","",INDEX(Data_Checks!$C:$C,71+1))</f>
        <v/>
      </c>
      <c r="D75" s="16" t="str">
        <f aca="false">IF(INDEX(Data_Checks!$D:$D,71+1)="","",INDEX(Data_Checks!$D:$D,71+1))</f>
        <v/>
      </c>
      <c r="E75" s="16" t="str">
        <f aca="false">IF(INDEX(Data_Checks!$E:$E,71+1)="","",INDEX(Data_Checks!$E:$E,71+1))</f>
        <v/>
      </c>
      <c r="F75" s="17" t="str">
        <f aca="false">IF(INDEX(Data_Checks!$F:$F,71+1)="","",INDEX(Data_Checks!$F:$F,71+1))</f>
        <v/>
      </c>
      <c r="G75" s="2" t="str">
        <f aca="false">IF(INDEX(Data_Checks!$G:$G,71+1)="","",INDEX(Data_Checks!$G:$G,71+1))</f>
        <v/>
      </c>
      <c r="H75" s="3" t="str">
        <f aca="false">IF(INDEX(Data_Checks!$H:$H,71+1)="","",INDEX(Data_Checks!$H:$H,71+1))</f>
        <v/>
      </c>
      <c r="I75" s="18"/>
      <c r="J75" s="18"/>
      <c r="K75" s="18"/>
      <c r="L75" s="18"/>
    </row>
    <row r="76" customFormat="false" ht="15" hidden="false" customHeight="false" outlineLevel="0" collapsed="false">
      <c r="A76" s="3" t="str">
        <f aca="false">IF(INDEX(Data_Checks!$A:$A,72+1)="","",INDEX(Data_Checks!$A:$A,72+1))</f>
        <v/>
      </c>
      <c r="B76" s="3" t="str">
        <f aca="false">IF(INDEX(Data_Checks!$B:$B,72+1)="","",INDEX(Data_Checks!$B:$B,72+1))</f>
        <v/>
      </c>
      <c r="C76" s="3" t="str">
        <f aca="false">IF(INDEX(Data_Checks!$C:$C,72+1)="","",INDEX(Data_Checks!$C:$C,72+1))</f>
        <v/>
      </c>
      <c r="D76" s="16" t="str">
        <f aca="false">IF(INDEX(Data_Checks!$D:$D,72+1)="","",INDEX(Data_Checks!$D:$D,72+1))</f>
        <v/>
      </c>
      <c r="E76" s="16" t="str">
        <f aca="false">IF(INDEX(Data_Checks!$E:$E,72+1)="","",INDEX(Data_Checks!$E:$E,72+1))</f>
        <v/>
      </c>
      <c r="F76" s="17" t="str">
        <f aca="false">IF(INDEX(Data_Checks!$F:$F,72+1)="","",INDEX(Data_Checks!$F:$F,72+1))</f>
        <v/>
      </c>
      <c r="G76" s="2" t="str">
        <f aca="false">IF(INDEX(Data_Checks!$G:$G,72+1)="","",INDEX(Data_Checks!$G:$G,72+1))</f>
        <v/>
      </c>
      <c r="H76" s="3" t="str">
        <f aca="false">IF(INDEX(Data_Checks!$H:$H,72+1)="","",INDEX(Data_Checks!$H:$H,72+1))</f>
        <v/>
      </c>
      <c r="I76" s="18"/>
      <c r="J76" s="18"/>
      <c r="K76" s="18"/>
      <c r="L76" s="18"/>
    </row>
    <row r="77" customFormat="false" ht="15" hidden="false" customHeight="false" outlineLevel="0" collapsed="false">
      <c r="A77" s="3" t="str">
        <f aca="false">IF(INDEX(Data_Checks!$A:$A,73+1)="","",INDEX(Data_Checks!$A:$A,73+1))</f>
        <v/>
      </c>
      <c r="B77" s="3" t="str">
        <f aca="false">IF(INDEX(Data_Checks!$B:$B,73+1)="","",INDEX(Data_Checks!$B:$B,73+1))</f>
        <v/>
      </c>
      <c r="C77" s="3" t="str">
        <f aca="false">IF(INDEX(Data_Checks!$C:$C,73+1)="","",INDEX(Data_Checks!$C:$C,73+1))</f>
        <v/>
      </c>
      <c r="D77" s="16" t="str">
        <f aca="false">IF(INDEX(Data_Checks!$D:$D,73+1)="","",INDEX(Data_Checks!$D:$D,73+1))</f>
        <v/>
      </c>
      <c r="E77" s="16" t="str">
        <f aca="false">IF(INDEX(Data_Checks!$E:$E,73+1)="","",INDEX(Data_Checks!$E:$E,73+1))</f>
        <v/>
      </c>
      <c r="F77" s="17" t="str">
        <f aca="false">IF(INDEX(Data_Checks!$F:$F,73+1)="","",INDEX(Data_Checks!$F:$F,73+1))</f>
        <v/>
      </c>
      <c r="G77" s="2" t="str">
        <f aca="false">IF(INDEX(Data_Checks!$G:$G,73+1)="","",INDEX(Data_Checks!$G:$G,73+1))</f>
        <v/>
      </c>
      <c r="H77" s="3" t="str">
        <f aca="false">IF(INDEX(Data_Checks!$H:$H,73+1)="","",INDEX(Data_Checks!$H:$H,73+1))</f>
        <v/>
      </c>
      <c r="I77" s="18"/>
      <c r="J77" s="18"/>
      <c r="K77" s="18"/>
      <c r="L77" s="18"/>
    </row>
    <row r="78" customFormat="false" ht="15" hidden="false" customHeight="false" outlineLevel="0" collapsed="false">
      <c r="A78" s="3" t="str">
        <f aca="false">IF(INDEX(Data_Checks!$A:$A,74+1)="","",INDEX(Data_Checks!$A:$A,74+1))</f>
        <v/>
      </c>
      <c r="B78" s="3" t="str">
        <f aca="false">IF(INDEX(Data_Checks!$B:$B,74+1)="","",INDEX(Data_Checks!$B:$B,74+1))</f>
        <v/>
      </c>
      <c r="C78" s="3" t="str">
        <f aca="false">IF(INDEX(Data_Checks!$C:$C,74+1)="","",INDEX(Data_Checks!$C:$C,74+1))</f>
        <v/>
      </c>
      <c r="D78" s="16" t="str">
        <f aca="false">IF(INDEX(Data_Checks!$D:$D,74+1)="","",INDEX(Data_Checks!$D:$D,74+1))</f>
        <v/>
      </c>
      <c r="E78" s="16" t="str">
        <f aca="false">IF(INDEX(Data_Checks!$E:$E,74+1)="","",INDEX(Data_Checks!$E:$E,74+1))</f>
        <v/>
      </c>
      <c r="F78" s="17" t="str">
        <f aca="false">IF(INDEX(Data_Checks!$F:$F,74+1)="","",INDEX(Data_Checks!$F:$F,74+1))</f>
        <v/>
      </c>
      <c r="G78" s="2" t="str">
        <f aca="false">IF(INDEX(Data_Checks!$G:$G,74+1)="","",INDEX(Data_Checks!$G:$G,74+1))</f>
        <v/>
      </c>
      <c r="H78" s="3" t="str">
        <f aca="false">IF(INDEX(Data_Checks!$H:$H,74+1)="","",INDEX(Data_Checks!$H:$H,74+1))</f>
        <v/>
      </c>
      <c r="I78" s="18"/>
      <c r="J78" s="18"/>
      <c r="K78" s="18"/>
      <c r="L78" s="18"/>
    </row>
    <row r="79" customFormat="false" ht="15" hidden="false" customHeight="false" outlineLevel="0" collapsed="false">
      <c r="A79" s="3" t="str">
        <f aca="false">IF(INDEX(Data_Checks!$A:$A,75+1)="","",INDEX(Data_Checks!$A:$A,75+1))</f>
        <v/>
      </c>
      <c r="B79" s="3" t="str">
        <f aca="false">IF(INDEX(Data_Checks!$B:$B,75+1)="","",INDEX(Data_Checks!$B:$B,75+1))</f>
        <v/>
      </c>
      <c r="C79" s="3" t="str">
        <f aca="false">IF(INDEX(Data_Checks!$C:$C,75+1)="","",INDEX(Data_Checks!$C:$C,75+1))</f>
        <v/>
      </c>
      <c r="D79" s="16" t="str">
        <f aca="false">IF(INDEX(Data_Checks!$D:$D,75+1)="","",INDEX(Data_Checks!$D:$D,75+1))</f>
        <v/>
      </c>
      <c r="E79" s="16" t="str">
        <f aca="false">IF(INDEX(Data_Checks!$E:$E,75+1)="","",INDEX(Data_Checks!$E:$E,75+1))</f>
        <v/>
      </c>
      <c r="F79" s="17" t="str">
        <f aca="false">IF(INDEX(Data_Checks!$F:$F,75+1)="","",INDEX(Data_Checks!$F:$F,75+1))</f>
        <v/>
      </c>
      <c r="G79" s="2" t="str">
        <f aca="false">IF(INDEX(Data_Checks!$G:$G,75+1)="","",INDEX(Data_Checks!$G:$G,75+1))</f>
        <v/>
      </c>
      <c r="H79" s="3" t="str">
        <f aca="false">IF(INDEX(Data_Checks!$H:$H,75+1)="","",INDEX(Data_Checks!$H:$H,75+1))</f>
        <v/>
      </c>
      <c r="I79" s="18"/>
      <c r="J79" s="18"/>
      <c r="K79" s="18"/>
      <c r="L79" s="18"/>
    </row>
    <row r="80" customFormat="false" ht="15" hidden="false" customHeight="false" outlineLevel="0" collapsed="false">
      <c r="A80" s="3" t="str">
        <f aca="false">IF(INDEX(Data_Checks!$A:$A,76+1)="","",INDEX(Data_Checks!$A:$A,76+1))</f>
        <v/>
      </c>
      <c r="B80" s="3" t="str">
        <f aca="false">IF(INDEX(Data_Checks!$B:$B,76+1)="","",INDEX(Data_Checks!$B:$B,76+1))</f>
        <v/>
      </c>
      <c r="C80" s="3" t="str">
        <f aca="false">IF(INDEX(Data_Checks!$C:$C,76+1)="","",INDEX(Data_Checks!$C:$C,76+1))</f>
        <v/>
      </c>
      <c r="D80" s="16" t="str">
        <f aca="false">IF(INDEX(Data_Checks!$D:$D,76+1)="","",INDEX(Data_Checks!$D:$D,76+1))</f>
        <v/>
      </c>
      <c r="E80" s="16" t="str">
        <f aca="false">IF(INDEX(Data_Checks!$E:$E,76+1)="","",INDEX(Data_Checks!$E:$E,76+1))</f>
        <v/>
      </c>
      <c r="F80" s="17" t="str">
        <f aca="false">IF(INDEX(Data_Checks!$F:$F,76+1)="","",INDEX(Data_Checks!$F:$F,76+1))</f>
        <v/>
      </c>
      <c r="G80" s="2" t="str">
        <f aca="false">IF(INDEX(Data_Checks!$G:$G,76+1)="","",INDEX(Data_Checks!$G:$G,76+1))</f>
        <v/>
      </c>
      <c r="H80" s="3" t="str">
        <f aca="false">IF(INDEX(Data_Checks!$H:$H,76+1)="","",INDEX(Data_Checks!$H:$H,76+1))</f>
        <v/>
      </c>
      <c r="I80" s="18"/>
      <c r="J80" s="18"/>
      <c r="K80" s="18"/>
      <c r="L80" s="18"/>
    </row>
    <row r="81" customFormat="false" ht="15" hidden="false" customHeight="false" outlineLevel="0" collapsed="false">
      <c r="A81" s="3" t="str">
        <f aca="false">IF(INDEX(Data_Checks!$A:$A,77+1)="","",INDEX(Data_Checks!$A:$A,77+1))</f>
        <v/>
      </c>
      <c r="B81" s="3" t="str">
        <f aca="false">IF(INDEX(Data_Checks!$B:$B,77+1)="","",INDEX(Data_Checks!$B:$B,77+1))</f>
        <v/>
      </c>
      <c r="C81" s="3" t="str">
        <f aca="false">IF(INDEX(Data_Checks!$C:$C,77+1)="","",INDEX(Data_Checks!$C:$C,77+1))</f>
        <v/>
      </c>
      <c r="D81" s="16" t="str">
        <f aca="false">IF(INDEX(Data_Checks!$D:$D,77+1)="","",INDEX(Data_Checks!$D:$D,77+1))</f>
        <v/>
      </c>
      <c r="E81" s="16" t="str">
        <f aca="false">IF(INDEX(Data_Checks!$E:$E,77+1)="","",INDEX(Data_Checks!$E:$E,77+1))</f>
        <v/>
      </c>
      <c r="F81" s="17" t="str">
        <f aca="false">IF(INDEX(Data_Checks!$F:$F,77+1)="","",INDEX(Data_Checks!$F:$F,77+1))</f>
        <v/>
      </c>
      <c r="G81" s="2" t="str">
        <f aca="false">IF(INDEX(Data_Checks!$G:$G,77+1)="","",INDEX(Data_Checks!$G:$G,77+1))</f>
        <v/>
      </c>
      <c r="H81" s="3" t="str">
        <f aca="false">IF(INDEX(Data_Checks!$H:$H,77+1)="","",INDEX(Data_Checks!$H:$H,77+1))</f>
        <v/>
      </c>
      <c r="I81" s="18"/>
      <c r="J81" s="18"/>
      <c r="K81" s="18"/>
      <c r="L81" s="18"/>
    </row>
    <row r="82" customFormat="false" ht="15" hidden="false" customHeight="false" outlineLevel="0" collapsed="false">
      <c r="A82" s="3" t="str">
        <f aca="false">IF(INDEX(Data_Checks!$A:$A,78+1)="","",INDEX(Data_Checks!$A:$A,78+1))</f>
        <v/>
      </c>
      <c r="B82" s="3" t="str">
        <f aca="false">IF(INDEX(Data_Checks!$B:$B,78+1)="","",INDEX(Data_Checks!$B:$B,78+1))</f>
        <v/>
      </c>
      <c r="C82" s="3" t="str">
        <f aca="false">IF(INDEX(Data_Checks!$C:$C,78+1)="","",INDEX(Data_Checks!$C:$C,78+1))</f>
        <v/>
      </c>
      <c r="D82" s="16" t="str">
        <f aca="false">IF(INDEX(Data_Checks!$D:$D,78+1)="","",INDEX(Data_Checks!$D:$D,78+1))</f>
        <v/>
      </c>
      <c r="E82" s="16" t="str">
        <f aca="false">IF(INDEX(Data_Checks!$E:$E,78+1)="","",INDEX(Data_Checks!$E:$E,78+1))</f>
        <v/>
      </c>
      <c r="F82" s="17" t="str">
        <f aca="false">IF(INDEX(Data_Checks!$F:$F,78+1)="","",INDEX(Data_Checks!$F:$F,78+1))</f>
        <v/>
      </c>
      <c r="G82" s="2" t="str">
        <f aca="false">IF(INDEX(Data_Checks!$G:$G,78+1)="","",INDEX(Data_Checks!$G:$G,78+1))</f>
        <v/>
      </c>
      <c r="H82" s="3" t="str">
        <f aca="false">IF(INDEX(Data_Checks!$H:$H,78+1)="","",INDEX(Data_Checks!$H:$H,78+1))</f>
        <v/>
      </c>
      <c r="I82" s="18"/>
      <c r="J82" s="18"/>
      <c r="K82" s="18"/>
      <c r="L82" s="18"/>
    </row>
    <row r="83" customFormat="false" ht="15" hidden="false" customHeight="false" outlineLevel="0" collapsed="false">
      <c r="A83" s="3" t="str">
        <f aca="false">IF(INDEX(Data_Checks!$A:$A,79+1)="","",INDEX(Data_Checks!$A:$A,79+1))</f>
        <v/>
      </c>
      <c r="B83" s="3" t="str">
        <f aca="false">IF(INDEX(Data_Checks!$B:$B,79+1)="","",INDEX(Data_Checks!$B:$B,79+1))</f>
        <v/>
      </c>
      <c r="C83" s="3" t="str">
        <f aca="false">IF(INDEX(Data_Checks!$C:$C,79+1)="","",INDEX(Data_Checks!$C:$C,79+1))</f>
        <v/>
      </c>
      <c r="D83" s="16" t="str">
        <f aca="false">IF(INDEX(Data_Checks!$D:$D,79+1)="","",INDEX(Data_Checks!$D:$D,79+1))</f>
        <v/>
      </c>
      <c r="E83" s="16" t="str">
        <f aca="false">IF(INDEX(Data_Checks!$E:$E,79+1)="","",INDEX(Data_Checks!$E:$E,79+1))</f>
        <v/>
      </c>
      <c r="F83" s="17" t="str">
        <f aca="false">IF(INDEX(Data_Checks!$F:$F,79+1)="","",INDEX(Data_Checks!$F:$F,79+1))</f>
        <v/>
      </c>
      <c r="G83" s="2" t="str">
        <f aca="false">IF(INDEX(Data_Checks!$G:$G,79+1)="","",INDEX(Data_Checks!$G:$G,79+1))</f>
        <v/>
      </c>
      <c r="H83" s="3" t="str">
        <f aca="false">IF(INDEX(Data_Checks!$H:$H,79+1)="","",INDEX(Data_Checks!$H:$H,79+1))</f>
        <v/>
      </c>
      <c r="I83" s="18"/>
      <c r="J83" s="18"/>
      <c r="K83" s="18"/>
      <c r="L83" s="18"/>
    </row>
    <row r="84" customFormat="false" ht="15" hidden="false" customHeight="false" outlineLevel="0" collapsed="false">
      <c r="A84" s="3" t="str">
        <f aca="false">IF(INDEX(Data_Checks!$A:$A,80+1)="","",INDEX(Data_Checks!$A:$A,80+1))</f>
        <v/>
      </c>
      <c r="B84" s="3" t="str">
        <f aca="false">IF(INDEX(Data_Checks!$B:$B,80+1)="","",INDEX(Data_Checks!$B:$B,80+1))</f>
        <v/>
      </c>
      <c r="C84" s="3" t="str">
        <f aca="false">IF(INDEX(Data_Checks!$C:$C,80+1)="","",INDEX(Data_Checks!$C:$C,80+1))</f>
        <v/>
      </c>
      <c r="D84" s="16" t="str">
        <f aca="false">IF(INDEX(Data_Checks!$D:$D,80+1)="","",INDEX(Data_Checks!$D:$D,80+1))</f>
        <v/>
      </c>
      <c r="E84" s="16" t="str">
        <f aca="false">IF(INDEX(Data_Checks!$E:$E,80+1)="","",INDEX(Data_Checks!$E:$E,80+1))</f>
        <v/>
      </c>
      <c r="F84" s="17" t="str">
        <f aca="false">IF(INDEX(Data_Checks!$F:$F,80+1)="","",INDEX(Data_Checks!$F:$F,80+1))</f>
        <v/>
      </c>
      <c r="G84" s="2" t="str">
        <f aca="false">IF(INDEX(Data_Checks!$G:$G,80+1)="","",INDEX(Data_Checks!$G:$G,80+1))</f>
        <v/>
      </c>
      <c r="H84" s="3" t="str">
        <f aca="false">IF(INDEX(Data_Checks!$H:$H,80+1)="","",INDEX(Data_Checks!$H:$H,80+1))</f>
        <v/>
      </c>
      <c r="I84" s="18"/>
      <c r="J84" s="18"/>
      <c r="K84" s="18"/>
      <c r="L84" s="18"/>
    </row>
    <row r="85" customFormat="false" ht="15" hidden="false" customHeight="false" outlineLevel="0" collapsed="false">
      <c r="A85" s="3" t="str">
        <f aca="false">IF(INDEX(Data_Checks!$A:$A,81+1)="","",INDEX(Data_Checks!$A:$A,81+1))</f>
        <v/>
      </c>
      <c r="B85" s="3" t="str">
        <f aca="false">IF(INDEX(Data_Checks!$B:$B,81+1)="","",INDEX(Data_Checks!$B:$B,81+1))</f>
        <v/>
      </c>
      <c r="C85" s="3" t="str">
        <f aca="false">IF(INDEX(Data_Checks!$C:$C,81+1)="","",INDEX(Data_Checks!$C:$C,81+1))</f>
        <v/>
      </c>
      <c r="D85" s="16" t="str">
        <f aca="false">IF(INDEX(Data_Checks!$D:$D,81+1)="","",INDEX(Data_Checks!$D:$D,81+1))</f>
        <v/>
      </c>
      <c r="E85" s="16" t="str">
        <f aca="false">IF(INDEX(Data_Checks!$E:$E,81+1)="","",INDEX(Data_Checks!$E:$E,81+1))</f>
        <v/>
      </c>
      <c r="F85" s="17" t="str">
        <f aca="false">IF(INDEX(Data_Checks!$F:$F,81+1)="","",INDEX(Data_Checks!$F:$F,81+1))</f>
        <v/>
      </c>
      <c r="G85" s="2" t="str">
        <f aca="false">IF(INDEX(Data_Checks!$G:$G,81+1)="","",INDEX(Data_Checks!$G:$G,81+1))</f>
        <v/>
      </c>
      <c r="H85" s="3" t="str">
        <f aca="false">IF(INDEX(Data_Checks!$H:$H,81+1)="","",INDEX(Data_Checks!$H:$H,81+1))</f>
        <v/>
      </c>
      <c r="I85" s="18"/>
      <c r="J85" s="18"/>
      <c r="K85" s="18"/>
      <c r="L85" s="18"/>
    </row>
    <row r="86" customFormat="false" ht="15" hidden="false" customHeight="false" outlineLevel="0" collapsed="false">
      <c r="A86" s="3" t="str">
        <f aca="false">IF(INDEX(Data_Checks!$A:$A,82+1)="","",INDEX(Data_Checks!$A:$A,82+1))</f>
        <v/>
      </c>
      <c r="B86" s="3" t="str">
        <f aca="false">IF(INDEX(Data_Checks!$B:$B,82+1)="","",INDEX(Data_Checks!$B:$B,82+1))</f>
        <v/>
      </c>
      <c r="C86" s="3" t="str">
        <f aca="false">IF(INDEX(Data_Checks!$C:$C,82+1)="","",INDEX(Data_Checks!$C:$C,82+1))</f>
        <v/>
      </c>
      <c r="D86" s="16" t="str">
        <f aca="false">IF(INDEX(Data_Checks!$D:$D,82+1)="","",INDEX(Data_Checks!$D:$D,82+1))</f>
        <v/>
      </c>
      <c r="E86" s="16" t="str">
        <f aca="false">IF(INDEX(Data_Checks!$E:$E,82+1)="","",INDEX(Data_Checks!$E:$E,82+1))</f>
        <v/>
      </c>
      <c r="F86" s="17" t="str">
        <f aca="false">IF(INDEX(Data_Checks!$F:$F,82+1)="","",INDEX(Data_Checks!$F:$F,82+1))</f>
        <v/>
      </c>
      <c r="G86" s="2" t="str">
        <f aca="false">IF(INDEX(Data_Checks!$G:$G,82+1)="","",INDEX(Data_Checks!$G:$G,82+1))</f>
        <v/>
      </c>
      <c r="H86" s="3" t="str">
        <f aca="false">IF(INDEX(Data_Checks!$H:$H,82+1)="","",INDEX(Data_Checks!$H:$H,82+1))</f>
        <v/>
      </c>
      <c r="I86" s="18"/>
      <c r="J86" s="18"/>
      <c r="K86" s="18"/>
      <c r="L86" s="18"/>
    </row>
    <row r="87" customFormat="false" ht="15" hidden="false" customHeight="false" outlineLevel="0" collapsed="false">
      <c r="A87" s="3" t="str">
        <f aca="false">IF(INDEX(Data_Checks!$A:$A,83+1)="","",INDEX(Data_Checks!$A:$A,83+1))</f>
        <v/>
      </c>
      <c r="B87" s="3" t="str">
        <f aca="false">IF(INDEX(Data_Checks!$B:$B,83+1)="","",INDEX(Data_Checks!$B:$B,83+1))</f>
        <v/>
      </c>
      <c r="C87" s="3" t="str">
        <f aca="false">IF(INDEX(Data_Checks!$C:$C,83+1)="","",INDEX(Data_Checks!$C:$C,83+1))</f>
        <v/>
      </c>
      <c r="D87" s="16" t="str">
        <f aca="false">IF(INDEX(Data_Checks!$D:$D,83+1)="","",INDEX(Data_Checks!$D:$D,83+1))</f>
        <v/>
      </c>
      <c r="E87" s="16" t="str">
        <f aca="false">IF(INDEX(Data_Checks!$E:$E,83+1)="","",INDEX(Data_Checks!$E:$E,83+1))</f>
        <v/>
      </c>
      <c r="F87" s="17" t="str">
        <f aca="false">IF(INDEX(Data_Checks!$F:$F,83+1)="","",INDEX(Data_Checks!$F:$F,83+1))</f>
        <v/>
      </c>
      <c r="G87" s="2" t="str">
        <f aca="false">IF(INDEX(Data_Checks!$G:$G,83+1)="","",INDEX(Data_Checks!$G:$G,83+1))</f>
        <v/>
      </c>
      <c r="H87" s="3" t="str">
        <f aca="false">IF(INDEX(Data_Checks!$H:$H,83+1)="","",INDEX(Data_Checks!$H:$H,83+1))</f>
        <v/>
      </c>
      <c r="I87" s="18"/>
      <c r="J87" s="18"/>
      <c r="K87" s="18"/>
      <c r="L87" s="18"/>
    </row>
    <row r="88" customFormat="false" ht="15" hidden="false" customHeight="false" outlineLevel="0" collapsed="false">
      <c r="A88" s="3" t="str">
        <f aca="false">IF(INDEX(Data_Checks!$A:$A,84+1)="","",INDEX(Data_Checks!$A:$A,84+1))</f>
        <v/>
      </c>
      <c r="B88" s="3" t="str">
        <f aca="false">IF(INDEX(Data_Checks!$B:$B,84+1)="","",INDEX(Data_Checks!$B:$B,84+1))</f>
        <v/>
      </c>
      <c r="C88" s="3" t="str">
        <f aca="false">IF(INDEX(Data_Checks!$C:$C,84+1)="","",INDEX(Data_Checks!$C:$C,84+1))</f>
        <v/>
      </c>
      <c r="D88" s="16" t="str">
        <f aca="false">IF(INDEX(Data_Checks!$D:$D,84+1)="","",INDEX(Data_Checks!$D:$D,84+1))</f>
        <v/>
      </c>
      <c r="E88" s="16" t="str">
        <f aca="false">IF(INDEX(Data_Checks!$E:$E,84+1)="","",INDEX(Data_Checks!$E:$E,84+1))</f>
        <v/>
      </c>
      <c r="F88" s="17" t="str">
        <f aca="false">IF(INDEX(Data_Checks!$F:$F,84+1)="","",INDEX(Data_Checks!$F:$F,84+1))</f>
        <v/>
      </c>
      <c r="G88" s="2" t="str">
        <f aca="false">IF(INDEX(Data_Checks!$G:$G,84+1)="","",INDEX(Data_Checks!$G:$G,84+1))</f>
        <v/>
      </c>
      <c r="H88" s="3" t="str">
        <f aca="false">IF(INDEX(Data_Checks!$H:$H,84+1)="","",INDEX(Data_Checks!$H:$H,84+1))</f>
        <v/>
      </c>
      <c r="I88" s="18"/>
      <c r="J88" s="18"/>
      <c r="K88" s="18"/>
      <c r="L88" s="18"/>
    </row>
    <row r="89" customFormat="false" ht="15" hidden="false" customHeight="false" outlineLevel="0" collapsed="false">
      <c r="A89" s="3" t="str">
        <f aca="false">IF(INDEX(Data_Checks!$A:$A,85+1)="","",INDEX(Data_Checks!$A:$A,85+1))</f>
        <v/>
      </c>
      <c r="B89" s="3" t="str">
        <f aca="false">IF(INDEX(Data_Checks!$B:$B,85+1)="","",INDEX(Data_Checks!$B:$B,85+1))</f>
        <v/>
      </c>
      <c r="C89" s="3" t="str">
        <f aca="false">IF(INDEX(Data_Checks!$C:$C,85+1)="","",INDEX(Data_Checks!$C:$C,85+1))</f>
        <v/>
      </c>
      <c r="D89" s="16" t="str">
        <f aca="false">IF(INDEX(Data_Checks!$D:$D,85+1)="","",INDEX(Data_Checks!$D:$D,85+1))</f>
        <v/>
      </c>
      <c r="E89" s="16" t="str">
        <f aca="false">IF(INDEX(Data_Checks!$E:$E,85+1)="","",INDEX(Data_Checks!$E:$E,85+1))</f>
        <v/>
      </c>
      <c r="F89" s="17" t="str">
        <f aca="false">IF(INDEX(Data_Checks!$F:$F,85+1)="","",INDEX(Data_Checks!$F:$F,85+1))</f>
        <v/>
      </c>
      <c r="G89" s="2" t="str">
        <f aca="false">IF(INDEX(Data_Checks!$G:$G,85+1)="","",INDEX(Data_Checks!$G:$G,85+1))</f>
        <v/>
      </c>
      <c r="H89" s="3" t="str">
        <f aca="false">IF(INDEX(Data_Checks!$H:$H,85+1)="","",INDEX(Data_Checks!$H:$H,85+1))</f>
        <v/>
      </c>
      <c r="I89" s="18"/>
      <c r="J89" s="18"/>
      <c r="K89" s="18"/>
      <c r="L89" s="18"/>
    </row>
    <row r="90" customFormat="false" ht="15" hidden="false" customHeight="false" outlineLevel="0" collapsed="false">
      <c r="A90" s="3" t="str">
        <f aca="false">IF(INDEX(Data_Checks!$A:$A,86+1)="","",INDEX(Data_Checks!$A:$A,86+1))</f>
        <v/>
      </c>
      <c r="B90" s="3" t="str">
        <f aca="false">IF(INDEX(Data_Checks!$B:$B,86+1)="","",INDEX(Data_Checks!$B:$B,86+1))</f>
        <v/>
      </c>
      <c r="C90" s="3" t="str">
        <f aca="false">IF(INDEX(Data_Checks!$C:$C,86+1)="","",INDEX(Data_Checks!$C:$C,86+1))</f>
        <v/>
      </c>
      <c r="D90" s="16" t="str">
        <f aca="false">IF(INDEX(Data_Checks!$D:$D,86+1)="","",INDEX(Data_Checks!$D:$D,86+1))</f>
        <v/>
      </c>
      <c r="E90" s="16" t="str">
        <f aca="false">IF(INDEX(Data_Checks!$E:$E,86+1)="","",INDEX(Data_Checks!$E:$E,86+1))</f>
        <v/>
      </c>
      <c r="F90" s="17" t="str">
        <f aca="false">IF(INDEX(Data_Checks!$F:$F,86+1)="","",INDEX(Data_Checks!$F:$F,86+1))</f>
        <v/>
      </c>
      <c r="G90" s="2" t="str">
        <f aca="false">IF(INDEX(Data_Checks!$G:$G,86+1)="","",INDEX(Data_Checks!$G:$G,86+1))</f>
        <v/>
      </c>
      <c r="H90" s="3" t="str">
        <f aca="false">IF(INDEX(Data_Checks!$H:$H,86+1)="","",INDEX(Data_Checks!$H:$H,86+1))</f>
        <v/>
      </c>
      <c r="I90" s="18"/>
      <c r="J90" s="18"/>
      <c r="K90" s="18"/>
      <c r="L90" s="18"/>
    </row>
    <row r="91" customFormat="false" ht="15" hidden="false" customHeight="false" outlineLevel="0" collapsed="false">
      <c r="A91" s="3" t="str">
        <f aca="false">IF(INDEX(Data_Checks!$A:$A,87+1)="","",INDEX(Data_Checks!$A:$A,87+1))</f>
        <v/>
      </c>
      <c r="B91" s="3" t="str">
        <f aca="false">IF(INDEX(Data_Checks!$B:$B,87+1)="","",INDEX(Data_Checks!$B:$B,87+1))</f>
        <v/>
      </c>
      <c r="C91" s="3" t="str">
        <f aca="false">IF(INDEX(Data_Checks!$C:$C,87+1)="","",INDEX(Data_Checks!$C:$C,87+1))</f>
        <v/>
      </c>
      <c r="D91" s="16" t="str">
        <f aca="false">IF(INDEX(Data_Checks!$D:$D,87+1)="","",INDEX(Data_Checks!$D:$D,87+1))</f>
        <v/>
      </c>
      <c r="E91" s="16" t="str">
        <f aca="false">IF(INDEX(Data_Checks!$E:$E,87+1)="","",INDEX(Data_Checks!$E:$E,87+1))</f>
        <v/>
      </c>
      <c r="F91" s="17" t="str">
        <f aca="false">IF(INDEX(Data_Checks!$F:$F,87+1)="","",INDEX(Data_Checks!$F:$F,87+1))</f>
        <v/>
      </c>
      <c r="G91" s="2" t="str">
        <f aca="false">IF(INDEX(Data_Checks!$G:$G,87+1)="","",INDEX(Data_Checks!$G:$G,87+1))</f>
        <v/>
      </c>
      <c r="H91" s="3" t="str">
        <f aca="false">IF(INDEX(Data_Checks!$H:$H,87+1)="","",INDEX(Data_Checks!$H:$H,87+1))</f>
        <v/>
      </c>
      <c r="I91" s="18"/>
      <c r="J91" s="18"/>
      <c r="K91" s="18"/>
      <c r="L91" s="18"/>
    </row>
    <row r="92" customFormat="false" ht="15" hidden="false" customHeight="false" outlineLevel="0" collapsed="false">
      <c r="A92" s="3" t="str">
        <f aca="false">IF(INDEX(Data_Checks!$A:$A,88+1)="","",INDEX(Data_Checks!$A:$A,88+1))</f>
        <v/>
      </c>
      <c r="B92" s="3" t="str">
        <f aca="false">IF(INDEX(Data_Checks!$B:$B,88+1)="","",INDEX(Data_Checks!$B:$B,88+1))</f>
        <v/>
      </c>
      <c r="C92" s="3" t="str">
        <f aca="false">IF(INDEX(Data_Checks!$C:$C,88+1)="","",INDEX(Data_Checks!$C:$C,88+1))</f>
        <v/>
      </c>
      <c r="D92" s="16" t="str">
        <f aca="false">IF(INDEX(Data_Checks!$D:$D,88+1)="","",INDEX(Data_Checks!$D:$D,88+1))</f>
        <v/>
      </c>
      <c r="E92" s="16" t="str">
        <f aca="false">IF(INDEX(Data_Checks!$E:$E,88+1)="","",INDEX(Data_Checks!$E:$E,88+1))</f>
        <v/>
      </c>
      <c r="F92" s="17" t="str">
        <f aca="false">IF(INDEX(Data_Checks!$F:$F,88+1)="","",INDEX(Data_Checks!$F:$F,88+1))</f>
        <v/>
      </c>
      <c r="G92" s="2" t="str">
        <f aca="false">IF(INDEX(Data_Checks!$G:$G,88+1)="","",INDEX(Data_Checks!$G:$G,88+1))</f>
        <v/>
      </c>
      <c r="H92" s="3" t="str">
        <f aca="false">IF(INDEX(Data_Checks!$H:$H,88+1)="","",INDEX(Data_Checks!$H:$H,88+1))</f>
        <v/>
      </c>
      <c r="I92" s="18"/>
      <c r="J92" s="18"/>
      <c r="K92" s="18"/>
      <c r="L92" s="18"/>
    </row>
    <row r="93" customFormat="false" ht="15" hidden="false" customHeight="false" outlineLevel="0" collapsed="false">
      <c r="A93" s="3" t="str">
        <f aca="false">IF(INDEX(Data_Checks!$A:$A,89+1)="","",INDEX(Data_Checks!$A:$A,89+1))</f>
        <v/>
      </c>
      <c r="B93" s="3" t="str">
        <f aca="false">IF(INDEX(Data_Checks!$B:$B,89+1)="","",INDEX(Data_Checks!$B:$B,89+1))</f>
        <v/>
      </c>
      <c r="C93" s="3" t="str">
        <f aca="false">IF(INDEX(Data_Checks!$C:$C,89+1)="","",INDEX(Data_Checks!$C:$C,89+1))</f>
        <v/>
      </c>
      <c r="D93" s="16" t="str">
        <f aca="false">IF(INDEX(Data_Checks!$D:$D,89+1)="","",INDEX(Data_Checks!$D:$D,89+1))</f>
        <v/>
      </c>
      <c r="E93" s="16" t="str">
        <f aca="false">IF(INDEX(Data_Checks!$E:$E,89+1)="","",INDEX(Data_Checks!$E:$E,89+1))</f>
        <v/>
      </c>
      <c r="F93" s="17" t="str">
        <f aca="false">IF(INDEX(Data_Checks!$F:$F,89+1)="","",INDEX(Data_Checks!$F:$F,89+1))</f>
        <v/>
      </c>
      <c r="G93" s="2" t="str">
        <f aca="false">IF(INDEX(Data_Checks!$G:$G,89+1)="","",INDEX(Data_Checks!$G:$G,89+1))</f>
        <v/>
      </c>
      <c r="H93" s="3" t="str">
        <f aca="false">IF(INDEX(Data_Checks!$H:$H,89+1)="","",INDEX(Data_Checks!$H:$H,89+1))</f>
        <v/>
      </c>
      <c r="I93" s="18"/>
      <c r="J93" s="18"/>
      <c r="K93" s="18"/>
      <c r="L93" s="18"/>
    </row>
    <row r="94" customFormat="false" ht="15" hidden="false" customHeight="false" outlineLevel="0" collapsed="false">
      <c r="A94" s="3" t="str">
        <f aca="false">IF(INDEX(Data_Checks!$A:$A,90+1)="","",INDEX(Data_Checks!$A:$A,90+1))</f>
        <v/>
      </c>
      <c r="B94" s="3" t="str">
        <f aca="false">IF(INDEX(Data_Checks!$B:$B,90+1)="","",INDEX(Data_Checks!$B:$B,90+1))</f>
        <v/>
      </c>
      <c r="C94" s="3" t="str">
        <f aca="false">IF(INDEX(Data_Checks!$C:$C,90+1)="","",INDEX(Data_Checks!$C:$C,90+1))</f>
        <v/>
      </c>
      <c r="D94" s="16" t="str">
        <f aca="false">IF(INDEX(Data_Checks!$D:$D,90+1)="","",INDEX(Data_Checks!$D:$D,90+1))</f>
        <v/>
      </c>
      <c r="E94" s="16" t="str">
        <f aca="false">IF(INDEX(Data_Checks!$E:$E,90+1)="","",INDEX(Data_Checks!$E:$E,90+1))</f>
        <v/>
      </c>
      <c r="F94" s="17" t="str">
        <f aca="false">IF(INDEX(Data_Checks!$F:$F,90+1)="","",INDEX(Data_Checks!$F:$F,90+1))</f>
        <v/>
      </c>
      <c r="G94" s="2" t="str">
        <f aca="false">IF(INDEX(Data_Checks!$G:$G,90+1)="","",INDEX(Data_Checks!$G:$G,90+1))</f>
        <v/>
      </c>
      <c r="H94" s="3" t="str">
        <f aca="false">IF(INDEX(Data_Checks!$H:$H,90+1)="","",INDEX(Data_Checks!$H:$H,90+1))</f>
        <v/>
      </c>
      <c r="I94" s="18"/>
      <c r="J94" s="18"/>
      <c r="K94" s="18"/>
      <c r="L94" s="18"/>
    </row>
    <row r="95" customFormat="false" ht="15" hidden="false" customHeight="false" outlineLevel="0" collapsed="false">
      <c r="A95" s="3" t="str">
        <f aca="false">IF(INDEX(Data_Checks!$A:$A,91+1)="","",INDEX(Data_Checks!$A:$A,91+1))</f>
        <v/>
      </c>
      <c r="B95" s="3" t="str">
        <f aca="false">IF(INDEX(Data_Checks!$B:$B,91+1)="","",INDEX(Data_Checks!$B:$B,91+1))</f>
        <v/>
      </c>
      <c r="C95" s="3" t="str">
        <f aca="false">IF(INDEX(Data_Checks!$C:$C,91+1)="","",INDEX(Data_Checks!$C:$C,91+1))</f>
        <v/>
      </c>
      <c r="D95" s="16" t="str">
        <f aca="false">IF(INDEX(Data_Checks!$D:$D,91+1)="","",INDEX(Data_Checks!$D:$D,91+1))</f>
        <v/>
      </c>
      <c r="E95" s="16" t="str">
        <f aca="false">IF(INDEX(Data_Checks!$E:$E,91+1)="","",INDEX(Data_Checks!$E:$E,91+1))</f>
        <v/>
      </c>
      <c r="F95" s="17" t="str">
        <f aca="false">IF(INDEX(Data_Checks!$F:$F,91+1)="","",INDEX(Data_Checks!$F:$F,91+1))</f>
        <v/>
      </c>
      <c r="G95" s="2" t="str">
        <f aca="false">IF(INDEX(Data_Checks!$G:$G,91+1)="","",INDEX(Data_Checks!$G:$G,91+1))</f>
        <v/>
      </c>
      <c r="H95" s="3" t="str">
        <f aca="false">IF(INDEX(Data_Checks!$H:$H,91+1)="","",INDEX(Data_Checks!$H:$H,91+1))</f>
        <v/>
      </c>
      <c r="I95" s="18"/>
      <c r="J95" s="18"/>
      <c r="K95" s="18"/>
      <c r="L95" s="18"/>
    </row>
    <row r="96" customFormat="false" ht="15" hidden="false" customHeight="false" outlineLevel="0" collapsed="false">
      <c r="A96" s="3" t="str">
        <f aca="false">IF(INDEX(Data_Checks!$A:$A,92+1)="","",INDEX(Data_Checks!$A:$A,92+1))</f>
        <v/>
      </c>
      <c r="B96" s="3" t="str">
        <f aca="false">IF(INDEX(Data_Checks!$B:$B,92+1)="","",INDEX(Data_Checks!$B:$B,92+1))</f>
        <v/>
      </c>
      <c r="C96" s="3" t="str">
        <f aca="false">IF(INDEX(Data_Checks!$C:$C,92+1)="","",INDEX(Data_Checks!$C:$C,92+1))</f>
        <v/>
      </c>
      <c r="D96" s="16" t="str">
        <f aca="false">IF(INDEX(Data_Checks!$D:$D,92+1)="","",INDEX(Data_Checks!$D:$D,92+1))</f>
        <v/>
      </c>
      <c r="E96" s="16" t="str">
        <f aca="false">IF(INDEX(Data_Checks!$E:$E,92+1)="","",INDEX(Data_Checks!$E:$E,92+1))</f>
        <v/>
      </c>
      <c r="F96" s="17" t="str">
        <f aca="false">IF(INDEX(Data_Checks!$F:$F,92+1)="","",INDEX(Data_Checks!$F:$F,92+1))</f>
        <v/>
      </c>
      <c r="G96" s="2" t="str">
        <f aca="false">IF(INDEX(Data_Checks!$G:$G,92+1)="","",INDEX(Data_Checks!$G:$G,92+1))</f>
        <v/>
      </c>
      <c r="H96" s="3" t="str">
        <f aca="false">IF(INDEX(Data_Checks!$H:$H,92+1)="","",INDEX(Data_Checks!$H:$H,92+1))</f>
        <v/>
      </c>
      <c r="I96" s="18"/>
      <c r="J96" s="18"/>
      <c r="K96" s="18"/>
      <c r="L96" s="18"/>
    </row>
    <row r="97" customFormat="false" ht="15" hidden="false" customHeight="false" outlineLevel="0" collapsed="false">
      <c r="A97" s="3" t="str">
        <f aca="false">IF(INDEX(Data_Checks!$A:$A,93+1)="","",INDEX(Data_Checks!$A:$A,93+1))</f>
        <v/>
      </c>
      <c r="B97" s="3" t="str">
        <f aca="false">IF(INDEX(Data_Checks!$B:$B,93+1)="","",INDEX(Data_Checks!$B:$B,93+1))</f>
        <v/>
      </c>
      <c r="C97" s="3" t="str">
        <f aca="false">IF(INDEX(Data_Checks!$C:$C,93+1)="","",INDEX(Data_Checks!$C:$C,93+1))</f>
        <v/>
      </c>
      <c r="D97" s="16" t="str">
        <f aca="false">IF(INDEX(Data_Checks!$D:$D,93+1)="","",INDEX(Data_Checks!$D:$D,93+1))</f>
        <v/>
      </c>
      <c r="E97" s="16" t="str">
        <f aca="false">IF(INDEX(Data_Checks!$E:$E,93+1)="","",INDEX(Data_Checks!$E:$E,93+1))</f>
        <v/>
      </c>
      <c r="F97" s="17" t="str">
        <f aca="false">IF(INDEX(Data_Checks!$F:$F,93+1)="","",INDEX(Data_Checks!$F:$F,93+1))</f>
        <v/>
      </c>
      <c r="G97" s="2" t="str">
        <f aca="false">IF(INDEX(Data_Checks!$G:$G,93+1)="","",INDEX(Data_Checks!$G:$G,93+1))</f>
        <v/>
      </c>
      <c r="H97" s="3" t="str">
        <f aca="false">IF(INDEX(Data_Checks!$H:$H,93+1)="","",INDEX(Data_Checks!$H:$H,93+1))</f>
        <v/>
      </c>
      <c r="I97" s="18"/>
      <c r="J97" s="18"/>
      <c r="K97" s="18"/>
      <c r="L97" s="18"/>
    </row>
    <row r="98" customFormat="false" ht="15" hidden="false" customHeight="false" outlineLevel="0" collapsed="false">
      <c r="A98" s="3" t="str">
        <f aca="false">IF(INDEX(Data_Checks!$A:$A,94+1)="","",INDEX(Data_Checks!$A:$A,94+1))</f>
        <v/>
      </c>
      <c r="B98" s="3" t="str">
        <f aca="false">IF(INDEX(Data_Checks!$B:$B,94+1)="","",INDEX(Data_Checks!$B:$B,94+1))</f>
        <v/>
      </c>
      <c r="C98" s="3" t="str">
        <f aca="false">IF(INDEX(Data_Checks!$C:$C,94+1)="","",INDEX(Data_Checks!$C:$C,94+1))</f>
        <v/>
      </c>
      <c r="D98" s="16" t="str">
        <f aca="false">IF(INDEX(Data_Checks!$D:$D,94+1)="","",INDEX(Data_Checks!$D:$D,94+1))</f>
        <v/>
      </c>
      <c r="E98" s="16" t="str">
        <f aca="false">IF(INDEX(Data_Checks!$E:$E,94+1)="","",INDEX(Data_Checks!$E:$E,94+1))</f>
        <v/>
      </c>
      <c r="F98" s="17" t="str">
        <f aca="false">IF(INDEX(Data_Checks!$F:$F,94+1)="","",INDEX(Data_Checks!$F:$F,94+1))</f>
        <v/>
      </c>
      <c r="G98" s="2" t="str">
        <f aca="false">IF(INDEX(Data_Checks!$G:$G,94+1)="","",INDEX(Data_Checks!$G:$G,94+1))</f>
        <v/>
      </c>
      <c r="H98" s="3" t="str">
        <f aca="false">IF(INDEX(Data_Checks!$H:$H,94+1)="","",INDEX(Data_Checks!$H:$H,94+1))</f>
        <v/>
      </c>
      <c r="I98" s="18"/>
      <c r="J98" s="18"/>
      <c r="K98" s="18"/>
      <c r="L98" s="18"/>
    </row>
    <row r="99" customFormat="false" ht="15" hidden="false" customHeight="false" outlineLevel="0" collapsed="false">
      <c r="A99" s="3" t="str">
        <f aca="false">IF(INDEX(Data_Checks!$A:$A,95+1)="","",INDEX(Data_Checks!$A:$A,95+1))</f>
        <v/>
      </c>
      <c r="B99" s="3" t="str">
        <f aca="false">IF(INDEX(Data_Checks!$B:$B,95+1)="","",INDEX(Data_Checks!$B:$B,95+1))</f>
        <v/>
      </c>
      <c r="C99" s="3" t="str">
        <f aca="false">IF(INDEX(Data_Checks!$C:$C,95+1)="","",INDEX(Data_Checks!$C:$C,95+1))</f>
        <v/>
      </c>
      <c r="D99" s="16" t="str">
        <f aca="false">IF(INDEX(Data_Checks!$D:$D,95+1)="","",INDEX(Data_Checks!$D:$D,95+1))</f>
        <v/>
      </c>
      <c r="E99" s="16" t="str">
        <f aca="false">IF(INDEX(Data_Checks!$E:$E,95+1)="","",INDEX(Data_Checks!$E:$E,95+1))</f>
        <v/>
      </c>
      <c r="F99" s="17" t="str">
        <f aca="false">IF(INDEX(Data_Checks!$F:$F,95+1)="","",INDEX(Data_Checks!$F:$F,95+1))</f>
        <v/>
      </c>
      <c r="G99" s="2" t="str">
        <f aca="false">IF(INDEX(Data_Checks!$G:$G,95+1)="","",INDEX(Data_Checks!$G:$G,95+1))</f>
        <v/>
      </c>
      <c r="H99" s="3" t="str">
        <f aca="false">IF(INDEX(Data_Checks!$H:$H,95+1)="","",INDEX(Data_Checks!$H:$H,95+1))</f>
        <v/>
      </c>
      <c r="I99" s="18"/>
      <c r="J99" s="18"/>
      <c r="K99" s="18"/>
      <c r="L99" s="18"/>
    </row>
    <row r="100" customFormat="false" ht="15" hidden="false" customHeight="false" outlineLevel="0" collapsed="false">
      <c r="A100" s="3" t="str">
        <f aca="false">IF(INDEX(Data_Checks!$A:$A,96+1)="","",INDEX(Data_Checks!$A:$A,96+1))</f>
        <v/>
      </c>
      <c r="B100" s="3" t="str">
        <f aca="false">IF(INDEX(Data_Checks!$B:$B,96+1)="","",INDEX(Data_Checks!$B:$B,96+1))</f>
        <v/>
      </c>
      <c r="C100" s="3" t="str">
        <f aca="false">IF(INDEX(Data_Checks!$C:$C,96+1)="","",INDEX(Data_Checks!$C:$C,96+1))</f>
        <v/>
      </c>
      <c r="D100" s="16" t="str">
        <f aca="false">IF(INDEX(Data_Checks!$D:$D,96+1)="","",INDEX(Data_Checks!$D:$D,96+1))</f>
        <v/>
      </c>
      <c r="E100" s="16" t="str">
        <f aca="false">IF(INDEX(Data_Checks!$E:$E,96+1)="","",INDEX(Data_Checks!$E:$E,96+1))</f>
        <v/>
      </c>
      <c r="F100" s="17" t="str">
        <f aca="false">IF(INDEX(Data_Checks!$F:$F,96+1)="","",INDEX(Data_Checks!$F:$F,96+1))</f>
        <v/>
      </c>
      <c r="G100" s="2" t="str">
        <f aca="false">IF(INDEX(Data_Checks!$G:$G,96+1)="","",INDEX(Data_Checks!$G:$G,96+1))</f>
        <v/>
      </c>
      <c r="H100" s="3" t="str">
        <f aca="false">IF(INDEX(Data_Checks!$H:$H,96+1)="","",INDEX(Data_Checks!$H:$H,96+1))</f>
        <v/>
      </c>
      <c r="I100" s="18"/>
      <c r="J100" s="18"/>
      <c r="K100" s="18"/>
      <c r="L100" s="18"/>
    </row>
    <row r="101" customFormat="false" ht="15" hidden="false" customHeight="false" outlineLevel="0" collapsed="false">
      <c r="A101" s="3" t="str">
        <f aca="false">IF(INDEX(Data_Checks!$A:$A,97+1)="","",INDEX(Data_Checks!$A:$A,97+1))</f>
        <v/>
      </c>
      <c r="B101" s="3" t="str">
        <f aca="false">IF(INDEX(Data_Checks!$B:$B,97+1)="","",INDEX(Data_Checks!$B:$B,97+1))</f>
        <v/>
      </c>
      <c r="C101" s="3" t="str">
        <f aca="false">IF(INDEX(Data_Checks!$C:$C,97+1)="","",INDEX(Data_Checks!$C:$C,97+1))</f>
        <v/>
      </c>
      <c r="D101" s="16" t="str">
        <f aca="false">IF(INDEX(Data_Checks!$D:$D,97+1)="","",INDEX(Data_Checks!$D:$D,97+1))</f>
        <v/>
      </c>
      <c r="E101" s="16" t="str">
        <f aca="false">IF(INDEX(Data_Checks!$E:$E,97+1)="","",INDEX(Data_Checks!$E:$E,97+1))</f>
        <v/>
      </c>
      <c r="F101" s="17" t="str">
        <f aca="false">IF(INDEX(Data_Checks!$F:$F,97+1)="","",INDEX(Data_Checks!$F:$F,97+1))</f>
        <v/>
      </c>
      <c r="G101" s="2" t="str">
        <f aca="false">IF(INDEX(Data_Checks!$G:$G,97+1)="","",INDEX(Data_Checks!$G:$G,97+1))</f>
        <v/>
      </c>
      <c r="H101" s="3" t="str">
        <f aca="false">IF(INDEX(Data_Checks!$H:$H,97+1)="","",INDEX(Data_Checks!$H:$H,97+1))</f>
        <v/>
      </c>
      <c r="I101" s="18"/>
      <c r="J101" s="18"/>
      <c r="K101" s="18"/>
      <c r="L101" s="18"/>
    </row>
    <row r="102" customFormat="false" ht="15" hidden="false" customHeight="false" outlineLevel="0" collapsed="false">
      <c r="A102" s="3" t="str">
        <f aca="false">IF(INDEX(Data_Checks!$A:$A,98+1)="","",INDEX(Data_Checks!$A:$A,98+1))</f>
        <v/>
      </c>
      <c r="B102" s="3" t="str">
        <f aca="false">IF(INDEX(Data_Checks!$B:$B,98+1)="","",INDEX(Data_Checks!$B:$B,98+1))</f>
        <v/>
      </c>
      <c r="C102" s="3" t="str">
        <f aca="false">IF(INDEX(Data_Checks!$C:$C,98+1)="","",INDEX(Data_Checks!$C:$C,98+1))</f>
        <v/>
      </c>
      <c r="D102" s="16" t="str">
        <f aca="false">IF(INDEX(Data_Checks!$D:$D,98+1)="","",INDEX(Data_Checks!$D:$D,98+1))</f>
        <v/>
      </c>
      <c r="E102" s="16" t="str">
        <f aca="false">IF(INDEX(Data_Checks!$E:$E,98+1)="","",INDEX(Data_Checks!$E:$E,98+1))</f>
        <v/>
      </c>
      <c r="F102" s="17" t="str">
        <f aca="false">IF(INDEX(Data_Checks!$F:$F,98+1)="","",INDEX(Data_Checks!$F:$F,98+1))</f>
        <v/>
      </c>
      <c r="G102" s="2" t="str">
        <f aca="false">IF(INDEX(Data_Checks!$G:$G,98+1)="","",INDEX(Data_Checks!$G:$G,98+1))</f>
        <v/>
      </c>
      <c r="H102" s="3" t="str">
        <f aca="false">IF(INDEX(Data_Checks!$H:$H,98+1)="","",INDEX(Data_Checks!$H:$H,98+1))</f>
        <v/>
      </c>
      <c r="I102" s="18"/>
      <c r="J102" s="18"/>
      <c r="K102" s="18"/>
      <c r="L102" s="18"/>
    </row>
    <row r="103" customFormat="false" ht="15" hidden="false" customHeight="false" outlineLevel="0" collapsed="false">
      <c r="A103" s="3" t="str">
        <f aca="false">IF(INDEX(Data_Checks!$A:$A,99+1)="","",INDEX(Data_Checks!$A:$A,99+1))</f>
        <v/>
      </c>
      <c r="B103" s="3" t="str">
        <f aca="false">IF(INDEX(Data_Checks!$B:$B,99+1)="","",INDEX(Data_Checks!$B:$B,99+1))</f>
        <v/>
      </c>
      <c r="C103" s="3" t="str">
        <f aca="false">IF(INDEX(Data_Checks!$C:$C,99+1)="","",INDEX(Data_Checks!$C:$C,99+1))</f>
        <v/>
      </c>
      <c r="D103" s="16" t="str">
        <f aca="false">IF(INDEX(Data_Checks!$D:$D,99+1)="","",INDEX(Data_Checks!$D:$D,99+1))</f>
        <v/>
      </c>
      <c r="E103" s="16" t="str">
        <f aca="false">IF(INDEX(Data_Checks!$E:$E,99+1)="","",INDEX(Data_Checks!$E:$E,99+1))</f>
        <v/>
      </c>
      <c r="F103" s="17" t="str">
        <f aca="false">IF(INDEX(Data_Checks!$F:$F,99+1)="","",INDEX(Data_Checks!$F:$F,99+1))</f>
        <v/>
      </c>
      <c r="G103" s="2" t="str">
        <f aca="false">IF(INDEX(Data_Checks!$G:$G,99+1)="","",INDEX(Data_Checks!$G:$G,99+1))</f>
        <v/>
      </c>
      <c r="H103" s="3" t="str">
        <f aca="false">IF(INDEX(Data_Checks!$H:$H,99+1)="","",INDEX(Data_Checks!$H:$H,99+1))</f>
        <v/>
      </c>
      <c r="I103" s="18"/>
      <c r="J103" s="18"/>
      <c r="K103" s="18"/>
      <c r="L103" s="18"/>
    </row>
    <row r="104" customFormat="false" ht="15" hidden="false" customHeight="false" outlineLevel="0" collapsed="false">
      <c r="A104" s="3" t="str">
        <f aca="false">IF(INDEX(Data_Checks!$A:$A,100+1)="","",INDEX(Data_Checks!$A:$A,100+1))</f>
        <v/>
      </c>
      <c r="B104" s="3" t="str">
        <f aca="false">IF(INDEX(Data_Checks!$B:$B,100+1)="","",INDEX(Data_Checks!$B:$B,100+1))</f>
        <v/>
      </c>
      <c r="C104" s="3" t="str">
        <f aca="false">IF(INDEX(Data_Checks!$C:$C,100+1)="","",INDEX(Data_Checks!$C:$C,100+1))</f>
        <v/>
      </c>
      <c r="D104" s="16" t="str">
        <f aca="false">IF(INDEX(Data_Checks!$D:$D,100+1)="","",INDEX(Data_Checks!$D:$D,100+1))</f>
        <v/>
      </c>
      <c r="E104" s="16" t="str">
        <f aca="false">IF(INDEX(Data_Checks!$E:$E,100+1)="","",INDEX(Data_Checks!$E:$E,100+1))</f>
        <v/>
      </c>
      <c r="F104" s="17" t="str">
        <f aca="false">IF(INDEX(Data_Checks!$F:$F,100+1)="","",INDEX(Data_Checks!$F:$F,100+1))</f>
        <v/>
      </c>
      <c r="G104" s="2" t="str">
        <f aca="false">IF(INDEX(Data_Checks!$G:$G,100+1)="","",INDEX(Data_Checks!$G:$G,100+1))</f>
        <v/>
      </c>
      <c r="H104" s="3" t="str">
        <f aca="false">IF(INDEX(Data_Checks!$H:$H,100+1)="","",INDEX(Data_Checks!$H:$H,100+1))</f>
        <v/>
      </c>
      <c r="I104" s="18"/>
      <c r="J104" s="18"/>
      <c r="K104" s="18"/>
      <c r="L104" s="18"/>
    </row>
    <row r="105" customFormat="false" ht="15" hidden="false" customHeight="false" outlineLevel="0" collapsed="false">
      <c r="A105" s="3" t="str">
        <f aca="false">IF(INDEX(Data_Checks!$A:$A,101+1)="","",INDEX(Data_Checks!$A:$A,101+1))</f>
        <v/>
      </c>
      <c r="B105" s="3" t="str">
        <f aca="false">IF(INDEX(Data_Checks!$B:$B,101+1)="","",INDEX(Data_Checks!$B:$B,101+1))</f>
        <v/>
      </c>
      <c r="C105" s="3" t="str">
        <f aca="false">IF(INDEX(Data_Checks!$C:$C,101+1)="","",INDEX(Data_Checks!$C:$C,101+1))</f>
        <v/>
      </c>
      <c r="D105" s="16" t="str">
        <f aca="false">IF(INDEX(Data_Checks!$D:$D,101+1)="","",INDEX(Data_Checks!$D:$D,101+1))</f>
        <v/>
      </c>
      <c r="E105" s="16" t="str">
        <f aca="false">IF(INDEX(Data_Checks!$E:$E,101+1)="","",INDEX(Data_Checks!$E:$E,101+1))</f>
        <v/>
      </c>
      <c r="F105" s="17" t="str">
        <f aca="false">IF(INDEX(Data_Checks!$F:$F,101+1)="","",INDEX(Data_Checks!$F:$F,101+1))</f>
        <v/>
      </c>
      <c r="G105" s="2" t="str">
        <f aca="false">IF(INDEX(Data_Checks!$G:$G,101+1)="","",INDEX(Data_Checks!$G:$G,101+1))</f>
        <v/>
      </c>
      <c r="H105" s="3" t="str">
        <f aca="false">IF(INDEX(Data_Checks!$H:$H,101+1)="","",INDEX(Data_Checks!$H:$H,101+1))</f>
        <v/>
      </c>
      <c r="I105" s="18"/>
      <c r="J105" s="18"/>
      <c r="K105" s="18"/>
      <c r="L105" s="18"/>
    </row>
    <row r="106" customFormat="false" ht="15" hidden="false" customHeight="false" outlineLevel="0" collapsed="false">
      <c r="A106" s="3" t="str">
        <f aca="false">IF(INDEX(Data_Checks!$A:$A,102+1)="","",INDEX(Data_Checks!$A:$A,102+1))</f>
        <v/>
      </c>
      <c r="B106" s="3" t="str">
        <f aca="false">IF(INDEX(Data_Checks!$B:$B,102+1)="","",INDEX(Data_Checks!$B:$B,102+1))</f>
        <v/>
      </c>
      <c r="C106" s="3" t="str">
        <f aca="false">IF(INDEX(Data_Checks!$C:$C,102+1)="","",INDEX(Data_Checks!$C:$C,102+1))</f>
        <v/>
      </c>
      <c r="D106" s="16" t="str">
        <f aca="false">IF(INDEX(Data_Checks!$D:$D,102+1)="","",INDEX(Data_Checks!$D:$D,102+1))</f>
        <v/>
      </c>
      <c r="E106" s="16" t="str">
        <f aca="false">IF(INDEX(Data_Checks!$E:$E,102+1)="","",INDEX(Data_Checks!$E:$E,102+1))</f>
        <v/>
      </c>
      <c r="F106" s="17" t="str">
        <f aca="false">IF(INDEX(Data_Checks!$F:$F,102+1)="","",INDEX(Data_Checks!$F:$F,102+1))</f>
        <v/>
      </c>
      <c r="G106" s="2" t="str">
        <f aca="false">IF(INDEX(Data_Checks!$G:$G,102+1)="","",INDEX(Data_Checks!$G:$G,102+1))</f>
        <v/>
      </c>
      <c r="H106" s="3" t="str">
        <f aca="false">IF(INDEX(Data_Checks!$H:$H,102+1)="","",INDEX(Data_Checks!$H:$H,102+1))</f>
        <v/>
      </c>
      <c r="I106" s="18"/>
      <c r="J106" s="18"/>
      <c r="K106" s="18"/>
      <c r="L106" s="18"/>
    </row>
    <row r="107" customFormat="false" ht="15" hidden="false" customHeight="false" outlineLevel="0" collapsed="false">
      <c r="A107" s="3" t="str">
        <f aca="false">IF(INDEX(Data_Checks!$A:$A,103+1)="","",INDEX(Data_Checks!$A:$A,103+1))</f>
        <v/>
      </c>
      <c r="B107" s="3" t="str">
        <f aca="false">IF(INDEX(Data_Checks!$B:$B,103+1)="","",INDEX(Data_Checks!$B:$B,103+1))</f>
        <v/>
      </c>
      <c r="C107" s="3" t="str">
        <f aca="false">IF(INDEX(Data_Checks!$C:$C,103+1)="","",INDEX(Data_Checks!$C:$C,103+1))</f>
        <v/>
      </c>
      <c r="D107" s="16" t="str">
        <f aca="false">IF(INDEX(Data_Checks!$D:$D,103+1)="","",INDEX(Data_Checks!$D:$D,103+1))</f>
        <v/>
      </c>
      <c r="E107" s="16" t="str">
        <f aca="false">IF(INDEX(Data_Checks!$E:$E,103+1)="","",INDEX(Data_Checks!$E:$E,103+1))</f>
        <v/>
      </c>
      <c r="F107" s="17" t="str">
        <f aca="false">IF(INDEX(Data_Checks!$F:$F,103+1)="","",INDEX(Data_Checks!$F:$F,103+1))</f>
        <v/>
      </c>
      <c r="G107" s="2" t="str">
        <f aca="false">IF(INDEX(Data_Checks!$G:$G,103+1)="","",INDEX(Data_Checks!$G:$G,103+1))</f>
        <v/>
      </c>
      <c r="H107" s="3" t="str">
        <f aca="false">IF(INDEX(Data_Checks!$H:$H,103+1)="","",INDEX(Data_Checks!$H:$H,103+1))</f>
        <v/>
      </c>
      <c r="I107" s="18"/>
      <c r="J107" s="18"/>
      <c r="K107" s="18"/>
      <c r="L107" s="18"/>
    </row>
    <row r="108" customFormat="false" ht="15" hidden="false" customHeight="false" outlineLevel="0" collapsed="false">
      <c r="A108" s="3" t="str">
        <f aca="false">IF(INDEX(Data_Checks!$A:$A,104+1)="","",INDEX(Data_Checks!$A:$A,104+1))</f>
        <v/>
      </c>
      <c r="B108" s="3" t="str">
        <f aca="false">IF(INDEX(Data_Checks!$B:$B,104+1)="","",INDEX(Data_Checks!$B:$B,104+1))</f>
        <v/>
      </c>
      <c r="C108" s="3" t="str">
        <f aca="false">IF(INDEX(Data_Checks!$C:$C,104+1)="","",INDEX(Data_Checks!$C:$C,104+1))</f>
        <v/>
      </c>
      <c r="D108" s="16" t="str">
        <f aca="false">IF(INDEX(Data_Checks!$D:$D,104+1)="","",INDEX(Data_Checks!$D:$D,104+1))</f>
        <v/>
      </c>
      <c r="E108" s="16" t="str">
        <f aca="false">IF(INDEX(Data_Checks!$E:$E,104+1)="","",INDEX(Data_Checks!$E:$E,104+1))</f>
        <v/>
      </c>
      <c r="F108" s="17" t="str">
        <f aca="false">IF(INDEX(Data_Checks!$F:$F,104+1)="","",INDEX(Data_Checks!$F:$F,104+1))</f>
        <v/>
      </c>
      <c r="G108" s="2" t="str">
        <f aca="false">IF(INDEX(Data_Checks!$G:$G,104+1)="","",INDEX(Data_Checks!$G:$G,104+1))</f>
        <v/>
      </c>
      <c r="H108" s="3" t="str">
        <f aca="false">IF(INDEX(Data_Checks!$H:$H,104+1)="","",INDEX(Data_Checks!$H:$H,104+1))</f>
        <v/>
      </c>
      <c r="I108" s="18"/>
      <c r="J108" s="18"/>
      <c r="K108" s="18"/>
      <c r="L108" s="18"/>
    </row>
    <row r="109" customFormat="false" ht="15" hidden="false" customHeight="false" outlineLevel="0" collapsed="false">
      <c r="A109" s="3" t="str">
        <f aca="false">IF(INDEX(Data_Checks!$A:$A,105+1)="","",INDEX(Data_Checks!$A:$A,105+1))</f>
        <v/>
      </c>
      <c r="B109" s="3" t="str">
        <f aca="false">IF(INDEX(Data_Checks!$B:$B,105+1)="","",INDEX(Data_Checks!$B:$B,105+1))</f>
        <v/>
      </c>
      <c r="C109" s="3" t="str">
        <f aca="false">IF(INDEX(Data_Checks!$C:$C,105+1)="","",INDEX(Data_Checks!$C:$C,105+1))</f>
        <v/>
      </c>
      <c r="D109" s="16" t="str">
        <f aca="false">IF(INDEX(Data_Checks!$D:$D,105+1)="","",INDEX(Data_Checks!$D:$D,105+1))</f>
        <v/>
      </c>
      <c r="E109" s="16" t="str">
        <f aca="false">IF(INDEX(Data_Checks!$E:$E,105+1)="","",INDEX(Data_Checks!$E:$E,105+1))</f>
        <v/>
      </c>
      <c r="F109" s="17" t="str">
        <f aca="false">IF(INDEX(Data_Checks!$F:$F,105+1)="","",INDEX(Data_Checks!$F:$F,105+1))</f>
        <v/>
      </c>
      <c r="G109" s="2" t="str">
        <f aca="false">IF(INDEX(Data_Checks!$G:$G,105+1)="","",INDEX(Data_Checks!$G:$G,105+1))</f>
        <v/>
      </c>
      <c r="H109" s="3" t="str">
        <f aca="false">IF(INDEX(Data_Checks!$H:$H,105+1)="","",INDEX(Data_Checks!$H:$H,105+1))</f>
        <v/>
      </c>
      <c r="I109" s="18"/>
      <c r="J109" s="18"/>
      <c r="K109" s="18"/>
      <c r="L109" s="18"/>
    </row>
    <row r="110" customFormat="false" ht="15" hidden="false" customHeight="false" outlineLevel="0" collapsed="false">
      <c r="A110" s="3" t="str">
        <f aca="false">IF(INDEX(Data_Checks!$A:$A,106+1)="","",INDEX(Data_Checks!$A:$A,106+1))</f>
        <v/>
      </c>
      <c r="B110" s="3" t="str">
        <f aca="false">IF(INDEX(Data_Checks!$B:$B,106+1)="","",INDEX(Data_Checks!$B:$B,106+1))</f>
        <v/>
      </c>
      <c r="C110" s="3" t="str">
        <f aca="false">IF(INDEX(Data_Checks!$C:$C,106+1)="","",INDEX(Data_Checks!$C:$C,106+1))</f>
        <v/>
      </c>
      <c r="D110" s="16" t="str">
        <f aca="false">IF(INDEX(Data_Checks!$D:$D,106+1)="","",INDEX(Data_Checks!$D:$D,106+1))</f>
        <v/>
      </c>
      <c r="E110" s="16" t="str">
        <f aca="false">IF(INDEX(Data_Checks!$E:$E,106+1)="","",INDEX(Data_Checks!$E:$E,106+1))</f>
        <v/>
      </c>
      <c r="F110" s="17" t="str">
        <f aca="false">IF(INDEX(Data_Checks!$F:$F,106+1)="","",INDEX(Data_Checks!$F:$F,106+1))</f>
        <v/>
      </c>
      <c r="G110" s="2" t="str">
        <f aca="false">IF(INDEX(Data_Checks!$G:$G,106+1)="","",INDEX(Data_Checks!$G:$G,106+1))</f>
        <v/>
      </c>
      <c r="H110" s="3" t="str">
        <f aca="false">IF(INDEX(Data_Checks!$H:$H,106+1)="","",INDEX(Data_Checks!$H:$H,106+1))</f>
        <v/>
      </c>
      <c r="I110" s="18"/>
      <c r="J110" s="18"/>
      <c r="K110" s="18"/>
      <c r="L110" s="18"/>
    </row>
    <row r="111" customFormat="false" ht="15" hidden="false" customHeight="false" outlineLevel="0" collapsed="false">
      <c r="A111" s="3" t="str">
        <f aca="false">IF(INDEX(Data_Checks!$A:$A,107+1)="","",INDEX(Data_Checks!$A:$A,107+1))</f>
        <v/>
      </c>
      <c r="B111" s="3" t="str">
        <f aca="false">IF(INDEX(Data_Checks!$B:$B,107+1)="","",INDEX(Data_Checks!$B:$B,107+1))</f>
        <v/>
      </c>
      <c r="C111" s="3" t="str">
        <f aca="false">IF(INDEX(Data_Checks!$C:$C,107+1)="","",INDEX(Data_Checks!$C:$C,107+1))</f>
        <v/>
      </c>
      <c r="D111" s="16" t="str">
        <f aca="false">IF(INDEX(Data_Checks!$D:$D,107+1)="","",INDEX(Data_Checks!$D:$D,107+1))</f>
        <v/>
      </c>
      <c r="E111" s="16" t="str">
        <f aca="false">IF(INDEX(Data_Checks!$E:$E,107+1)="","",INDEX(Data_Checks!$E:$E,107+1))</f>
        <v/>
      </c>
      <c r="F111" s="17" t="str">
        <f aca="false">IF(INDEX(Data_Checks!$F:$F,107+1)="","",INDEX(Data_Checks!$F:$F,107+1))</f>
        <v/>
      </c>
      <c r="G111" s="2" t="str">
        <f aca="false">IF(INDEX(Data_Checks!$G:$G,107+1)="","",INDEX(Data_Checks!$G:$G,107+1))</f>
        <v/>
      </c>
      <c r="H111" s="3" t="str">
        <f aca="false">IF(INDEX(Data_Checks!$H:$H,107+1)="","",INDEX(Data_Checks!$H:$H,107+1))</f>
        <v/>
      </c>
      <c r="I111" s="18"/>
      <c r="J111" s="18"/>
      <c r="K111" s="18"/>
      <c r="L111" s="18"/>
    </row>
    <row r="112" customFormat="false" ht="15" hidden="false" customHeight="false" outlineLevel="0" collapsed="false">
      <c r="A112" s="3" t="str">
        <f aca="false">IF(INDEX(Data_Checks!$A:$A,108+1)="","",INDEX(Data_Checks!$A:$A,108+1))</f>
        <v/>
      </c>
      <c r="B112" s="3" t="str">
        <f aca="false">IF(INDEX(Data_Checks!$B:$B,108+1)="","",INDEX(Data_Checks!$B:$B,108+1))</f>
        <v/>
      </c>
      <c r="C112" s="3" t="str">
        <f aca="false">IF(INDEX(Data_Checks!$C:$C,108+1)="","",INDEX(Data_Checks!$C:$C,108+1))</f>
        <v/>
      </c>
      <c r="D112" s="16" t="str">
        <f aca="false">IF(INDEX(Data_Checks!$D:$D,108+1)="","",INDEX(Data_Checks!$D:$D,108+1))</f>
        <v/>
      </c>
      <c r="E112" s="16" t="str">
        <f aca="false">IF(INDEX(Data_Checks!$E:$E,108+1)="","",INDEX(Data_Checks!$E:$E,108+1))</f>
        <v/>
      </c>
      <c r="F112" s="17" t="str">
        <f aca="false">IF(INDEX(Data_Checks!$F:$F,108+1)="","",INDEX(Data_Checks!$F:$F,108+1))</f>
        <v/>
      </c>
      <c r="G112" s="2" t="str">
        <f aca="false">IF(INDEX(Data_Checks!$G:$G,108+1)="","",INDEX(Data_Checks!$G:$G,108+1))</f>
        <v/>
      </c>
      <c r="H112" s="3" t="str">
        <f aca="false">IF(INDEX(Data_Checks!$H:$H,108+1)="","",INDEX(Data_Checks!$H:$H,108+1))</f>
        <v/>
      </c>
      <c r="I112" s="18"/>
      <c r="J112" s="18"/>
      <c r="K112" s="18"/>
      <c r="L112" s="18"/>
    </row>
    <row r="113" customFormat="false" ht="15" hidden="false" customHeight="false" outlineLevel="0" collapsed="false">
      <c r="A113" s="3" t="str">
        <f aca="false">IF(INDEX(Data_Checks!$A:$A,109+1)="","",INDEX(Data_Checks!$A:$A,109+1))</f>
        <v/>
      </c>
      <c r="B113" s="3" t="str">
        <f aca="false">IF(INDEX(Data_Checks!$B:$B,109+1)="","",INDEX(Data_Checks!$B:$B,109+1))</f>
        <v/>
      </c>
      <c r="C113" s="3" t="str">
        <f aca="false">IF(INDEX(Data_Checks!$C:$C,109+1)="","",INDEX(Data_Checks!$C:$C,109+1))</f>
        <v/>
      </c>
      <c r="D113" s="16" t="str">
        <f aca="false">IF(INDEX(Data_Checks!$D:$D,109+1)="","",INDEX(Data_Checks!$D:$D,109+1))</f>
        <v/>
      </c>
      <c r="E113" s="16" t="str">
        <f aca="false">IF(INDEX(Data_Checks!$E:$E,109+1)="","",INDEX(Data_Checks!$E:$E,109+1))</f>
        <v/>
      </c>
      <c r="F113" s="17" t="str">
        <f aca="false">IF(INDEX(Data_Checks!$F:$F,109+1)="","",INDEX(Data_Checks!$F:$F,109+1))</f>
        <v/>
      </c>
      <c r="G113" s="2" t="str">
        <f aca="false">IF(INDEX(Data_Checks!$G:$G,109+1)="","",INDEX(Data_Checks!$G:$G,109+1))</f>
        <v/>
      </c>
      <c r="H113" s="3" t="str">
        <f aca="false">IF(INDEX(Data_Checks!$H:$H,109+1)="","",INDEX(Data_Checks!$H:$H,109+1))</f>
        <v/>
      </c>
      <c r="I113" s="18"/>
      <c r="J113" s="18"/>
      <c r="K113" s="18"/>
      <c r="L113" s="18"/>
    </row>
    <row r="114" customFormat="false" ht="15" hidden="false" customHeight="false" outlineLevel="0" collapsed="false">
      <c r="A114" s="3" t="str">
        <f aca="false">IF(INDEX(Data_Checks!$A:$A,110+1)="","",INDEX(Data_Checks!$A:$A,110+1))</f>
        <v/>
      </c>
      <c r="B114" s="3" t="str">
        <f aca="false">IF(INDEX(Data_Checks!$B:$B,110+1)="","",INDEX(Data_Checks!$B:$B,110+1))</f>
        <v/>
      </c>
      <c r="C114" s="3" t="str">
        <f aca="false">IF(INDEX(Data_Checks!$C:$C,110+1)="","",INDEX(Data_Checks!$C:$C,110+1))</f>
        <v/>
      </c>
      <c r="D114" s="16" t="str">
        <f aca="false">IF(INDEX(Data_Checks!$D:$D,110+1)="","",INDEX(Data_Checks!$D:$D,110+1))</f>
        <v/>
      </c>
      <c r="E114" s="16" t="str">
        <f aca="false">IF(INDEX(Data_Checks!$E:$E,110+1)="","",INDEX(Data_Checks!$E:$E,110+1))</f>
        <v/>
      </c>
      <c r="F114" s="17" t="str">
        <f aca="false">IF(INDEX(Data_Checks!$F:$F,110+1)="","",INDEX(Data_Checks!$F:$F,110+1))</f>
        <v/>
      </c>
      <c r="G114" s="2" t="str">
        <f aca="false">IF(INDEX(Data_Checks!$G:$G,110+1)="","",INDEX(Data_Checks!$G:$G,110+1))</f>
        <v/>
      </c>
      <c r="H114" s="3" t="str">
        <f aca="false">IF(INDEX(Data_Checks!$H:$H,110+1)="","",INDEX(Data_Checks!$H:$H,110+1))</f>
        <v/>
      </c>
      <c r="I114" s="18"/>
      <c r="J114" s="18"/>
      <c r="K114" s="18"/>
      <c r="L114" s="18"/>
    </row>
    <row r="115" customFormat="false" ht="15" hidden="false" customHeight="false" outlineLevel="0" collapsed="false">
      <c r="A115" s="3" t="str">
        <f aca="false">IF(INDEX(Data_Checks!$A:$A,111+1)="","",INDEX(Data_Checks!$A:$A,111+1))</f>
        <v/>
      </c>
      <c r="B115" s="3" t="str">
        <f aca="false">IF(INDEX(Data_Checks!$B:$B,111+1)="","",INDEX(Data_Checks!$B:$B,111+1))</f>
        <v/>
      </c>
      <c r="C115" s="3" t="str">
        <f aca="false">IF(INDEX(Data_Checks!$C:$C,111+1)="","",INDEX(Data_Checks!$C:$C,111+1))</f>
        <v/>
      </c>
      <c r="D115" s="16" t="str">
        <f aca="false">IF(INDEX(Data_Checks!$D:$D,111+1)="","",INDEX(Data_Checks!$D:$D,111+1))</f>
        <v/>
      </c>
      <c r="E115" s="16" t="str">
        <f aca="false">IF(INDEX(Data_Checks!$E:$E,111+1)="","",INDEX(Data_Checks!$E:$E,111+1))</f>
        <v/>
      </c>
      <c r="F115" s="17" t="str">
        <f aca="false">IF(INDEX(Data_Checks!$F:$F,111+1)="","",INDEX(Data_Checks!$F:$F,111+1))</f>
        <v/>
      </c>
      <c r="G115" s="2" t="str">
        <f aca="false">IF(INDEX(Data_Checks!$G:$G,111+1)="","",INDEX(Data_Checks!$G:$G,111+1))</f>
        <v/>
      </c>
      <c r="H115" s="3" t="str">
        <f aca="false">IF(INDEX(Data_Checks!$H:$H,111+1)="","",INDEX(Data_Checks!$H:$H,111+1))</f>
        <v/>
      </c>
      <c r="I115" s="18"/>
      <c r="J115" s="18"/>
      <c r="K115" s="18"/>
      <c r="L115" s="18"/>
    </row>
    <row r="116" customFormat="false" ht="15" hidden="false" customHeight="false" outlineLevel="0" collapsed="false">
      <c r="A116" s="3" t="str">
        <f aca="false">IF(INDEX(Data_Checks!$A:$A,112+1)="","",INDEX(Data_Checks!$A:$A,112+1))</f>
        <v/>
      </c>
      <c r="B116" s="3" t="str">
        <f aca="false">IF(INDEX(Data_Checks!$B:$B,112+1)="","",INDEX(Data_Checks!$B:$B,112+1))</f>
        <v/>
      </c>
      <c r="C116" s="3" t="str">
        <f aca="false">IF(INDEX(Data_Checks!$C:$C,112+1)="","",INDEX(Data_Checks!$C:$C,112+1))</f>
        <v/>
      </c>
      <c r="D116" s="16" t="str">
        <f aca="false">IF(INDEX(Data_Checks!$D:$D,112+1)="","",INDEX(Data_Checks!$D:$D,112+1))</f>
        <v/>
      </c>
      <c r="E116" s="16" t="str">
        <f aca="false">IF(INDEX(Data_Checks!$E:$E,112+1)="","",INDEX(Data_Checks!$E:$E,112+1))</f>
        <v/>
      </c>
      <c r="F116" s="17" t="str">
        <f aca="false">IF(INDEX(Data_Checks!$F:$F,112+1)="","",INDEX(Data_Checks!$F:$F,112+1))</f>
        <v/>
      </c>
      <c r="G116" s="2" t="str">
        <f aca="false">IF(INDEX(Data_Checks!$G:$G,112+1)="","",INDEX(Data_Checks!$G:$G,112+1))</f>
        <v/>
      </c>
      <c r="H116" s="3" t="str">
        <f aca="false">IF(INDEX(Data_Checks!$H:$H,112+1)="","",INDEX(Data_Checks!$H:$H,112+1))</f>
        <v/>
      </c>
      <c r="I116" s="18"/>
      <c r="J116" s="18"/>
      <c r="K116" s="18"/>
      <c r="L116" s="18"/>
    </row>
    <row r="117" customFormat="false" ht="15" hidden="false" customHeight="false" outlineLevel="0" collapsed="false">
      <c r="A117" s="3" t="str">
        <f aca="false">IF(INDEX(Data_Checks!$A:$A,113+1)="","",INDEX(Data_Checks!$A:$A,113+1))</f>
        <v/>
      </c>
      <c r="B117" s="3" t="str">
        <f aca="false">IF(INDEX(Data_Checks!$B:$B,113+1)="","",INDEX(Data_Checks!$B:$B,113+1))</f>
        <v/>
      </c>
      <c r="C117" s="3" t="str">
        <f aca="false">IF(INDEX(Data_Checks!$C:$C,113+1)="","",INDEX(Data_Checks!$C:$C,113+1))</f>
        <v/>
      </c>
      <c r="D117" s="16" t="str">
        <f aca="false">IF(INDEX(Data_Checks!$D:$D,113+1)="","",INDEX(Data_Checks!$D:$D,113+1))</f>
        <v/>
      </c>
      <c r="E117" s="16" t="str">
        <f aca="false">IF(INDEX(Data_Checks!$E:$E,113+1)="","",INDEX(Data_Checks!$E:$E,113+1))</f>
        <v/>
      </c>
      <c r="F117" s="17" t="str">
        <f aca="false">IF(INDEX(Data_Checks!$F:$F,113+1)="","",INDEX(Data_Checks!$F:$F,113+1))</f>
        <v/>
      </c>
      <c r="G117" s="2" t="str">
        <f aca="false">IF(INDEX(Data_Checks!$G:$G,113+1)="","",INDEX(Data_Checks!$G:$G,113+1))</f>
        <v/>
      </c>
      <c r="H117" s="3" t="str">
        <f aca="false">IF(INDEX(Data_Checks!$H:$H,113+1)="","",INDEX(Data_Checks!$H:$H,113+1))</f>
        <v/>
      </c>
      <c r="I117" s="18"/>
      <c r="J117" s="18"/>
      <c r="K117" s="18"/>
      <c r="L117" s="18"/>
    </row>
    <row r="118" customFormat="false" ht="15" hidden="false" customHeight="false" outlineLevel="0" collapsed="false">
      <c r="A118" s="3" t="str">
        <f aca="false">IF(INDEX(Data_Checks!$A:$A,114+1)="","",INDEX(Data_Checks!$A:$A,114+1))</f>
        <v/>
      </c>
      <c r="B118" s="3" t="str">
        <f aca="false">IF(INDEX(Data_Checks!$B:$B,114+1)="","",INDEX(Data_Checks!$B:$B,114+1))</f>
        <v/>
      </c>
      <c r="C118" s="3" t="str">
        <f aca="false">IF(INDEX(Data_Checks!$C:$C,114+1)="","",INDEX(Data_Checks!$C:$C,114+1))</f>
        <v/>
      </c>
      <c r="D118" s="16" t="str">
        <f aca="false">IF(INDEX(Data_Checks!$D:$D,114+1)="","",INDEX(Data_Checks!$D:$D,114+1))</f>
        <v/>
      </c>
      <c r="E118" s="16" t="str">
        <f aca="false">IF(INDEX(Data_Checks!$E:$E,114+1)="","",INDEX(Data_Checks!$E:$E,114+1))</f>
        <v/>
      </c>
      <c r="F118" s="17" t="str">
        <f aca="false">IF(INDEX(Data_Checks!$F:$F,114+1)="","",INDEX(Data_Checks!$F:$F,114+1))</f>
        <v/>
      </c>
      <c r="G118" s="2" t="str">
        <f aca="false">IF(INDEX(Data_Checks!$G:$G,114+1)="","",INDEX(Data_Checks!$G:$G,114+1))</f>
        <v/>
      </c>
      <c r="H118" s="3" t="str">
        <f aca="false">IF(INDEX(Data_Checks!$H:$H,114+1)="","",INDEX(Data_Checks!$H:$H,114+1))</f>
        <v/>
      </c>
      <c r="I118" s="18"/>
      <c r="J118" s="18"/>
      <c r="K118" s="18"/>
      <c r="L118" s="18"/>
    </row>
    <row r="119" customFormat="false" ht="15" hidden="false" customHeight="false" outlineLevel="0" collapsed="false">
      <c r="A119" s="3" t="str">
        <f aca="false">IF(INDEX(Data_Checks!$A:$A,115+1)="","",INDEX(Data_Checks!$A:$A,115+1))</f>
        <v/>
      </c>
      <c r="B119" s="3" t="str">
        <f aca="false">IF(INDEX(Data_Checks!$B:$B,115+1)="","",INDEX(Data_Checks!$B:$B,115+1))</f>
        <v/>
      </c>
      <c r="C119" s="3" t="str">
        <f aca="false">IF(INDEX(Data_Checks!$C:$C,115+1)="","",INDEX(Data_Checks!$C:$C,115+1))</f>
        <v/>
      </c>
      <c r="D119" s="16" t="str">
        <f aca="false">IF(INDEX(Data_Checks!$D:$D,115+1)="","",INDEX(Data_Checks!$D:$D,115+1))</f>
        <v/>
      </c>
      <c r="E119" s="16" t="str">
        <f aca="false">IF(INDEX(Data_Checks!$E:$E,115+1)="","",INDEX(Data_Checks!$E:$E,115+1))</f>
        <v/>
      </c>
      <c r="F119" s="17" t="str">
        <f aca="false">IF(INDEX(Data_Checks!$F:$F,115+1)="","",INDEX(Data_Checks!$F:$F,115+1))</f>
        <v/>
      </c>
      <c r="G119" s="2" t="str">
        <f aca="false">IF(INDEX(Data_Checks!$G:$G,115+1)="","",INDEX(Data_Checks!$G:$G,115+1))</f>
        <v/>
      </c>
      <c r="H119" s="3" t="str">
        <f aca="false">IF(INDEX(Data_Checks!$H:$H,115+1)="","",INDEX(Data_Checks!$H:$H,115+1))</f>
        <v/>
      </c>
      <c r="I119" s="18"/>
      <c r="J119" s="18"/>
      <c r="K119" s="18"/>
      <c r="L119" s="18"/>
    </row>
    <row r="120" customFormat="false" ht="15" hidden="false" customHeight="false" outlineLevel="0" collapsed="false">
      <c r="A120" s="3" t="str">
        <f aca="false">IF(INDEX(Data_Checks!$A:$A,116+1)="","",INDEX(Data_Checks!$A:$A,116+1))</f>
        <v/>
      </c>
      <c r="B120" s="3" t="str">
        <f aca="false">IF(INDEX(Data_Checks!$B:$B,116+1)="","",INDEX(Data_Checks!$B:$B,116+1))</f>
        <v/>
      </c>
      <c r="C120" s="3" t="str">
        <f aca="false">IF(INDEX(Data_Checks!$C:$C,116+1)="","",INDEX(Data_Checks!$C:$C,116+1))</f>
        <v/>
      </c>
      <c r="D120" s="16" t="str">
        <f aca="false">IF(INDEX(Data_Checks!$D:$D,116+1)="","",INDEX(Data_Checks!$D:$D,116+1))</f>
        <v/>
      </c>
      <c r="E120" s="16" t="str">
        <f aca="false">IF(INDEX(Data_Checks!$E:$E,116+1)="","",INDEX(Data_Checks!$E:$E,116+1))</f>
        <v/>
      </c>
      <c r="F120" s="17" t="str">
        <f aca="false">IF(INDEX(Data_Checks!$F:$F,116+1)="","",INDEX(Data_Checks!$F:$F,116+1))</f>
        <v/>
      </c>
      <c r="G120" s="2" t="str">
        <f aca="false">IF(INDEX(Data_Checks!$G:$G,116+1)="","",INDEX(Data_Checks!$G:$G,116+1))</f>
        <v/>
      </c>
      <c r="H120" s="3" t="str">
        <f aca="false">IF(INDEX(Data_Checks!$H:$H,116+1)="","",INDEX(Data_Checks!$H:$H,116+1))</f>
        <v/>
      </c>
      <c r="I120" s="18"/>
      <c r="J120" s="18"/>
      <c r="K120" s="18"/>
      <c r="L120" s="18"/>
    </row>
    <row r="121" customFormat="false" ht="15" hidden="false" customHeight="false" outlineLevel="0" collapsed="false">
      <c r="A121" s="3" t="str">
        <f aca="false">IF(INDEX(Data_Checks!$A:$A,117+1)="","",INDEX(Data_Checks!$A:$A,117+1))</f>
        <v/>
      </c>
      <c r="B121" s="3" t="str">
        <f aca="false">IF(INDEX(Data_Checks!$B:$B,117+1)="","",INDEX(Data_Checks!$B:$B,117+1))</f>
        <v/>
      </c>
      <c r="C121" s="3" t="str">
        <f aca="false">IF(INDEX(Data_Checks!$C:$C,117+1)="","",INDEX(Data_Checks!$C:$C,117+1))</f>
        <v/>
      </c>
      <c r="D121" s="16" t="str">
        <f aca="false">IF(INDEX(Data_Checks!$D:$D,117+1)="","",INDEX(Data_Checks!$D:$D,117+1))</f>
        <v/>
      </c>
      <c r="E121" s="16" t="str">
        <f aca="false">IF(INDEX(Data_Checks!$E:$E,117+1)="","",INDEX(Data_Checks!$E:$E,117+1))</f>
        <v/>
      </c>
      <c r="F121" s="17" t="str">
        <f aca="false">IF(INDEX(Data_Checks!$F:$F,117+1)="","",INDEX(Data_Checks!$F:$F,117+1))</f>
        <v/>
      </c>
      <c r="G121" s="2" t="str">
        <f aca="false">IF(INDEX(Data_Checks!$G:$G,117+1)="","",INDEX(Data_Checks!$G:$G,117+1))</f>
        <v/>
      </c>
      <c r="H121" s="3" t="str">
        <f aca="false">IF(INDEX(Data_Checks!$H:$H,117+1)="","",INDEX(Data_Checks!$H:$H,117+1))</f>
        <v/>
      </c>
      <c r="I121" s="18"/>
      <c r="J121" s="18"/>
      <c r="K121" s="18"/>
      <c r="L121" s="18"/>
    </row>
    <row r="122" customFormat="false" ht="15" hidden="false" customHeight="false" outlineLevel="0" collapsed="false">
      <c r="A122" s="3" t="str">
        <f aca="false">IF(INDEX(Data_Checks!$A:$A,118+1)="","",INDEX(Data_Checks!$A:$A,118+1))</f>
        <v/>
      </c>
      <c r="B122" s="3" t="str">
        <f aca="false">IF(INDEX(Data_Checks!$B:$B,118+1)="","",INDEX(Data_Checks!$B:$B,118+1))</f>
        <v/>
      </c>
      <c r="C122" s="3" t="str">
        <f aca="false">IF(INDEX(Data_Checks!$C:$C,118+1)="","",INDEX(Data_Checks!$C:$C,118+1))</f>
        <v/>
      </c>
      <c r="D122" s="16" t="str">
        <f aca="false">IF(INDEX(Data_Checks!$D:$D,118+1)="","",INDEX(Data_Checks!$D:$D,118+1))</f>
        <v/>
      </c>
      <c r="E122" s="16" t="str">
        <f aca="false">IF(INDEX(Data_Checks!$E:$E,118+1)="","",INDEX(Data_Checks!$E:$E,118+1))</f>
        <v/>
      </c>
      <c r="F122" s="17" t="str">
        <f aca="false">IF(INDEX(Data_Checks!$F:$F,118+1)="","",INDEX(Data_Checks!$F:$F,118+1))</f>
        <v/>
      </c>
      <c r="G122" s="2" t="str">
        <f aca="false">IF(INDEX(Data_Checks!$G:$G,118+1)="","",INDEX(Data_Checks!$G:$G,118+1))</f>
        <v/>
      </c>
      <c r="H122" s="3" t="str">
        <f aca="false">IF(INDEX(Data_Checks!$H:$H,118+1)="","",INDEX(Data_Checks!$H:$H,118+1))</f>
        <v/>
      </c>
      <c r="I122" s="18"/>
      <c r="J122" s="18"/>
      <c r="K122" s="18"/>
      <c r="L122" s="18"/>
    </row>
    <row r="123" customFormat="false" ht="15" hidden="false" customHeight="false" outlineLevel="0" collapsed="false">
      <c r="A123" s="3" t="str">
        <f aca="false">IF(INDEX(Data_Checks!$A:$A,119+1)="","",INDEX(Data_Checks!$A:$A,119+1))</f>
        <v/>
      </c>
      <c r="B123" s="3" t="str">
        <f aca="false">IF(INDEX(Data_Checks!$B:$B,119+1)="","",INDEX(Data_Checks!$B:$B,119+1))</f>
        <v/>
      </c>
      <c r="C123" s="3" t="str">
        <f aca="false">IF(INDEX(Data_Checks!$C:$C,119+1)="","",INDEX(Data_Checks!$C:$C,119+1))</f>
        <v/>
      </c>
      <c r="D123" s="16" t="str">
        <f aca="false">IF(INDEX(Data_Checks!$D:$D,119+1)="","",INDEX(Data_Checks!$D:$D,119+1))</f>
        <v/>
      </c>
      <c r="E123" s="16" t="str">
        <f aca="false">IF(INDEX(Data_Checks!$E:$E,119+1)="","",INDEX(Data_Checks!$E:$E,119+1))</f>
        <v/>
      </c>
      <c r="F123" s="17" t="str">
        <f aca="false">IF(INDEX(Data_Checks!$F:$F,119+1)="","",INDEX(Data_Checks!$F:$F,119+1))</f>
        <v/>
      </c>
      <c r="G123" s="2" t="str">
        <f aca="false">IF(INDEX(Data_Checks!$G:$G,119+1)="","",INDEX(Data_Checks!$G:$G,119+1))</f>
        <v/>
      </c>
      <c r="H123" s="3" t="str">
        <f aca="false">IF(INDEX(Data_Checks!$H:$H,119+1)="","",INDEX(Data_Checks!$H:$H,119+1))</f>
        <v/>
      </c>
      <c r="I123" s="18"/>
      <c r="J123" s="18"/>
      <c r="K123" s="18"/>
      <c r="L123" s="18"/>
    </row>
    <row r="124" customFormat="false" ht="15" hidden="false" customHeight="false" outlineLevel="0" collapsed="false">
      <c r="A124" s="3" t="str">
        <f aca="false">IF(INDEX(Data_Checks!$A:$A,120+1)="","",INDEX(Data_Checks!$A:$A,120+1))</f>
        <v/>
      </c>
      <c r="B124" s="3" t="str">
        <f aca="false">IF(INDEX(Data_Checks!$B:$B,120+1)="","",INDEX(Data_Checks!$B:$B,120+1))</f>
        <v/>
      </c>
      <c r="C124" s="3" t="str">
        <f aca="false">IF(INDEX(Data_Checks!$C:$C,120+1)="","",INDEX(Data_Checks!$C:$C,120+1))</f>
        <v/>
      </c>
      <c r="D124" s="16" t="str">
        <f aca="false">IF(INDEX(Data_Checks!$D:$D,120+1)="","",INDEX(Data_Checks!$D:$D,120+1))</f>
        <v/>
      </c>
      <c r="E124" s="16" t="str">
        <f aca="false">IF(INDEX(Data_Checks!$E:$E,120+1)="","",INDEX(Data_Checks!$E:$E,120+1))</f>
        <v/>
      </c>
      <c r="F124" s="17" t="str">
        <f aca="false">IF(INDEX(Data_Checks!$F:$F,120+1)="","",INDEX(Data_Checks!$F:$F,120+1))</f>
        <v/>
      </c>
      <c r="G124" s="2" t="str">
        <f aca="false">IF(INDEX(Data_Checks!$G:$G,120+1)="","",INDEX(Data_Checks!$G:$G,120+1))</f>
        <v/>
      </c>
      <c r="H124" s="3" t="str">
        <f aca="false">IF(INDEX(Data_Checks!$H:$H,120+1)="","",INDEX(Data_Checks!$H:$H,120+1))</f>
        <v/>
      </c>
      <c r="I124" s="18"/>
      <c r="J124" s="18"/>
      <c r="K124" s="18"/>
      <c r="L124" s="18"/>
    </row>
    <row r="125" customFormat="false" ht="15" hidden="false" customHeight="false" outlineLevel="0" collapsed="false">
      <c r="A125" s="3" t="str">
        <f aca="false">IF(INDEX(Data_Checks!$A:$A,121+1)="","",INDEX(Data_Checks!$A:$A,121+1))</f>
        <v/>
      </c>
      <c r="B125" s="3" t="str">
        <f aca="false">IF(INDEX(Data_Checks!$B:$B,121+1)="","",INDEX(Data_Checks!$B:$B,121+1))</f>
        <v/>
      </c>
      <c r="C125" s="3" t="str">
        <f aca="false">IF(INDEX(Data_Checks!$C:$C,121+1)="","",INDEX(Data_Checks!$C:$C,121+1))</f>
        <v/>
      </c>
      <c r="D125" s="16" t="str">
        <f aca="false">IF(INDEX(Data_Checks!$D:$D,121+1)="","",INDEX(Data_Checks!$D:$D,121+1))</f>
        <v/>
      </c>
      <c r="E125" s="16" t="str">
        <f aca="false">IF(INDEX(Data_Checks!$E:$E,121+1)="","",INDEX(Data_Checks!$E:$E,121+1))</f>
        <v/>
      </c>
      <c r="F125" s="17" t="str">
        <f aca="false">IF(INDEX(Data_Checks!$F:$F,121+1)="","",INDEX(Data_Checks!$F:$F,121+1))</f>
        <v/>
      </c>
      <c r="G125" s="2" t="str">
        <f aca="false">IF(INDEX(Data_Checks!$G:$G,121+1)="","",INDEX(Data_Checks!$G:$G,121+1))</f>
        <v/>
      </c>
      <c r="H125" s="3" t="str">
        <f aca="false">IF(INDEX(Data_Checks!$H:$H,121+1)="","",INDEX(Data_Checks!$H:$H,121+1))</f>
        <v/>
      </c>
      <c r="I125" s="18"/>
      <c r="J125" s="18"/>
      <c r="K125" s="18"/>
      <c r="L125" s="18"/>
    </row>
    <row r="126" customFormat="false" ht="15" hidden="false" customHeight="false" outlineLevel="0" collapsed="false">
      <c r="A126" s="3" t="str">
        <f aca="false">IF(INDEX(Data_Checks!$A:$A,122+1)="","",INDEX(Data_Checks!$A:$A,122+1))</f>
        <v/>
      </c>
      <c r="B126" s="3" t="str">
        <f aca="false">IF(INDEX(Data_Checks!$B:$B,122+1)="","",INDEX(Data_Checks!$B:$B,122+1))</f>
        <v/>
      </c>
      <c r="C126" s="3" t="str">
        <f aca="false">IF(INDEX(Data_Checks!$C:$C,122+1)="","",INDEX(Data_Checks!$C:$C,122+1))</f>
        <v/>
      </c>
      <c r="D126" s="16" t="str">
        <f aca="false">IF(INDEX(Data_Checks!$D:$D,122+1)="","",INDEX(Data_Checks!$D:$D,122+1))</f>
        <v/>
      </c>
      <c r="E126" s="16" t="str">
        <f aca="false">IF(INDEX(Data_Checks!$E:$E,122+1)="","",INDEX(Data_Checks!$E:$E,122+1))</f>
        <v/>
      </c>
      <c r="F126" s="17" t="str">
        <f aca="false">IF(INDEX(Data_Checks!$F:$F,122+1)="","",INDEX(Data_Checks!$F:$F,122+1))</f>
        <v/>
      </c>
      <c r="G126" s="2" t="str">
        <f aca="false">IF(INDEX(Data_Checks!$G:$G,122+1)="","",INDEX(Data_Checks!$G:$G,122+1))</f>
        <v/>
      </c>
      <c r="H126" s="3" t="str">
        <f aca="false">IF(INDEX(Data_Checks!$H:$H,122+1)="","",INDEX(Data_Checks!$H:$H,122+1))</f>
        <v/>
      </c>
      <c r="I126" s="18"/>
      <c r="J126" s="18"/>
      <c r="K126" s="18"/>
      <c r="L126" s="18"/>
    </row>
    <row r="127" customFormat="false" ht="15" hidden="false" customHeight="false" outlineLevel="0" collapsed="false">
      <c r="A127" s="3" t="str">
        <f aca="false">IF(INDEX(Data_Checks!$A:$A,123+1)="","",INDEX(Data_Checks!$A:$A,123+1))</f>
        <v/>
      </c>
      <c r="B127" s="3" t="str">
        <f aca="false">IF(INDEX(Data_Checks!$B:$B,123+1)="","",INDEX(Data_Checks!$B:$B,123+1))</f>
        <v/>
      </c>
      <c r="C127" s="3" t="str">
        <f aca="false">IF(INDEX(Data_Checks!$C:$C,123+1)="","",INDEX(Data_Checks!$C:$C,123+1))</f>
        <v/>
      </c>
      <c r="D127" s="16" t="str">
        <f aca="false">IF(INDEX(Data_Checks!$D:$D,123+1)="","",INDEX(Data_Checks!$D:$D,123+1))</f>
        <v/>
      </c>
      <c r="E127" s="16" t="str">
        <f aca="false">IF(INDEX(Data_Checks!$E:$E,123+1)="","",INDEX(Data_Checks!$E:$E,123+1))</f>
        <v/>
      </c>
      <c r="F127" s="17" t="str">
        <f aca="false">IF(INDEX(Data_Checks!$F:$F,123+1)="","",INDEX(Data_Checks!$F:$F,123+1))</f>
        <v/>
      </c>
      <c r="G127" s="2" t="str">
        <f aca="false">IF(INDEX(Data_Checks!$G:$G,123+1)="","",INDEX(Data_Checks!$G:$G,123+1))</f>
        <v/>
      </c>
      <c r="H127" s="3" t="str">
        <f aca="false">IF(INDEX(Data_Checks!$H:$H,123+1)="","",INDEX(Data_Checks!$H:$H,123+1))</f>
        <v/>
      </c>
      <c r="I127" s="18"/>
      <c r="J127" s="18"/>
      <c r="K127" s="18"/>
      <c r="L127" s="18"/>
    </row>
    <row r="128" customFormat="false" ht="15" hidden="false" customHeight="false" outlineLevel="0" collapsed="false">
      <c r="A128" s="3" t="str">
        <f aca="false">IF(INDEX(Data_Checks!$A:$A,124+1)="","",INDEX(Data_Checks!$A:$A,124+1))</f>
        <v/>
      </c>
      <c r="B128" s="3" t="str">
        <f aca="false">IF(INDEX(Data_Checks!$B:$B,124+1)="","",INDEX(Data_Checks!$B:$B,124+1))</f>
        <v/>
      </c>
      <c r="C128" s="3" t="str">
        <f aca="false">IF(INDEX(Data_Checks!$C:$C,124+1)="","",INDEX(Data_Checks!$C:$C,124+1))</f>
        <v/>
      </c>
      <c r="D128" s="16" t="str">
        <f aca="false">IF(INDEX(Data_Checks!$D:$D,124+1)="","",INDEX(Data_Checks!$D:$D,124+1))</f>
        <v/>
      </c>
      <c r="E128" s="16" t="str">
        <f aca="false">IF(INDEX(Data_Checks!$E:$E,124+1)="","",INDEX(Data_Checks!$E:$E,124+1))</f>
        <v/>
      </c>
      <c r="F128" s="17" t="str">
        <f aca="false">IF(INDEX(Data_Checks!$F:$F,124+1)="","",INDEX(Data_Checks!$F:$F,124+1))</f>
        <v/>
      </c>
      <c r="G128" s="2" t="str">
        <f aca="false">IF(INDEX(Data_Checks!$G:$G,124+1)="","",INDEX(Data_Checks!$G:$G,124+1))</f>
        <v/>
      </c>
      <c r="H128" s="3" t="str">
        <f aca="false">IF(INDEX(Data_Checks!$H:$H,124+1)="","",INDEX(Data_Checks!$H:$H,124+1))</f>
        <v/>
      </c>
      <c r="I128" s="18"/>
      <c r="J128" s="18"/>
      <c r="K128" s="18"/>
      <c r="L128" s="18"/>
    </row>
    <row r="129" customFormat="false" ht="15" hidden="false" customHeight="false" outlineLevel="0" collapsed="false">
      <c r="A129" s="3" t="str">
        <f aca="false">IF(INDEX(Data_Checks!$A:$A,125+1)="","",INDEX(Data_Checks!$A:$A,125+1))</f>
        <v/>
      </c>
      <c r="B129" s="3" t="str">
        <f aca="false">IF(INDEX(Data_Checks!$B:$B,125+1)="","",INDEX(Data_Checks!$B:$B,125+1))</f>
        <v/>
      </c>
      <c r="C129" s="3" t="str">
        <f aca="false">IF(INDEX(Data_Checks!$C:$C,125+1)="","",INDEX(Data_Checks!$C:$C,125+1))</f>
        <v/>
      </c>
      <c r="D129" s="16" t="str">
        <f aca="false">IF(INDEX(Data_Checks!$D:$D,125+1)="","",INDEX(Data_Checks!$D:$D,125+1))</f>
        <v/>
      </c>
      <c r="E129" s="16" t="str">
        <f aca="false">IF(INDEX(Data_Checks!$E:$E,125+1)="","",INDEX(Data_Checks!$E:$E,125+1))</f>
        <v/>
      </c>
      <c r="F129" s="17" t="str">
        <f aca="false">IF(INDEX(Data_Checks!$F:$F,125+1)="","",INDEX(Data_Checks!$F:$F,125+1))</f>
        <v/>
      </c>
      <c r="G129" s="2" t="str">
        <f aca="false">IF(INDEX(Data_Checks!$G:$G,125+1)="","",INDEX(Data_Checks!$G:$G,125+1))</f>
        <v/>
      </c>
      <c r="H129" s="3" t="str">
        <f aca="false">IF(INDEX(Data_Checks!$H:$H,125+1)="","",INDEX(Data_Checks!$H:$H,125+1))</f>
        <v/>
      </c>
      <c r="I129" s="18"/>
      <c r="J129" s="18"/>
      <c r="K129" s="18"/>
      <c r="L129" s="18"/>
    </row>
    <row r="130" customFormat="false" ht="15" hidden="false" customHeight="false" outlineLevel="0" collapsed="false">
      <c r="A130" s="3" t="str">
        <f aca="false">IF(INDEX(Data_Checks!$A:$A,126+1)="","",INDEX(Data_Checks!$A:$A,126+1))</f>
        <v/>
      </c>
      <c r="B130" s="3" t="str">
        <f aca="false">IF(INDEX(Data_Checks!$B:$B,126+1)="","",INDEX(Data_Checks!$B:$B,126+1))</f>
        <v/>
      </c>
      <c r="C130" s="3" t="str">
        <f aca="false">IF(INDEX(Data_Checks!$C:$C,126+1)="","",INDEX(Data_Checks!$C:$C,126+1))</f>
        <v/>
      </c>
      <c r="D130" s="16" t="str">
        <f aca="false">IF(INDEX(Data_Checks!$D:$D,126+1)="","",INDEX(Data_Checks!$D:$D,126+1))</f>
        <v/>
      </c>
      <c r="E130" s="16" t="str">
        <f aca="false">IF(INDEX(Data_Checks!$E:$E,126+1)="","",INDEX(Data_Checks!$E:$E,126+1))</f>
        <v/>
      </c>
      <c r="F130" s="17" t="str">
        <f aca="false">IF(INDEX(Data_Checks!$F:$F,126+1)="","",INDEX(Data_Checks!$F:$F,126+1))</f>
        <v/>
      </c>
      <c r="G130" s="2" t="str">
        <f aca="false">IF(INDEX(Data_Checks!$G:$G,126+1)="","",INDEX(Data_Checks!$G:$G,126+1))</f>
        <v/>
      </c>
      <c r="H130" s="3" t="str">
        <f aca="false">IF(INDEX(Data_Checks!$H:$H,126+1)="","",INDEX(Data_Checks!$H:$H,126+1))</f>
        <v/>
      </c>
      <c r="I130" s="18"/>
      <c r="J130" s="18"/>
      <c r="K130" s="18"/>
      <c r="L130" s="18"/>
    </row>
    <row r="131" customFormat="false" ht="15" hidden="false" customHeight="false" outlineLevel="0" collapsed="false">
      <c r="A131" s="3" t="str">
        <f aca="false">IF(INDEX(Data_Checks!$A:$A,127+1)="","",INDEX(Data_Checks!$A:$A,127+1))</f>
        <v/>
      </c>
      <c r="B131" s="3" t="str">
        <f aca="false">IF(INDEX(Data_Checks!$B:$B,127+1)="","",INDEX(Data_Checks!$B:$B,127+1))</f>
        <v/>
      </c>
      <c r="C131" s="3" t="str">
        <f aca="false">IF(INDEX(Data_Checks!$C:$C,127+1)="","",INDEX(Data_Checks!$C:$C,127+1))</f>
        <v/>
      </c>
      <c r="D131" s="16" t="str">
        <f aca="false">IF(INDEX(Data_Checks!$D:$D,127+1)="","",INDEX(Data_Checks!$D:$D,127+1))</f>
        <v/>
      </c>
      <c r="E131" s="16" t="str">
        <f aca="false">IF(INDEX(Data_Checks!$E:$E,127+1)="","",INDEX(Data_Checks!$E:$E,127+1))</f>
        <v/>
      </c>
      <c r="F131" s="17" t="str">
        <f aca="false">IF(INDEX(Data_Checks!$F:$F,127+1)="","",INDEX(Data_Checks!$F:$F,127+1))</f>
        <v/>
      </c>
      <c r="G131" s="2" t="str">
        <f aca="false">IF(INDEX(Data_Checks!$G:$G,127+1)="","",INDEX(Data_Checks!$G:$G,127+1))</f>
        <v/>
      </c>
      <c r="H131" s="3" t="str">
        <f aca="false">IF(INDEX(Data_Checks!$H:$H,127+1)="","",INDEX(Data_Checks!$H:$H,127+1))</f>
        <v/>
      </c>
      <c r="I131" s="18"/>
      <c r="J131" s="18"/>
      <c r="K131" s="18"/>
      <c r="L131" s="18"/>
    </row>
    <row r="132" customFormat="false" ht="15" hidden="false" customHeight="false" outlineLevel="0" collapsed="false">
      <c r="A132" s="3" t="str">
        <f aca="false">IF(INDEX(Data_Checks!$A:$A,128+1)="","",INDEX(Data_Checks!$A:$A,128+1))</f>
        <v/>
      </c>
      <c r="B132" s="3" t="str">
        <f aca="false">IF(INDEX(Data_Checks!$B:$B,128+1)="","",INDEX(Data_Checks!$B:$B,128+1))</f>
        <v/>
      </c>
      <c r="C132" s="3" t="str">
        <f aca="false">IF(INDEX(Data_Checks!$C:$C,128+1)="","",INDEX(Data_Checks!$C:$C,128+1))</f>
        <v/>
      </c>
      <c r="D132" s="16" t="str">
        <f aca="false">IF(INDEX(Data_Checks!$D:$D,128+1)="","",INDEX(Data_Checks!$D:$D,128+1))</f>
        <v/>
      </c>
      <c r="E132" s="16" t="str">
        <f aca="false">IF(INDEX(Data_Checks!$E:$E,128+1)="","",INDEX(Data_Checks!$E:$E,128+1))</f>
        <v/>
      </c>
      <c r="F132" s="17" t="str">
        <f aca="false">IF(INDEX(Data_Checks!$F:$F,128+1)="","",INDEX(Data_Checks!$F:$F,128+1))</f>
        <v/>
      </c>
      <c r="G132" s="2" t="str">
        <f aca="false">IF(INDEX(Data_Checks!$G:$G,128+1)="","",INDEX(Data_Checks!$G:$G,128+1))</f>
        <v/>
      </c>
      <c r="H132" s="3" t="str">
        <f aca="false">IF(INDEX(Data_Checks!$H:$H,128+1)="","",INDEX(Data_Checks!$H:$H,128+1))</f>
        <v/>
      </c>
      <c r="I132" s="18"/>
      <c r="J132" s="18"/>
      <c r="K132" s="18"/>
      <c r="L132" s="18"/>
    </row>
    <row r="133" customFormat="false" ht="15" hidden="false" customHeight="false" outlineLevel="0" collapsed="false">
      <c r="A133" s="3" t="str">
        <f aca="false">IF(INDEX(Data_Checks!$A:$A,129+1)="","",INDEX(Data_Checks!$A:$A,129+1))</f>
        <v/>
      </c>
      <c r="B133" s="3" t="str">
        <f aca="false">IF(INDEX(Data_Checks!$B:$B,129+1)="","",INDEX(Data_Checks!$B:$B,129+1))</f>
        <v/>
      </c>
      <c r="C133" s="3" t="str">
        <f aca="false">IF(INDEX(Data_Checks!$C:$C,129+1)="","",INDEX(Data_Checks!$C:$C,129+1))</f>
        <v/>
      </c>
      <c r="D133" s="16" t="str">
        <f aca="false">IF(INDEX(Data_Checks!$D:$D,129+1)="","",INDEX(Data_Checks!$D:$D,129+1))</f>
        <v/>
      </c>
      <c r="E133" s="16" t="str">
        <f aca="false">IF(INDEX(Data_Checks!$E:$E,129+1)="","",INDEX(Data_Checks!$E:$E,129+1))</f>
        <v/>
      </c>
      <c r="F133" s="17" t="str">
        <f aca="false">IF(INDEX(Data_Checks!$F:$F,129+1)="","",INDEX(Data_Checks!$F:$F,129+1))</f>
        <v/>
      </c>
      <c r="G133" s="2" t="str">
        <f aca="false">IF(INDEX(Data_Checks!$G:$G,129+1)="","",INDEX(Data_Checks!$G:$G,129+1))</f>
        <v/>
      </c>
      <c r="H133" s="3" t="str">
        <f aca="false">IF(INDEX(Data_Checks!$H:$H,129+1)="","",INDEX(Data_Checks!$H:$H,129+1))</f>
        <v/>
      </c>
      <c r="I133" s="18"/>
      <c r="J133" s="18"/>
      <c r="K133" s="18"/>
      <c r="L133" s="18"/>
    </row>
    <row r="134" customFormat="false" ht="15" hidden="false" customHeight="false" outlineLevel="0" collapsed="false">
      <c r="A134" s="3" t="str">
        <f aca="false">IF(INDEX(Data_Checks!$A:$A,130+1)="","",INDEX(Data_Checks!$A:$A,130+1))</f>
        <v/>
      </c>
      <c r="B134" s="3" t="str">
        <f aca="false">IF(INDEX(Data_Checks!$B:$B,130+1)="","",INDEX(Data_Checks!$B:$B,130+1))</f>
        <v/>
      </c>
      <c r="C134" s="3" t="str">
        <f aca="false">IF(INDEX(Data_Checks!$C:$C,130+1)="","",INDEX(Data_Checks!$C:$C,130+1))</f>
        <v/>
      </c>
      <c r="D134" s="16" t="str">
        <f aca="false">IF(INDEX(Data_Checks!$D:$D,130+1)="","",INDEX(Data_Checks!$D:$D,130+1))</f>
        <v/>
      </c>
      <c r="E134" s="16" t="str">
        <f aca="false">IF(INDEX(Data_Checks!$E:$E,130+1)="","",INDEX(Data_Checks!$E:$E,130+1))</f>
        <v/>
      </c>
      <c r="F134" s="17" t="str">
        <f aca="false">IF(INDEX(Data_Checks!$F:$F,130+1)="","",INDEX(Data_Checks!$F:$F,130+1))</f>
        <v/>
      </c>
      <c r="G134" s="2" t="str">
        <f aca="false">IF(INDEX(Data_Checks!$G:$G,130+1)="","",INDEX(Data_Checks!$G:$G,130+1))</f>
        <v/>
      </c>
      <c r="H134" s="3" t="str">
        <f aca="false">IF(INDEX(Data_Checks!$H:$H,130+1)="","",INDEX(Data_Checks!$H:$H,130+1))</f>
        <v/>
      </c>
      <c r="I134" s="18"/>
      <c r="J134" s="18"/>
      <c r="K134" s="18"/>
      <c r="L134" s="18"/>
    </row>
    <row r="135" customFormat="false" ht="15" hidden="false" customHeight="false" outlineLevel="0" collapsed="false">
      <c r="A135" s="3" t="str">
        <f aca="false">IF(INDEX(Data_Checks!$A:$A,131+1)="","",INDEX(Data_Checks!$A:$A,131+1))</f>
        <v/>
      </c>
      <c r="B135" s="3" t="str">
        <f aca="false">IF(INDEX(Data_Checks!$B:$B,131+1)="","",INDEX(Data_Checks!$B:$B,131+1))</f>
        <v/>
      </c>
      <c r="C135" s="3" t="str">
        <f aca="false">IF(INDEX(Data_Checks!$C:$C,131+1)="","",INDEX(Data_Checks!$C:$C,131+1))</f>
        <v/>
      </c>
      <c r="D135" s="16" t="str">
        <f aca="false">IF(INDEX(Data_Checks!$D:$D,131+1)="","",INDEX(Data_Checks!$D:$D,131+1))</f>
        <v/>
      </c>
      <c r="E135" s="16" t="str">
        <f aca="false">IF(INDEX(Data_Checks!$E:$E,131+1)="","",INDEX(Data_Checks!$E:$E,131+1))</f>
        <v/>
      </c>
      <c r="F135" s="17" t="str">
        <f aca="false">IF(INDEX(Data_Checks!$F:$F,131+1)="","",INDEX(Data_Checks!$F:$F,131+1))</f>
        <v/>
      </c>
      <c r="G135" s="2" t="str">
        <f aca="false">IF(INDEX(Data_Checks!$G:$G,131+1)="","",INDEX(Data_Checks!$G:$G,131+1))</f>
        <v/>
      </c>
      <c r="H135" s="3" t="str">
        <f aca="false">IF(INDEX(Data_Checks!$H:$H,131+1)="","",INDEX(Data_Checks!$H:$H,131+1))</f>
        <v/>
      </c>
      <c r="I135" s="18"/>
      <c r="J135" s="18"/>
      <c r="K135" s="18"/>
      <c r="L135" s="18"/>
    </row>
    <row r="136" customFormat="false" ht="15" hidden="false" customHeight="false" outlineLevel="0" collapsed="false">
      <c r="A136" s="3" t="str">
        <f aca="false">IF(INDEX(Data_Checks!$A:$A,132+1)="","",INDEX(Data_Checks!$A:$A,132+1))</f>
        <v/>
      </c>
      <c r="B136" s="3" t="str">
        <f aca="false">IF(INDEX(Data_Checks!$B:$B,132+1)="","",INDEX(Data_Checks!$B:$B,132+1))</f>
        <v/>
      </c>
      <c r="C136" s="3" t="str">
        <f aca="false">IF(INDEX(Data_Checks!$C:$C,132+1)="","",INDEX(Data_Checks!$C:$C,132+1))</f>
        <v/>
      </c>
      <c r="D136" s="16" t="str">
        <f aca="false">IF(INDEX(Data_Checks!$D:$D,132+1)="","",INDEX(Data_Checks!$D:$D,132+1))</f>
        <v/>
      </c>
      <c r="E136" s="16" t="str">
        <f aca="false">IF(INDEX(Data_Checks!$E:$E,132+1)="","",INDEX(Data_Checks!$E:$E,132+1))</f>
        <v/>
      </c>
      <c r="F136" s="17" t="str">
        <f aca="false">IF(INDEX(Data_Checks!$F:$F,132+1)="","",INDEX(Data_Checks!$F:$F,132+1))</f>
        <v/>
      </c>
      <c r="G136" s="2" t="str">
        <f aca="false">IF(INDEX(Data_Checks!$G:$G,132+1)="","",INDEX(Data_Checks!$G:$G,132+1))</f>
        <v/>
      </c>
      <c r="H136" s="3" t="str">
        <f aca="false">IF(INDEX(Data_Checks!$H:$H,132+1)="","",INDEX(Data_Checks!$H:$H,132+1))</f>
        <v/>
      </c>
      <c r="I136" s="18"/>
      <c r="J136" s="18"/>
      <c r="K136" s="18"/>
      <c r="L136" s="18"/>
    </row>
    <row r="137" customFormat="false" ht="15" hidden="false" customHeight="false" outlineLevel="0" collapsed="false">
      <c r="A137" s="3" t="str">
        <f aca="false">IF(INDEX(Data_Checks!$A:$A,133+1)="","",INDEX(Data_Checks!$A:$A,133+1))</f>
        <v/>
      </c>
      <c r="B137" s="3" t="str">
        <f aca="false">IF(INDEX(Data_Checks!$B:$B,133+1)="","",INDEX(Data_Checks!$B:$B,133+1))</f>
        <v/>
      </c>
      <c r="C137" s="3" t="str">
        <f aca="false">IF(INDEX(Data_Checks!$C:$C,133+1)="","",INDEX(Data_Checks!$C:$C,133+1))</f>
        <v/>
      </c>
      <c r="D137" s="16" t="str">
        <f aca="false">IF(INDEX(Data_Checks!$D:$D,133+1)="","",INDEX(Data_Checks!$D:$D,133+1))</f>
        <v/>
      </c>
      <c r="E137" s="16" t="str">
        <f aca="false">IF(INDEX(Data_Checks!$E:$E,133+1)="","",INDEX(Data_Checks!$E:$E,133+1))</f>
        <v/>
      </c>
      <c r="F137" s="17" t="str">
        <f aca="false">IF(INDEX(Data_Checks!$F:$F,133+1)="","",INDEX(Data_Checks!$F:$F,133+1))</f>
        <v/>
      </c>
      <c r="G137" s="2" t="str">
        <f aca="false">IF(INDEX(Data_Checks!$G:$G,133+1)="","",INDEX(Data_Checks!$G:$G,133+1))</f>
        <v/>
      </c>
      <c r="H137" s="3" t="str">
        <f aca="false">IF(INDEX(Data_Checks!$H:$H,133+1)="","",INDEX(Data_Checks!$H:$H,133+1))</f>
        <v/>
      </c>
      <c r="I137" s="18"/>
      <c r="J137" s="18"/>
      <c r="K137" s="18"/>
      <c r="L137" s="18"/>
    </row>
    <row r="138" customFormat="false" ht="15" hidden="false" customHeight="false" outlineLevel="0" collapsed="false">
      <c r="A138" s="3" t="str">
        <f aca="false">IF(INDEX(Data_Checks!$A:$A,134+1)="","",INDEX(Data_Checks!$A:$A,134+1))</f>
        <v/>
      </c>
      <c r="B138" s="3" t="str">
        <f aca="false">IF(INDEX(Data_Checks!$B:$B,134+1)="","",INDEX(Data_Checks!$B:$B,134+1))</f>
        <v/>
      </c>
      <c r="C138" s="3" t="str">
        <f aca="false">IF(INDEX(Data_Checks!$C:$C,134+1)="","",INDEX(Data_Checks!$C:$C,134+1))</f>
        <v/>
      </c>
      <c r="D138" s="16" t="str">
        <f aca="false">IF(INDEX(Data_Checks!$D:$D,134+1)="","",INDEX(Data_Checks!$D:$D,134+1))</f>
        <v/>
      </c>
      <c r="E138" s="16" t="str">
        <f aca="false">IF(INDEX(Data_Checks!$E:$E,134+1)="","",INDEX(Data_Checks!$E:$E,134+1))</f>
        <v/>
      </c>
      <c r="F138" s="17" t="str">
        <f aca="false">IF(INDEX(Data_Checks!$F:$F,134+1)="","",INDEX(Data_Checks!$F:$F,134+1))</f>
        <v/>
      </c>
      <c r="G138" s="2" t="str">
        <f aca="false">IF(INDEX(Data_Checks!$G:$G,134+1)="","",INDEX(Data_Checks!$G:$G,134+1))</f>
        <v/>
      </c>
      <c r="H138" s="3" t="str">
        <f aca="false">IF(INDEX(Data_Checks!$H:$H,134+1)="","",INDEX(Data_Checks!$H:$H,134+1))</f>
        <v/>
      </c>
      <c r="I138" s="18"/>
      <c r="J138" s="18"/>
      <c r="K138" s="18"/>
      <c r="L138" s="18"/>
    </row>
    <row r="139" customFormat="false" ht="15" hidden="false" customHeight="false" outlineLevel="0" collapsed="false">
      <c r="A139" s="3" t="str">
        <f aca="false">IF(INDEX(Data_Checks!$A:$A,135+1)="","",INDEX(Data_Checks!$A:$A,135+1))</f>
        <v/>
      </c>
      <c r="B139" s="3" t="str">
        <f aca="false">IF(INDEX(Data_Checks!$B:$B,135+1)="","",INDEX(Data_Checks!$B:$B,135+1))</f>
        <v/>
      </c>
      <c r="C139" s="3" t="str">
        <f aca="false">IF(INDEX(Data_Checks!$C:$C,135+1)="","",INDEX(Data_Checks!$C:$C,135+1))</f>
        <v/>
      </c>
      <c r="D139" s="16" t="str">
        <f aca="false">IF(INDEX(Data_Checks!$D:$D,135+1)="","",INDEX(Data_Checks!$D:$D,135+1))</f>
        <v/>
      </c>
      <c r="E139" s="16" t="str">
        <f aca="false">IF(INDEX(Data_Checks!$E:$E,135+1)="","",INDEX(Data_Checks!$E:$E,135+1))</f>
        <v/>
      </c>
      <c r="F139" s="17" t="str">
        <f aca="false">IF(INDEX(Data_Checks!$F:$F,135+1)="","",INDEX(Data_Checks!$F:$F,135+1))</f>
        <v/>
      </c>
      <c r="G139" s="2" t="str">
        <f aca="false">IF(INDEX(Data_Checks!$G:$G,135+1)="","",INDEX(Data_Checks!$G:$G,135+1))</f>
        <v/>
      </c>
      <c r="H139" s="3" t="str">
        <f aca="false">IF(INDEX(Data_Checks!$H:$H,135+1)="","",INDEX(Data_Checks!$H:$H,135+1))</f>
        <v/>
      </c>
      <c r="I139" s="18"/>
      <c r="J139" s="18"/>
      <c r="K139" s="18"/>
      <c r="L139" s="18"/>
    </row>
    <row r="140" customFormat="false" ht="15" hidden="false" customHeight="false" outlineLevel="0" collapsed="false">
      <c r="A140" s="3" t="str">
        <f aca="false">IF(INDEX(Data_Checks!$A:$A,136+1)="","",INDEX(Data_Checks!$A:$A,136+1))</f>
        <v/>
      </c>
      <c r="B140" s="3" t="str">
        <f aca="false">IF(INDEX(Data_Checks!$B:$B,136+1)="","",INDEX(Data_Checks!$B:$B,136+1))</f>
        <v/>
      </c>
      <c r="C140" s="3" t="str">
        <f aca="false">IF(INDEX(Data_Checks!$C:$C,136+1)="","",INDEX(Data_Checks!$C:$C,136+1))</f>
        <v/>
      </c>
      <c r="D140" s="16" t="str">
        <f aca="false">IF(INDEX(Data_Checks!$D:$D,136+1)="","",INDEX(Data_Checks!$D:$D,136+1))</f>
        <v/>
      </c>
      <c r="E140" s="16" t="str">
        <f aca="false">IF(INDEX(Data_Checks!$E:$E,136+1)="","",INDEX(Data_Checks!$E:$E,136+1))</f>
        <v/>
      </c>
      <c r="F140" s="17" t="str">
        <f aca="false">IF(INDEX(Data_Checks!$F:$F,136+1)="","",INDEX(Data_Checks!$F:$F,136+1))</f>
        <v/>
      </c>
      <c r="G140" s="2" t="str">
        <f aca="false">IF(INDEX(Data_Checks!$G:$G,136+1)="","",INDEX(Data_Checks!$G:$G,136+1))</f>
        <v/>
      </c>
      <c r="H140" s="3" t="str">
        <f aca="false">IF(INDEX(Data_Checks!$H:$H,136+1)="","",INDEX(Data_Checks!$H:$H,136+1))</f>
        <v/>
      </c>
      <c r="I140" s="18"/>
      <c r="J140" s="18"/>
      <c r="K140" s="18"/>
      <c r="L140" s="18"/>
    </row>
    <row r="141" customFormat="false" ht="15" hidden="false" customHeight="false" outlineLevel="0" collapsed="false">
      <c r="A141" s="3" t="str">
        <f aca="false">IF(INDEX(Data_Checks!$A:$A,137+1)="","",INDEX(Data_Checks!$A:$A,137+1))</f>
        <v/>
      </c>
      <c r="B141" s="3" t="str">
        <f aca="false">IF(INDEX(Data_Checks!$B:$B,137+1)="","",INDEX(Data_Checks!$B:$B,137+1))</f>
        <v/>
      </c>
      <c r="C141" s="3" t="str">
        <f aca="false">IF(INDEX(Data_Checks!$C:$C,137+1)="","",INDEX(Data_Checks!$C:$C,137+1))</f>
        <v/>
      </c>
      <c r="D141" s="16" t="str">
        <f aca="false">IF(INDEX(Data_Checks!$D:$D,137+1)="","",INDEX(Data_Checks!$D:$D,137+1))</f>
        <v/>
      </c>
      <c r="E141" s="16" t="str">
        <f aca="false">IF(INDEX(Data_Checks!$E:$E,137+1)="","",INDEX(Data_Checks!$E:$E,137+1))</f>
        <v/>
      </c>
      <c r="F141" s="17" t="str">
        <f aca="false">IF(INDEX(Data_Checks!$F:$F,137+1)="","",INDEX(Data_Checks!$F:$F,137+1))</f>
        <v/>
      </c>
      <c r="G141" s="2" t="str">
        <f aca="false">IF(INDEX(Data_Checks!$G:$G,137+1)="","",INDEX(Data_Checks!$G:$G,137+1))</f>
        <v/>
      </c>
      <c r="H141" s="3" t="str">
        <f aca="false">IF(INDEX(Data_Checks!$H:$H,137+1)="","",INDEX(Data_Checks!$H:$H,137+1))</f>
        <v/>
      </c>
      <c r="I141" s="18"/>
      <c r="J141" s="18"/>
      <c r="K141" s="18"/>
      <c r="L141" s="18"/>
    </row>
    <row r="142" customFormat="false" ht="15" hidden="false" customHeight="false" outlineLevel="0" collapsed="false">
      <c r="A142" s="3" t="str">
        <f aca="false">IF(INDEX(Data_Checks!$A:$A,138+1)="","",INDEX(Data_Checks!$A:$A,138+1))</f>
        <v/>
      </c>
      <c r="B142" s="3" t="str">
        <f aca="false">IF(INDEX(Data_Checks!$B:$B,138+1)="","",INDEX(Data_Checks!$B:$B,138+1))</f>
        <v/>
      </c>
      <c r="C142" s="3" t="str">
        <f aca="false">IF(INDEX(Data_Checks!$C:$C,138+1)="","",INDEX(Data_Checks!$C:$C,138+1))</f>
        <v/>
      </c>
      <c r="D142" s="16" t="str">
        <f aca="false">IF(INDEX(Data_Checks!$D:$D,138+1)="","",INDEX(Data_Checks!$D:$D,138+1))</f>
        <v/>
      </c>
      <c r="E142" s="16" t="str">
        <f aca="false">IF(INDEX(Data_Checks!$E:$E,138+1)="","",INDEX(Data_Checks!$E:$E,138+1))</f>
        <v/>
      </c>
      <c r="F142" s="17" t="str">
        <f aca="false">IF(INDEX(Data_Checks!$F:$F,138+1)="","",INDEX(Data_Checks!$F:$F,138+1))</f>
        <v/>
      </c>
      <c r="G142" s="2" t="str">
        <f aca="false">IF(INDEX(Data_Checks!$G:$G,138+1)="","",INDEX(Data_Checks!$G:$G,138+1))</f>
        <v/>
      </c>
      <c r="H142" s="3" t="str">
        <f aca="false">IF(INDEX(Data_Checks!$H:$H,138+1)="","",INDEX(Data_Checks!$H:$H,138+1))</f>
        <v/>
      </c>
      <c r="I142" s="18"/>
      <c r="J142" s="18"/>
      <c r="K142" s="18"/>
      <c r="L142" s="18"/>
    </row>
    <row r="143" customFormat="false" ht="15" hidden="false" customHeight="false" outlineLevel="0" collapsed="false">
      <c r="A143" s="3" t="str">
        <f aca="false">IF(INDEX(Data_Checks!$A:$A,139+1)="","",INDEX(Data_Checks!$A:$A,139+1))</f>
        <v/>
      </c>
      <c r="B143" s="3" t="str">
        <f aca="false">IF(INDEX(Data_Checks!$B:$B,139+1)="","",INDEX(Data_Checks!$B:$B,139+1))</f>
        <v/>
      </c>
      <c r="C143" s="3" t="str">
        <f aca="false">IF(INDEX(Data_Checks!$C:$C,139+1)="","",INDEX(Data_Checks!$C:$C,139+1))</f>
        <v/>
      </c>
      <c r="D143" s="16" t="str">
        <f aca="false">IF(INDEX(Data_Checks!$D:$D,139+1)="","",INDEX(Data_Checks!$D:$D,139+1))</f>
        <v/>
      </c>
      <c r="E143" s="16" t="str">
        <f aca="false">IF(INDEX(Data_Checks!$E:$E,139+1)="","",INDEX(Data_Checks!$E:$E,139+1))</f>
        <v/>
      </c>
      <c r="F143" s="17" t="str">
        <f aca="false">IF(INDEX(Data_Checks!$F:$F,139+1)="","",INDEX(Data_Checks!$F:$F,139+1))</f>
        <v/>
      </c>
      <c r="G143" s="2" t="str">
        <f aca="false">IF(INDEX(Data_Checks!$G:$G,139+1)="","",INDEX(Data_Checks!$G:$G,139+1))</f>
        <v/>
      </c>
      <c r="H143" s="3" t="str">
        <f aca="false">IF(INDEX(Data_Checks!$H:$H,139+1)="","",INDEX(Data_Checks!$H:$H,139+1))</f>
        <v/>
      </c>
      <c r="I143" s="18"/>
      <c r="J143" s="18"/>
      <c r="K143" s="18"/>
      <c r="L143" s="18"/>
    </row>
    <row r="144" customFormat="false" ht="15" hidden="false" customHeight="false" outlineLevel="0" collapsed="false">
      <c r="A144" s="3" t="str">
        <f aca="false">IF(INDEX(Data_Checks!$A:$A,140+1)="","",INDEX(Data_Checks!$A:$A,140+1))</f>
        <v/>
      </c>
      <c r="B144" s="3" t="str">
        <f aca="false">IF(INDEX(Data_Checks!$B:$B,140+1)="","",INDEX(Data_Checks!$B:$B,140+1))</f>
        <v/>
      </c>
      <c r="C144" s="3" t="str">
        <f aca="false">IF(INDEX(Data_Checks!$C:$C,140+1)="","",INDEX(Data_Checks!$C:$C,140+1))</f>
        <v/>
      </c>
      <c r="D144" s="16" t="str">
        <f aca="false">IF(INDEX(Data_Checks!$D:$D,140+1)="","",INDEX(Data_Checks!$D:$D,140+1))</f>
        <v/>
      </c>
      <c r="E144" s="16" t="str">
        <f aca="false">IF(INDEX(Data_Checks!$E:$E,140+1)="","",INDEX(Data_Checks!$E:$E,140+1))</f>
        <v/>
      </c>
      <c r="F144" s="17" t="str">
        <f aca="false">IF(INDEX(Data_Checks!$F:$F,140+1)="","",INDEX(Data_Checks!$F:$F,140+1))</f>
        <v/>
      </c>
      <c r="G144" s="2" t="str">
        <f aca="false">IF(INDEX(Data_Checks!$G:$G,140+1)="","",INDEX(Data_Checks!$G:$G,140+1))</f>
        <v/>
      </c>
      <c r="H144" s="3" t="str">
        <f aca="false">IF(INDEX(Data_Checks!$H:$H,140+1)="","",INDEX(Data_Checks!$H:$H,140+1))</f>
        <v/>
      </c>
      <c r="I144" s="18"/>
      <c r="J144" s="18"/>
      <c r="K144" s="18"/>
      <c r="L144" s="18"/>
    </row>
    <row r="145" customFormat="false" ht="15" hidden="false" customHeight="false" outlineLevel="0" collapsed="false">
      <c r="A145" s="3" t="str">
        <f aca="false">IF(INDEX(Data_Checks!$A:$A,141+1)="","",INDEX(Data_Checks!$A:$A,141+1))</f>
        <v/>
      </c>
      <c r="B145" s="3" t="str">
        <f aca="false">IF(INDEX(Data_Checks!$B:$B,141+1)="","",INDEX(Data_Checks!$B:$B,141+1))</f>
        <v/>
      </c>
      <c r="C145" s="3" t="str">
        <f aca="false">IF(INDEX(Data_Checks!$C:$C,141+1)="","",INDEX(Data_Checks!$C:$C,141+1))</f>
        <v/>
      </c>
      <c r="D145" s="16" t="str">
        <f aca="false">IF(INDEX(Data_Checks!$D:$D,141+1)="","",INDEX(Data_Checks!$D:$D,141+1))</f>
        <v/>
      </c>
      <c r="E145" s="16" t="str">
        <f aca="false">IF(INDEX(Data_Checks!$E:$E,141+1)="","",INDEX(Data_Checks!$E:$E,141+1))</f>
        <v/>
      </c>
      <c r="F145" s="17" t="str">
        <f aca="false">IF(INDEX(Data_Checks!$F:$F,141+1)="","",INDEX(Data_Checks!$F:$F,141+1))</f>
        <v/>
      </c>
      <c r="G145" s="2" t="str">
        <f aca="false">IF(INDEX(Data_Checks!$G:$G,141+1)="","",INDEX(Data_Checks!$G:$G,141+1))</f>
        <v/>
      </c>
      <c r="H145" s="3" t="str">
        <f aca="false">IF(INDEX(Data_Checks!$H:$H,141+1)="","",INDEX(Data_Checks!$H:$H,141+1))</f>
        <v/>
      </c>
      <c r="I145" s="18"/>
      <c r="J145" s="18"/>
      <c r="K145" s="18"/>
      <c r="L145" s="18"/>
    </row>
    <row r="146" customFormat="false" ht="15" hidden="false" customHeight="false" outlineLevel="0" collapsed="false">
      <c r="A146" s="3" t="str">
        <f aca="false">IF(INDEX(Data_Checks!$A:$A,142+1)="","",INDEX(Data_Checks!$A:$A,142+1))</f>
        <v/>
      </c>
      <c r="B146" s="3" t="str">
        <f aca="false">IF(INDEX(Data_Checks!$B:$B,142+1)="","",INDEX(Data_Checks!$B:$B,142+1))</f>
        <v/>
      </c>
      <c r="C146" s="3" t="str">
        <f aca="false">IF(INDEX(Data_Checks!$C:$C,142+1)="","",INDEX(Data_Checks!$C:$C,142+1))</f>
        <v/>
      </c>
      <c r="D146" s="16" t="str">
        <f aca="false">IF(INDEX(Data_Checks!$D:$D,142+1)="","",INDEX(Data_Checks!$D:$D,142+1))</f>
        <v/>
      </c>
      <c r="E146" s="16" t="str">
        <f aca="false">IF(INDEX(Data_Checks!$E:$E,142+1)="","",INDEX(Data_Checks!$E:$E,142+1))</f>
        <v/>
      </c>
      <c r="F146" s="17" t="str">
        <f aca="false">IF(INDEX(Data_Checks!$F:$F,142+1)="","",INDEX(Data_Checks!$F:$F,142+1))</f>
        <v/>
      </c>
      <c r="G146" s="2" t="str">
        <f aca="false">IF(INDEX(Data_Checks!$G:$G,142+1)="","",INDEX(Data_Checks!$G:$G,142+1))</f>
        <v/>
      </c>
      <c r="H146" s="3" t="str">
        <f aca="false">IF(INDEX(Data_Checks!$H:$H,142+1)="","",INDEX(Data_Checks!$H:$H,142+1))</f>
        <v/>
      </c>
      <c r="I146" s="18"/>
      <c r="J146" s="18"/>
      <c r="K146" s="18"/>
      <c r="L146" s="18"/>
    </row>
    <row r="147" customFormat="false" ht="15" hidden="false" customHeight="false" outlineLevel="0" collapsed="false">
      <c r="A147" s="3" t="str">
        <f aca="false">IF(INDEX(Data_Checks!$A:$A,143+1)="","",INDEX(Data_Checks!$A:$A,143+1))</f>
        <v/>
      </c>
      <c r="B147" s="3" t="str">
        <f aca="false">IF(INDEX(Data_Checks!$B:$B,143+1)="","",INDEX(Data_Checks!$B:$B,143+1))</f>
        <v/>
      </c>
      <c r="C147" s="3" t="str">
        <f aca="false">IF(INDEX(Data_Checks!$C:$C,143+1)="","",INDEX(Data_Checks!$C:$C,143+1))</f>
        <v/>
      </c>
      <c r="D147" s="16" t="str">
        <f aca="false">IF(INDEX(Data_Checks!$D:$D,143+1)="","",INDEX(Data_Checks!$D:$D,143+1))</f>
        <v/>
      </c>
      <c r="E147" s="16" t="str">
        <f aca="false">IF(INDEX(Data_Checks!$E:$E,143+1)="","",INDEX(Data_Checks!$E:$E,143+1))</f>
        <v/>
      </c>
      <c r="F147" s="17" t="str">
        <f aca="false">IF(INDEX(Data_Checks!$F:$F,143+1)="","",INDEX(Data_Checks!$F:$F,143+1))</f>
        <v/>
      </c>
      <c r="G147" s="2" t="str">
        <f aca="false">IF(INDEX(Data_Checks!$G:$G,143+1)="","",INDEX(Data_Checks!$G:$G,143+1))</f>
        <v/>
      </c>
      <c r="H147" s="3" t="str">
        <f aca="false">IF(INDEX(Data_Checks!$H:$H,143+1)="","",INDEX(Data_Checks!$H:$H,143+1))</f>
        <v/>
      </c>
      <c r="I147" s="18"/>
      <c r="J147" s="18"/>
      <c r="K147" s="18"/>
      <c r="L147" s="18"/>
    </row>
    <row r="148" customFormat="false" ht="15" hidden="false" customHeight="false" outlineLevel="0" collapsed="false">
      <c r="A148" s="3" t="str">
        <f aca="false">IF(INDEX(Data_Checks!$A:$A,144+1)="","",INDEX(Data_Checks!$A:$A,144+1))</f>
        <v/>
      </c>
      <c r="B148" s="3" t="str">
        <f aca="false">IF(INDEX(Data_Checks!$B:$B,144+1)="","",INDEX(Data_Checks!$B:$B,144+1))</f>
        <v/>
      </c>
      <c r="C148" s="3" t="str">
        <f aca="false">IF(INDEX(Data_Checks!$C:$C,144+1)="","",INDEX(Data_Checks!$C:$C,144+1))</f>
        <v/>
      </c>
      <c r="D148" s="16" t="str">
        <f aca="false">IF(INDEX(Data_Checks!$D:$D,144+1)="","",INDEX(Data_Checks!$D:$D,144+1))</f>
        <v/>
      </c>
      <c r="E148" s="16" t="str">
        <f aca="false">IF(INDEX(Data_Checks!$E:$E,144+1)="","",INDEX(Data_Checks!$E:$E,144+1))</f>
        <v/>
      </c>
      <c r="F148" s="17" t="str">
        <f aca="false">IF(INDEX(Data_Checks!$F:$F,144+1)="","",INDEX(Data_Checks!$F:$F,144+1))</f>
        <v/>
      </c>
      <c r="G148" s="2" t="str">
        <f aca="false">IF(INDEX(Data_Checks!$G:$G,144+1)="","",INDEX(Data_Checks!$G:$G,144+1))</f>
        <v/>
      </c>
      <c r="H148" s="3" t="str">
        <f aca="false">IF(INDEX(Data_Checks!$H:$H,144+1)="","",INDEX(Data_Checks!$H:$H,144+1))</f>
        <v/>
      </c>
      <c r="I148" s="18"/>
      <c r="J148" s="18"/>
      <c r="K148" s="18"/>
      <c r="L148" s="18"/>
    </row>
    <row r="149" customFormat="false" ht="15" hidden="false" customHeight="false" outlineLevel="0" collapsed="false">
      <c r="A149" s="3" t="str">
        <f aca="false">IF(INDEX(Data_Checks!$A:$A,145+1)="","",INDEX(Data_Checks!$A:$A,145+1))</f>
        <v/>
      </c>
      <c r="B149" s="3" t="str">
        <f aca="false">IF(INDEX(Data_Checks!$B:$B,145+1)="","",INDEX(Data_Checks!$B:$B,145+1))</f>
        <v/>
      </c>
      <c r="C149" s="3" t="str">
        <f aca="false">IF(INDEX(Data_Checks!$C:$C,145+1)="","",INDEX(Data_Checks!$C:$C,145+1))</f>
        <v/>
      </c>
      <c r="D149" s="16" t="str">
        <f aca="false">IF(INDEX(Data_Checks!$D:$D,145+1)="","",INDEX(Data_Checks!$D:$D,145+1))</f>
        <v/>
      </c>
      <c r="E149" s="16" t="str">
        <f aca="false">IF(INDEX(Data_Checks!$E:$E,145+1)="","",INDEX(Data_Checks!$E:$E,145+1))</f>
        <v/>
      </c>
      <c r="F149" s="17" t="str">
        <f aca="false">IF(INDEX(Data_Checks!$F:$F,145+1)="","",INDEX(Data_Checks!$F:$F,145+1))</f>
        <v/>
      </c>
      <c r="G149" s="2" t="str">
        <f aca="false">IF(INDEX(Data_Checks!$G:$G,145+1)="","",INDEX(Data_Checks!$G:$G,145+1))</f>
        <v/>
      </c>
      <c r="H149" s="3" t="str">
        <f aca="false">IF(INDEX(Data_Checks!$H:$H,145+1)="","",INDEX(Data_Checks!$H:$H,145+1))</f>
        <v/>
      </c>
      <c r="I149" s="18"/>
      <c r="J149" s="18"/>
      <c r="K149" s="18"/>
      <c r="L149" s="18"/>
    </row>
    <row r="150" customFormat="false" ht="15" hidden="false" customHeight="false" outlineLevel="0" collapsed="false">
      <c r="A150" s="3" t="str">
        <f aca="false">IF(INDEX(Data_Checks!$A:$A,146+1)="","",INDEX(Data_Checks!$A:$A,146+1))</f>
        <v/>
      </c>
      <c r="B150" s="3" t="str">
        <f aca="false">IF(INDEX(Data_Checks!$B:$B,146+1)="","",INDEX(Data_Checks!$B:$B,146+1))</f>
        <v/>
      </c>
      <c r="C150" s="3" t="str">
        <f aca="false">IF(INDEX(Data_Checks!$C:$C,146+1)="","",INDEX(Data_Checks!$C:$C,146+1))</f>
        <v/>
      </c>
      <c r="D150" s="16" t="str">
        <f aca="false">IF(INDEX(Data_Checks!$D:$D,146+1)="","",INDEX(Data_Checks!$D:$D,146+1))</f>
        <v/>
      </c>
      <c r="E150" s="16" t="str">
        <f aca="false">IF(INDEX(Data_Checks!$E:$E,146+1)="","",INDEX(Data_Checks!$E:$E,146+1))</f>
        <v/>
      </c>
      <c r="F150" s="17" t="str">
        <f aca="false">IF(INDEX(Data_Checks!$F:$F,146+1)="","",INDEX(Data_Checks!$F:$F,146+1))</f>
        <v/>
      </c>
      <c r="G150" s="2" t="str">
        <f aca="false">IF(INDEX(Data_Checks!$G:$G,146+1)="","",INDEX(Data_Checks!$G:$G,146+1))</f>
        <v/>
      </c>
      <c r="H150" s="3" t="str">
        <f aca="false">IF(INDEX(Data_Checks!$H:$H,146+1)="","",INDEX(Data_Checks!$H:$H,146+1))</f>
        <v/>
      </c>
      <c r="I150" s="18"/>
      <c r="J150" s="18"/>
      <c r="K150" s="18"/>
      <c r="L150" s="18"/>
    </row>
    <row r="151" customFormat="false" ht="15" hidden="false" customHeight="false" outlineLevel="0" collapsed="false">
      <c r="A151" s="3" t="str">
        <f aca="false">IF(INDEX(Data_Checks!$A:$A,147+1)="","",INDEX(Data_Checks!$A:$A,147+1))</f>
        <v/>
      </c>
      <c r="B151" s="3" t="str">
        <f aca="false">IF(INDEX(Data_Checks!$B:$B,147+1)="","",INDEX(Data_Checks!$B:$B,147+1))</f>
        <v/>
      </c>
      <c r="C151" s="3" t="str">
        <f aca="false">IF(INDEX(Data_Checks!$C:$C,147+1)="","",INDEX(Data_Checks!$C:$C,147+1))</f>
        <v/>
      </c>
      <c r="D151" s="16" t="str">
        <f aca="false">IF(INDEX(Data_Checks!$D:$D,147+1)="","",INDEX(Data_Checks!$D:$D,147+1))</f>
        <v/>
      </c>
      <c r="E151" s="16" t="str">
        <f aca="false">IF(INDEX(Data_Checks!$E:$E,147+1)="","",INDEX(Data_Checks!$E:$E,147+1))</f>
        <v/>
      </c>
      <c r="F151" s="17" t="str">
        <f aca="false">IF(INDEX(Data_Checks!$F:$F,147+1)="","",INDEX(Data_Checks!$F:$F,147+1))</f>
        <v/>
      </c>
      <c r="G151" s="2" t="str">
        <f aca="false">IF(INDEX(Data_Checks!$G:$G,147+1)="","",INDEX(Data_Checks!$G:$G,147+1))</f>
        <v/>
      </c>
      <c r="H151" s="3" t="str">
        <f aca="false">IF(INDEX(Data_Checks!$H:$H,147+1)="","",INDEX(Data_Checks!$H:$H,147+1))</f>
        <v/>
      </c>
      <c r="I151" s="18"/>
      <c r="J151" s="18"/>
      <c r="K151" s="18"/>
      <c r="L151" s="18"/>
    </row>
    <row r="152" customFormat="false" ht="15" hidden="false" customHeight="false" outlineLevel="0" collapsed="false">
      <c r="A152" s="3" t="str">
        <f aca="false">IF(INDEX(Data_Checks!$A:$A,148+1)="","",INDEX(Data_Checks!$A:$A,148+1))</f>
        <v/>
      </c>
      <c r="B152" s="3" t="str">
        <f aca="false">IF(INDEX(Data_Checks!$B:$B,148+1)="","",INDEX(Data_Checks!$B:$B,148+1))</f>
        <v/>
      </c>
      <c r="C152" s="3" t="str">
        <f aca="false">IF(INDEX(Data_Checks!$C:$C,148+1)="","",INDEX(Data_Checks!$C:$C,148+1))</f>
        <v/>
      </c>
      <c r="D152" s="16" t="str">
        <f aca="false">IF(INDEX(Data_Checks!$D:$D,148+1)="","",INDEX(Data_Checks!$D:$D,148+1))</f>
        <v/>
      </c>
      <c r="E152" s="16" t="str">
        <f aca="false">IF(INDEX(Data_Checks!$E:$E,148+1)="","",INDEX(Data_Checks!$E:$E,148+1))</f>
        <v/>
      </c>
      <c r="F152" s="17" t="str">
        <f aca="false">IF(INDEX(Data_Checks!$F:$F,148+1)="","",INDEX(Data_Checks!$F:$F,148+1))</f>
        <v/>
      </c>
      <c r="G152" s="2" t="str">
        <f aca="false">IF(INDEX(Data_Checks!$G:$G,148+1)="","",INDEX(Data_Checks!$G:$G,148+1))</f>
        <v/>
      </c>
      <c r="H152" s="3" t="str">
        <f aca="false">IF(INDEX(Data_Checks!$H:$H,148+1)="","",INDEX(Data_Checks!$H:$H,148+1))</f>
        <v/>
      </c>
      <c r="I152" s="18"/>
      <c r="J152" s="18"/>
      <c r="K152" s="18"/>
      <c r="L152" s="18"/>
    </row>
    <row r="153" customFormat="false" ht="15" hidden="false" customHeight="false" outlineLevel="0" collapsed="false">
      <c r="A153" s="3" t="str">
        <f aca="false">IF(INDEX(Data_Checks!$A:$A,149+1)="","",INDEX(Data_Checks!$A:$A,149+1))</f>
        <v/>
      </c>
      <c r="B153" s="3" t="str">
        <f aca="false">IF(INDEX(Data_Checks!$B:$B,149+1)="","",INDEX(Data_Checks!$B:$B,149+1))</f>
        <v/>
      </c>
      <c r="C153" s="3" t="str">
        <f aca="false">IF(INDEX(Data_Checks!$C:$C,149+1)="","",INDEX(Data_Checks!$C:$C,149+1))</f>
        <v/>
      </c>
      <c r="D153" s="16" t="str">
        <f aca="false">IF(INDEX(Data_Checks!$D:$D,149+1)="","",INDEX(Data_Checks!$D:$D,149+1))</f>
        <v/>
      </c>
      <c r="E153" s="16" t="str">
        <f aca="false">IF(INDEX(Data_Checks!$E:$E,149+1)="","",INDEX(Data_Checks!$E:$E,149+1))</f>
        <v/>
      </c>
      <c r="F153" s="17" t="str">
        <f aca="false">IF(INDEX(Data_Checks!$F:$F,149+1)="","",INDEX(Data_Checks!$F:$F,149+1))</f>
        <v/>
      </c>
      <c r="G153" s="2" t="str">
        <f aca="false">IF(INDEX(Data_Checks!$G:$G,149+1)="","",INDEX(Data_Checks!$G:$G,149+1))</f>
        <v/>
      </c>
      <c r="H153" s="3" t="str">
        <f aca="false">IF(INDEX(Data_Checks!$H:$H,149+1)="","",INDEX(Data_Checks!$H:$H,149+1))</f>
        <v/>
      </c>
      <c r="I153" s="18"/>
      <c r="J153" s="18"/>
      <c r="K153" s="18"/>
      <c r="L153" s="18"/>
    </row>
    <row r="154" customFormat="false" ht="15" hidden="false" customHeight="false" outlineLevel="0" collapsed="false">
      <c r="A154" s="3" t="str">
        <f aca="false">IF(INDEX(Data_Checks!$A:$A,150+1)="","",INDEX(Data_Checks!$A:$A,150+1))</f>
        <v/>
      </c>
      <c r="B154" s="3" t="str">
        <f aca="false">IF(INDEX(Data_Checks!$B:$B,150+1)="","",INDEX(Data_Checks!$B:$B,150+1))</f>
        <v/>
      </c>
      <c r="C154" s="3" t="str">
        <f aca="false">IF(INDEX(Data_Checks!$C:$C,150+1)="","",INDEX(Data_Checks!$C:$C,150+1))</f>
        <v/>
      </c>
      <c r="D154" s="16" t="str">
        <f aca="false">IF(INDEX(Data_Checks!$D:$D,150+1)="","",INDEX(Data_Checks!$D:$D,150+1))</f>
        <v/>
      </c>
      <c r="E154" s="16" t="str">
        <f aca="false">IF(INDEX(Data_Checks!$E:$E,150+1)="","",INDEX(Data_Checks!$E:$E,150+1))</f>
        <v/>
      </c>
      <c r="F154" s="17" t="str">
        <f aca="false">IF(INDEX(Data_Checks!$F:$F,150+1)="","",INDEX(Data_Checks!$F:$F,150+1))</f>
        <v/>
      </c>
      <c r="G154" s="2" t="str">
        <f aca="false">IF(INDEX(Data_Checks!$G:$G,150+1)="","",INDEX(Data_Checks!$G:$G,150+1))</f>
        <v/>
      </c>
      <c r="H154" s="3" t="str">
        <f aca="false">IF(INDEX(Data_Checks!$H:$H,150+1)="","",INDEX(Data_Checks!$H:$H,150+1))</f>
        <v/>
      </c>
      <c r="I154" s="18"/>
      <c r="J154" s="18"/>
      <c r="K154" s="18"/>
      <c r="L154" s="18"/>
    </row>
  </sheetData>
  <conditionalFormatting sqref="G5:G154">
    <cfRule type="cellIs" priority="2" operator="equal" aboveAverage="0" equalAverage="0" bottom="0" percent="0" rank="0" text="" dxfId="0">
      <formula>"FLAG"</formula>
    </cfRule>
    <cfRule type="cellIs" priority="3" operator="equal" aboveAverage="0" equalAverage="0" bottom="0" percent="0" rank="0" text="" dxfId="1">
      <formula>"INFO"</formula>
    </cfRule>
    <cfRule type="cellIs" priority="4" operator="equal" aboveAverage="0" equalAverage="0" bottom="0" percent="0" rank="0" text="" dxfId="2">
      <formula>"PASS"</formula>
    </cfRule>
    <cfRule type="cellIs" priority="5" operator="equal" aboveAverage="0" equalAverage="0" bottom="0" percent="0" rank="0" text="" dxfId="3">
      <formula>"SKIP"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3" min="2" style="0" width="11"/>
  </cols>
  <sheetData>
    <row r="1" customFormat="false" ht="17.35" hidden="false" customHeight="false" outlineLevel="0" collapsed="false">
      <c r="A1" s="1" t="str">
        <f aca="false">Data_Params!$B$14&amp;" | Usage and revenue by month"</f>
        <v>Example Co (synthetic data) | Usage and revenue by month</v>
      </c>
    </row>
    <row r="2" customFormat="false" ht="15" hidden="false" customHeight="false" outlineLevel="0" collapsed="false">
      <c r="A2" s="7" t="s">
        <v>57</v>
      </c>
    </row>
    <row r="4" customFormat="false" ht="15" hidden="false" customHeight="false" outlineLevel="0" collapsed="false">
      <c r="A4" s="8" t="s">
        <v>58</v>
      </c>
      <c r="B4" s="9" t="n">
        <f aca="false">EDATE(Data_Params!$B$3,0)</f>
        <v>46082</v>
      </c>
      <c r="C4" s="9" t="n">
        <f aca="false">EDATE(Data_Params!$B$3,1)</f>
        <v>46113</v>
      </c>
      <c r="D4" s="9" t="n">
        <f aca="false">EDATE(Data_Params!$B$3,2)</f>
        <v>46143</v>
      </c>
      <c r="E4" s="9" t="n">
        <f aca="false">EDATE(Data_Params!$B$3,3)</f>
        <v>46174</v>
      </c>
      <c r="F4" s="9" t="n">
        <f aca="false">EDATE(Data_Params!$B$3,4)</f>
        <v>46204</v>
      </c>
      <c r="G4" s="9" t="n">
        <f aca="false">EDATE(Data_Params!$B$3,5)</f>
        <v>46235</v>
      </c>
      <c r="H4" s="9" t="n">
        <f aca="false">EDATE(Data_Params!$B$3,6)</f>
        <v>46266</v>
      </c>
      <c r="I4" s="9" t="n">
        <f aca="false">EDATE(Data_Params!$B$3,7)</f>
        <v>46296</v>
      </c>
      <c r="J4" s="9" t="n">
        <f aca="false">EDATE(Data_Params!$B$3,8)</f>
        <v>46327</v>
      </c>
      <c r="K4" s="9" t="n">
        <f aca="false">EDATE(Data_Params!$B$3,9)</f>
        <v>46357</v>
      </c>
      <c r="L4" s="9" t="n">
        <f aca="false">EDATE(Data_Params!$B$3,10)</f>
        <v>46388</v>
      </c>
      <c r="M4" s="9" t="n">
        <f aca="false">EDATE(Data_Params!$B$3,11)</f>
        <v>46419</v>
      </c>
    </row>
    <row r="5" customFormat="false" ht="15" hidden="false" customHeight="false" outlineLevel="0" collapsed="false">
      <c r="A5" s="19" t="s">
        <v>59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customFormat="false" ht="15" hidden="false" customHeight="false" outlineLevel="0" collapsed="false">
      <c r="A6" s="3" t="s">
        <v>60</v>
      </c>
      <c r="B6" s="21" t="n">
        <f aca="false">SUMIFS(Data_Monthly!$F:$F,Data_Monthly!$A:$A,B$4,Data_Monthly!$B:$B,"enterprise")/1000000000</f>
        <v>0</v>
      </c>
      <c r="C6" s="21" t="n">
        <f aca="false">SUMIFS(Data_Monthly!$F:$F,Data_Monthly!$A:$A,C$4,Data_Monthly!$B:$B,"enterprise")/1000000000</f>
        <v>0</v>
      </c>
      <c r="D6" s="21" t="n">
        <f aca="false">SUMIFS(Data_Monthly!$F:$F,Data_Monthly!$A:$A,D$4,Data_Monthly!$B:$B,"enterprise")/1000000000</f>
        <v>0</v>
      </c>
      <c r="E6" s="21" t="n">
        <f aca="false">SUMIFS(Data_Monthly!$F:$F,Data_Monthly!$A:$A,E$4,Data_Monthly!$B:$B,"enterprise")/1000000000</f>
        <v>0</v>
      </c>
      <c r="F6" s="21" t="n">
        <f aca="false">SUMIFS(Data_Monthly!$F:$F,Data_Monthly!$A:$A,F$4,Data_Monthly!$B:$B,"enterprise")/1000000000</f>
        <v>0</v>
      </c>
      <c r="G6" s="21" t="n">
        <f aca="false">SUMIFS(Data_Monthly!$F:$F,Data_Monthly!$A:$A,G$4,Data_Monthly!$B:$B,"enterprise")/1000000000</f>
        <v>0</v>
      </c>
      <c r="H6" s="21" t="n">
        <f aca="false">SUMIFS(Data_Monthly!$F:$F,Data_Monthly!$A:$A,H$4,Data_Monthly!$B:$B,"enterprise")/1000000000</f>
        <v>0</v>
      </c>
      <c r="I6" s="21" t="n">
        <f aca="false">SUMIFS(Data_Monthly!$F:$F,Data_Monthly!$A:$A,I$4,Data_Monthly!$B:$B,"enterprise")/1000000000</f>
        <v>584.372779279</v>
      </c>
      <c r="J6" s="21" t="n">
        <f aca="false">SUMIFS(Data_Monthly!$F:$F,Data_Monthly!$A:$A,J$4,Data_Monthly!$B:$B,"enterprise")/1000000000</f>
        <v>1886.11871061</v>
      </c>
      <c r="K6" s="21" t="n">
        <f aca="false">SUMIFS(Data_Monthly!$F:$F,Data_Monthly!$A:$A,K$4,Data_Monthly!$B:$B,"enterprise")/1000000000</f>
        <v>3499.254200408</v>
      </c>
      <c r="L6" s="21" t="n">
        <f aca="false">SUMIFS(Data_Monthly!$F:$F,Data_Monthly!$A:$A,L$4,Data_Monthly!$B:$B,"enterprise")/1000000000</f>
        <v>4461.608622269</v>
      </c>
      <c r="M6" s="21" t="n">
        <f aca="false">SUMIFS(Data_Monthly!$F:$F,Data_Monthly!$A:$A,M$4,Data_Monthly!$B:$B,"enterprise")/1000000000</f>
        <v>4615.842149737</v>
      </c>
    </row>
    <row r="7" customFormat="false" ht="15" hidden="false" customHeight="false" outlineLevel="0" collapsed="false">
      <c r="A7" s="3" t="s">
        <v>61</v>
      </c>
      <c r="B7" s="21" t="n">
        <f aca="false">SUMIFS(Data_Monthly!$F:$F,Data_Monthly!$A:$A,B$4,Data_Monthly!$B:$B,"self_serve")/1000000000</f>
        <v>0</v>
      </c>
      <c r="C7" s="21" t="n">
        <f aca="false">SUMIFS(Data_Monthly!$F:$F,Data_Monthly!$A:$A,C$4,Data_Monthly!$B:$B,"self_serve")/1000000000</f>
        <v>0</v>
      </c>
      <c r="D7" s="21" t="n">
        <f aca="false">SUMIFS(Data_Monthly!$F:$F,Data_Monthly!$A:$A,D$4,Data_Monthly!$B:$B,"self_serve")/1000000000</f>
        <v>0</v>
      </c>
      <c r="E7" s="21" t="n">
        <f aca="false">SUMIFS(Data_Monthly!$F:$F,Data_Monthly!$A:$A,E$4,Data_Monthly!$B:$B,"self_serve")/1000000000</f>
        <v>0</v>
      </c>
      <c r="F7" s="21" t="n">
        <f aca="false">SUMIFS(Data_Monthly!$F:$F,Data_Monthly!$A:$A,F$4,Data_Monthly!$B:$B,"self_serve")/1000000000</f>
        <v>0</v>
      </c>
      <c r="G7" s="21" t="n">
        <f aca="false">SUMIFS(Data_Monthly!$F:$F,Data_Monthly!$A:$A,G$4,Data_Monthly!$B:$B,"self_serve")/1000000000</f>
        <v>0</v>
      </c>
      <c r="H7" s="21" t="n">
        <f aca="false">SUMIFS(Data_Monthly!$F:$F,Data_Monthly!$A:$A,H$4,Data_Monthly!$B:$B,"self_serve")/1000000000</f>
        <v>6.043385361</v>
      </c>
      <c r="I7" s="21" t="n">
        <f aca="false">SUMIFS(Data_Monthly!$F:$F,Data_Monthly!$A:$A,I$4,Data_Monthly!$B:$B,"self_serve")/1000000000</f>
        <v>53.119026968</v>
      </c>
      <c r="J7" s="21" t="n">
        <f aca="false">SUMIFS(Data_Monthly!$F:$F,Data_Monthly!$A:$A,J$4,Data_Monthly!$B:$B,"self_serve")/1000000000</f>
        <v>255.848628367</v>
      </c>
      <c r="K7" s="21" t="n">
        <f aca="false">SUMIFS(Data_Monthly!$F:$F,Data_Monthly!$A:$A,K$4,Data_Monthly!$B:$B,"self_serve")/1000000000</f>
        <v>626.057387429</v>
      </c>
      <c r="L7" s="21" t="n">
        <f aca="false">SUMIFS(Data_Monthly!$F:$F,Data_Monthly!$A:$A,L$4,Data_Monthly!$B:$B,"self_serve")/1000000000</f>
        <v>871.261919457</v>
      </c>
      <c r="M7" s="21" t="n">
        <f aca="false">SUMIFS(Data_Monthly!$F:$F,Data_Monthly!$A:$A,M$4,Data_Monthly!$B:$B,"self_serve")/1000000000</f>
        <v>1053.877358365</v>
      </c>
    </row>
    <row r="8" customFormat="false" ht="15" hidden="false" customHeight="false" outlineLevel="0" collapsed="false">
      <c r="A8" s="3" t="s">
        <v>62</v>
      </c>
      <c r="B8" s="21" t="n">
        <f aca="false">SUMIFS(Data_Monthly!$F:$F,Data_Monthly!$A:$A,B$4,Data_Monthly!$B:$B,"gateway_aggregate")/1000000000</f>
        <v>0</v>
      </c>
      <c r="C8" s="21" t="n">
        <f aca="false">SUMIFS(Data_Monthly!$F:$F,Data_Monthly!$A:$A,C$4,Data_Monthly!$B:$B,"gateway_aggregate")/1000000000</f>
        <v>0</v>
      </c>
      <c r="D8" s="21" t="n">
        <f aca="false">SUMIFS(Data_Monthly!$F:$F,Data_Monthly!$A:$A,D$4,Data_Monthly!$B:$B,"gateway_aggregate")/1000000000</f>
        <v>0</v>
      </c>
      <c r="E8" s="21" t="n">
        <f aca="false">SUMIFS(Data_Monthly!$F:$F,Data_Monthly!$A:$A,E$4,Data_Monthly!$B:$B,"gateway_aggregate")/1000000000</f>
        <v>0</v>
      </c>
      <c r="F8" s="21" t="n">
        <f aca="false">SUMIFS(Data_Monthly!$F:$F,Data_Monthly!$A:$A,F$4,Data_Monthly!$B:$B,"gateway_aggregate")/1000000000</f>
        <v>0</v>
      </c>
      <c r="G8" s="21" t="n">
        <f aca="false">SUMIFS(Data_Monthly!$F:$F,Data_Monthly!$A:$A,G$4,Data_Monthly!$B:$B,"gateway_aggregate")/1000000000</f>
        <v>0</v>
      </c>
      <c r="H8" s="21" t="n">
        <f aca="false">SUMIFS(Data_Monthly!$F:$F,Data_Monthly!$A:$A,H$4,Data_Monthly!$B:$B,"gateway_aggregate")/1000000000</f>
        <v>1.226175518</v>
      </c>
      <c r="I8" s="21" t="n">
        <f aca="false">SUMIFS(Data_Monthly!$F:$F,Data_Monthly!$A:$A,I$4,Data_Monthly!$B:$B,"gateway_aggregate")/1000000000</f>
        <v>10.059494302</v>
      </c>
      <c r="J8" s="21" t="n">
        <f aca="false">SUMIFS(Data_Monthly!$F:$F,Data_Monthly!$A:$A,J$4,Data_Monthly!$B:$B,"gateway_aggregate")/1000000000</f>
        <v>46.369863095</v>
      </c>
      <c r="K8" s="21" t="n">
        <f aca="false">SUMIFS(Data_Monthly!$F:$F,Data_Monthly!$A:$A,K$4,Data_Monthly!$B:$B,"gateway_aggregate")/1000000000</f>
        <v>165.493359479</v>
      </c>
      <c r="L8" s="21" t="n">
        <f aca="false">SUMIFS(Data_Monthly!$F:$F,Data_Monthly!$A:$A,L$4,Data_Monthly!$B:$B,"gateway_aggregate")/1000000000</f>
        <v>314.743752869</v>
      </c>
      <c r="M8" s="21" t="n">
        <f aca="false">SUMIFS(Data_Monthly!$F:$F,Data_Monthly!$A:$A,M$4,Data_Monthly!$B:$B,"gateway_aggregate")/1000000000</f>
        <v>370.518908817</v>
      </c>
    </row>
    <row r="9" customFormat="false" ht="15" hidden="false" customHeight="false" outlineLevel="0" collapsed="false">
      <c r="A9" s="3" t="s">
        <v>63</v>
      </c>
      <c r="B9" s="21" t="n">
        <f aca="false">SUMIFS(Data_Monthly!$F:$F,Data_Monthly!$A:$A,B$4,Data_Monthly!$B:$B,"unmatched")/1000000000</f>
        <v>0</v>
      </c>
      <c r="C9" s="21" t="n">
        <f aca="false">SUMIFS(Data_Monthly!$F:$F,Data_Monthly!$A:$A,C$4,Data_Monthly!$B:$B,"unmatched")/1000000000</f>
        <v>0</v>
      </c>
      <c r="D9" s="21" t="n">
        <f aca="false">SUMIFS(Data_Monthly!$F:$F,Data_Monthly!$A:$A,D$4,Data_Monthly!$B:$B,"unmatched")/1000000000</f>
        <v>0</v>
      </c>
      <c r="E9" s="21" t="n">
        <f aca="false">SUMIFS(Data_Monthly!$F:$F,Data_Monthly!$A:$A,E$4,Data_Monthly!$B:$B,"unmatched")/1000000000</f>
        <v>0</v>
      </c>
      <c r="F9" s="21" t="n">
        <f aca="false">SUMIFS(Data_Monthly!$F:$F,Data_Monthly!$A:$A,F$4,Data_Monthly!$B:$B,"unmatched")/1000000000</f>
        <v>0</v>
      </c>
      <c r="G9" s="21" t="n">
        <f aca="false">SUMIFS(Data_Monthly!$F:$F,Data_Monthly!$A:$A,G$4,Data_Monthly!$B:$B,"unmatched")/1000000000</f>
        <v>0</v>
      </c>
      <c r="H9" s="21" t="n">
        <f aca="false">SUMIFS(Data_Monthly!$F:$F,Data_Monthly!$A:$A,H$4,Data_Monthly!$B:$B,"unmatched")/1000000000</f>
        <v>0</v>
      </c>
      <c r="I9" s="21" t="n">
        <f aca="false">SUMIFS(Data_Monthly!$F:$F,Data_Monthly!$A:$A,I$4,Data_Monthly!$B:$B,"unmatched")/1000000000</f>
        <v>0</v>
      </c>
      <c r="J9" s="21" t="n">
        <f aca="false">SUMIFS(Data_Monthly!$F:$F,Data_Monthly!$A:$A,J$4,Data_Monthly!$B:$B,"unmatched")/1000000000</f>
        <v>0</v>
      </c>
      <c r="K9" s="21" t="n">
        <f aca="false">SUMIFS(Data_Monthly!$F:$F,Data_Monthly!$A:$A,K$4,Data_Monthly!$B:$B,"unmatched")/1000000000</f>
        <v>0</v>
      </c>
      <c r="L9" s="21" t="n">
        <f aca="false">SUMIFS(Data_Monthly!$F:$F,Data_Monthly!$A:$A,L$4,Data_Monthly!$B:$B,"unmatched")/1000000000</f>
        <v>0</v>
      </c>
      <c r="M9" s="21" t="n">
        <f aca="false">SUMIFS(Data_Monthly!$F:$F,Data_Monthly!$A:$A,M$4,Data_Monthly!$B:$B,"unmatched")/1000000000</f>
        <v>0</v>
      </c>
    </row>
    <row r="10" customFormat="false" ht="15" hidden="false" customHeight="false" outlineLevel="0" collapsed="false">
      <c r="A10" s="2" t="s">
        <v>64</v>
      </c>
      <c r="B10" s="22" t="n">
        <f aca="false">SUM(B6:B9)</f>
        <v>0</v>
      </c>
      <c r="C10" s="22" t="n">
        <f aca="false">SUM(C6:C9)</f>
        <v>0</v>
      </c>
      <c r="D10" s="22" t="n">
        <f aca="false">SUM(D6:D9)</f>
        <v>0</v>
      </c>
      <c r="E10" s="22" t="n">
        <f aca="false">SUM(E6:E9)</f>
        <v>0</v>
      </c>
      <c r="F10" s="22" t="n">
        <f aca="false">SUM(F6:F9)</f>
        <v>0</v>
      </c>
      <c r="G10" s="22" t="n">
        <f aca="false">SUM(G6:G9)</f>
        <v>0</v>
      </c>
      <c r="H10" s="22" t="n">
        <f aca="false">SUM(H6:H9)</f>
        <v>7.269560879</v>
      </c>
      <c r="I10" s="22" t="n">
        <f aca="false">SUM(I6:I9)</f>
        <v>647.551300549</v>
      </c>
      <c r="J10" s="22" t="n">
        <f aca="false">SUM(J6:J9)</f>
        <v>2188.337202072</v>
      </c>
      <c r="K10" s="22" t="n">
        <f aca="false">SUM(K6:K9)</f>
        <v>4290.804947316</v>
      </c>
      <c r="L10" s="22" t="n">
        <f aca="false">SUM(L6:L9)</f>
        <v>5647.614294595</v>
      </c>
      <c r="M10" s="22" t="n">
        <f aca="false">SUM(M6:M9)</f>
        <v>6040.238416919</v>
      </c>
    </row>
    <row r="11" customFormat="false" ht="15" hidden="false" customHeight="false" outlineLevel="0" collapsed="false">
      <c r="A11" s="3" t="s">
        <v>65</v>
      </c>
      <c r="B11" s="23" t="n">
        <f aca="false">SUMIFS(Data_Months!$B:$B,Data_Months!$A:$A,B$4)</f>
        <v>31</v>
      </c>
      <c r="C11" s="23" t="n">
        <f aca="false">SUMIFS(Data_Months!$B:$B,Data_Months!$A:$A,C$4)</f>
        <v>30</v>
      </c>
      <c r="D11" s="23" t="n">
        <f aca="false">SUMIFS(Data_Months!$B:$B,Data_Months!$A:$A,D$4)</f>
        <v>31</v>
      </c>
      <c r="E11" s="23" t="n">
        <f aca="false">SUMIFS(Data_Months!$B:$B,Data_Months!$A:$A,E$4)</f>
        <v>30</v>
      </c>
      <c r="F11" s="23" t="n">
        <f aca="false">SUMIFS(Data_Months!$B:$B,Data_Months!$A:$A,F$4)</f>
        <v>31</v>
      </c>
      <c r="G11" s="23" t="n">
        <f aca="false">SUMIFS(Data_Months!$B:$B,Data_Months!$A:$A,G$4)</f>
        <v>31</v>
      </c>
      <c r="H11" s="23" t="n">
        <f aca="false">SUMIFS(Data_Months!$B:$B,Data_Months!$A:$A,H$4)</f>
        <v>16</v>
      </c>
      <c r="I11" s="23" t="n">
        <f aca="false">SUMIFS(Data_Months!$B:$B,Data_Months!$A:$A,I$4)</f>
        <v>31</v>
      </c>
      <c r="J11" s="23" t="n">
        <f aca="false">SUMIFS(Data_Months!$B:$B,Data_Months!$A:$A,J$4)</f>
        <v>30</v>
      </c>
      <c r="K11" s="23" t="n">
        <f aca="false">SUMIFS(Data_Months!$B:$B,Data_Months!$A:$A,K$4)</f>
        <v>31</v>
      </c>
      <c r="L11" s="23" t="n">
        <f aca="false">SUMIFS(Data_Months!$B:$B,Data_Months!$A:$A,L$4)</f>
        <v>31</v>
      </c>
      <c r="M11" s="23" t="n">
        <f aca="false">SUMIFS(Data_Months!$B:$B,Data_Months!$A:$A,M$4)</f>
        <v>28</v>
      </c>
    </row>
    <row r="12" customFormat="false" ht="15" hidden="false" customHeight="false" outlineLevel="0" collapsed="false">
      <c r="A12" s="2" t="s">
        <v>66</v>
      </c>
      <c r="B12" s="22" t="n">
        <f aca="false">IF(B11=0,0,B10/B11)</f>
        <v>0</v>
      </c>
      <c r="C12" s="22" t="n">
        <f aca="false">IF(C11=0,0,C10/C11)</f>
        <v>0</v>
      </c>
      <c r="D12" s="22" t="n">
        <f aca="false">IF(D11=0,0,D10/D11)</f>
        <v>0</v>
      </c>
      <c r="E12" s="22" t="n">
        <f aca="false">IF(E11=0,0,E10/E11)</f>
        <v>0</v>
      </c>
      <c r="F12" s="22" t="n">
        <f aca="false">IF(F11=0,0,F10/F11)</f>
        <v>0</v>
      </c>
      <c r="G12" s="22" t="n">
        <f aca="false">IF(G11=0,0,G10/G11)</f>
        <v>0</v>
      </c>
      <c r="H12" s="22" t="n">
        <f aca="false">IF(H11=0,0,H10/H11)</f>
        <v>0.4543475549375</v>
      </c>
      <c r="I12" s="22" t="n">
        <f aca="false">IF(I11=0,0,I10/I11)</f>
        <v>20.8887516306129</v>
      </c>
      <c r="J12" s="22" t="n">
        <f aca="false">IF(J11=0,0,J10/J11)</f>
        <v>72.9445734024</v>
      </c>
      <c r="K12" s="22" t="n">
        <f aca="false">IF(K11=0,0,K10/K11)</f>
        <v>138.413062816645</v>
      </c>
      <c r="L12" s="22" t="n">
        <f aca="false">IF(L11=0,0,L10/L11)</f>
        <v>182.181106277258</v>
      </c>
      <c r="M12" s="22" t="n">
        <f aca="false">IF(M11=0,0,M10/M11)</f>
        <v>215.72280060425</v>
      </c>
    </row>
    <row r="13" customFormat="false" ht="15" hidden="false" customHeight="false" outlineLevel="0" collapsed="false">
      <c r="A13" s="3" t="s">
        <v>67</v>
      </c>
      <c r="B13" s="24" t="n">
        <f aca="false">IF(B11=0,0,B6/B11)</f>
        <v>0</v>
      </c>
      <c r="C13" s="24" t="n">
        <f aca="false">IF(C11=0,0,C6/C11)</f>
        <v>0</v>
      </c>
      <c r="D13" s="24" t="n">
        <f aca="false">IF(D11=0,0,D6/D11)</f>
        <v>0</v>
      </c>
      <c r="E13" s="24" t="n">
        <f aca="false">IF(E11=0,0,E6/E11)</f>
        <v>0</v>
      </c>
      <c r="F13" s="24" t="n">
        <f aca="false">IF(F11=0,0,F6/F11)</f>
        <v>0</v>
      </c>
      <c r="G13" s="24" t="n">
        <f aca="false">IF(G11=0,0,G6/G11)</f>
        <v>0</v>
      </c>
      <c r="H13" s="24" t="n">
        <f aca="false">IF(H11=0,0,H6/H11)</f>
        <v>0</v>
      </c>
      <c r="I13" s="24" t="n">
        <f aca="false">IF(I11=0,0,I6/I11)</f>
        <v>18.8507348154516</v>
      </c>
      <c r="J13" s="24" t="n">
        <f aca="false">IF(J11=0,0,J6/J11)</f>
        <v>62.870623687</v>
      </c>
      <c r="K13" s="24" t="n">
        <f aca="false">IF(K11=0,0,K6/K11)</f>
        <v>112.879167755097</v>
      </c>
      <c r="L13" s="24" t="n">
        <f aca="false">IF(L11=0,0,L6/L11)</f>
        <v>143.922858782871</v>
      </c>
      <c r="M13" s="24" t="n">
        <f aca="false">IF(M11=0,0,M6/M11)</f>
        <v>164.85150534775</v>
      </c>
    </row>
    <row r="14" customFormat="false" ht="15" hidden="false" customHeight="false" outlineLevel="0" collapsed="false">
      <c r="A14" s="3" t="s">
        <v>68</v>
      </c>
      <c r="B14" s="24" t="n">
        <f aca="false">IF(B11=0,0,B7/B11)</f>
        <v>0</v>
      </c>
      <c r="C14" s="24" t="n">
        <f aca="false">IF(C11=0,0,C7/C11)</f>
        <v>0</v>
      </c>
      <c r="D14" s="24" t="n">
        <f aca="false">IF(D11=0,0,D7/D11)</f>
        <v>0</v>
      </c>
      <c r="E14" s="24" t="n">
        <f aca="false">IF(E11=0,0,E7/E11)</f>
        <v>0</v>
      </c>
      <c r="F14" s="24" t="n">
        <f aca="false">IF(F11=0,0,F7/F11)</f>
        <v>0</v>
      </c>
      <c r="G14" s="24" t="n">
        <f aca="false">IF(G11=0,0,G7/G11)</f>
        <v>0</v>
      </c>
      <c r="H14" s="24" t="n">
        <f aca="false">IF(H11=0,0,H7/H11)</f>
        <v>0.3777115850625</v>
      </c>
      <c r="I14" s="24" t="n">
        <f aca="false">IF(I11=0,0,I7/I11)</f>
        <v>1.71351699896774</v>
      </c>
      <c r="J14" s="24" t="n">
        <f aca="false">IF(J11=0,0,J7/J11)</f>
        <v>8.52828761223333</v>
      </c>
      <c r="K14" s="24" t="n">
        <f aca="false">IF(K11=0,0,K7/K11)</f>
        <v>20.1953995944839</v>
      </c>
      <c r="L14" s="24" t="n">
        <f aca="false">IF(L11=0,0,L7/L11)</f>
        <v>28.1052232082903</v>
      </c>
      <c r="M14" s="24" t="n">
        <f aca="false">IF(M11=0,0,M7/M11)</f>
        <v>37.6384770844643</v>
      </c>
    </row>
    <row r="15" customFormat="false" ht="15" hidden="false" customHeight="false" outlineLevel="0" collapsed="false">
      <c r="A15" s="3" t="s">
        <v>69</v>
      </c>
      <c r="B15" s="24" t="n">
        <f aca="false">IF(B11=0,0,B8/B11)</f>
        <v>0</v>
      </c>
      <c r="C15" s="24" t="n">
        <f aca="false">IF(C11=0,0,C8/C11)</f>
        <v>0</v>
      </c>
      <c r="D15" s="24" t="n">
        <f aca="false">IF(D11=0,0,D8/D11)</f>
        <v>0</v>
      </c>
      <c r="E15" s="24" t="n">
        <f aca="false">IF(E11=0,0,E8/E11)</f>
        <v>0</v>
      </c>
      <c r="F15" s="24" t="n">
        <f aca="false">IF(F11=0,0,F8/F11)</f>
        <v>0</v>
      </c>
      <c r="G15" s="24" t="n">
        <f aca="false">IF(G11=0,0,G8/G11)</f>
        <v>0</v>
      </c>
      <c r="H15" s="24" t="n">
        <f aca="false">IF(H11=0,0,H8/H11)</f>
        <v>0.076635969875</v>
      </c>
      <c r="I15" s="24" t="n">
        <f aca="false">IF(I11=0,0,I8/I11)</f>
        <v>0.324499816193548</v>
      </c>
      <c r="J15" s="24" t="n">
        <f aca="false">IF(J11=0,0,J8/J11)</f>
        <v>1.54566210316667</v>
      </c>
      <c r="K15" s="24" t="n">
        <f aca="false">IF(K11=0,0,K8/K11)</f>
        <v>5.33849546706452</v>
      </c>
      <c r="L15" s="24" t="n">
        <f aca="false">IF(L11=0,0,L8/L11)</f>
        <v>10.1530242860968</v>
      </c>
      <c r="M15" s="24" t="n">
        <f aca="false">IF(M11=0,0,M8/M11)</f>
        <v>13.2328181720357</v>
      </c>
    </row>
    <row r="16" customFormat="false" ht="15" hidden="false" customHeight="false" outlineLevel="0" collapsed="false">
      <c r="A16" s="3" t="s">
        <v>70</v>
      </c>
      <c r="C16" s="25" t="n">
        <f aca="false">IF(B12=0,0,C12/B12-1)</f>
        <v>0</v>
      </c>
      <c r="D16" s="25" t="n">
        <f aca="false">IF(C12=0,0,D12/C12-1)</f>
        <v>0</v>
      </c>
      <c r="E16" s="25" t="n">
        <f aca="false">IF(D12=0,0,E12/D12-1)</f>
        <v>0</v>
      </c>
      <c r="F16" s="25" t="n">
        <f aca="false">IF(E12=0,0,F12/E12-1)</f>
        <v>0</v>
      </c>
      <c r="G16" s="25" t="n">
        <f aca="false">IF(F12=0,0,G12/F12-1)</f>
        <v>0</v>
      </c>
      <c r="H16" s="25" t="n">
        <f aca="false">IF(G12=0,0,H12/G12-1)</f>
        <v>0</v>
      </c>
      <c r="I16" s="25" t="n">
        <f aca="false">IF(H12=0,0,I12/H12-1)</f>
        <v>44.9752702608609</v>
      </c>
      <c r="J16" s="25" t="n">
        <f aca="false">IF(I12=0,0,J12/I12-1)</f>
        <v>2.49205039594124</v>
      </c>
      <c r="K16" s="25" t="n">
        <f aca="false">IF(J12=0,0,K12/J12-1)</f>
        <v>0.89751007320431</v>
      </c>
      <c r="L16" s="25" t="n">
        <f aca="false">IF(K12=0,0,L12/K12-1)</f>
        <v>0.316213242955198</v>
      </c>
      <c r="M16" s="25" t="n">
        <f aca="false">IF(L12=0,0,M12/L12-1)</f>
        <v>0.18411181605158</v>
      </c>
    </row>
    <row r="18" customFormat="false" ht="15" hidden="false" customHeight="false" outlineLevel="0" collapsed="false">
      <c r="A18" s="19" t="s">
        <v>71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</row>
    <row r="19" customFormat="false" ht="15" hidden="false" customHeight="false" outlineLevel="0" collapsed="false">
      <c r="A19" s="3" t="str">
        <f aca="false">IF(INDEX(Data_Lists!$B:$B,1+1)="","",INDEX(Data_Lists!$B:$B,1+1))</f>
        <v>direct</v>
      </c>
      <c r="B19" s="21" t="n">
        <f aca="false">IF($A19="","",SUMIFS(Data_Monthly!$F:$F,Data_Monthly!$A:$A,B$4,Data_Monthly!$C:$C,$A19)/1000000000)</f>
        <v>0</v>
      </c>
      <c r="C19" s="21" t="n">
        <f aca="false">IF($A19="","",SUMIFS(Data_Monthly!$F:$F,Data_Monthly!$A:$A,C$4,Data_Monthly!$C:$C,$A19)/1000000000)</f>
        <v>0</v>
      </c>
      <c r="D19" s="21" t="n">
        <f aca="false">IF($A19="","",SUMIFS(Data_Monthly!$F:$F,Data_Monthly!$A:$A,D$4,Data_Monthly!$C:$C,$A19)/1000000000)</f>
        <v>0</v>
      </c>
      <c r="E19" s="21" t="n">
        <f aca="false">IF($A19="","",SUMIFS(Data_Monthly!$F:$F,Data_Monthly!$A:$A,E$4,Data_Monthly!$C:$C,$A19)/1000000000)</f>
        <v>0</v>
      </c>
      <c r="F19" s="21" t="n">
        <f aca="false">IF($A19="","",SUMIFS(Data_Monthly!$F:$F,Data_Monthly!$A:$A,F$4,Data_Monthly!$C:$C,$A19)/1000000000)</f>
        <v>0</v>
      </c>
      <c r="G19" s="21" t="n">
        <f aca="false">IF($A19="","",SUMIFS(Data_Monthly!$F:$F,Data_Monthly!$A:$A,G$4,Data_Monthly!$C:$C,$A19)/1000000000)</f>
        <v>0</v>
      </c>
      <c r="H19" s="21" t="n">
        <f aca="false">IF($A19="","",SUMIFS(Data_Monthly!$F:$F,Data_Monthly!$A:$A,H$4,Data_Monthly!$C:$C,$A19)/1000000000)</f>
        <v>3.100670156</v>
      </c>
      <c r="I19" s="21" t="n">
        <f aca="false">IF($A19="","",SUMIFS(Data_Monthly!$F:$F,Data_Monthly!$A:$A,I$4,Data_Monthly!$C:$C,$A19)/1000000000)</f>
        <v>620.098291596</v>
      </c>
      <c r="J19" s="21" t="n">
        <f aca="false">IF($A19="","",SUMIFS(Data_Monthly!$F:$F,Data_Monthly!$A:$A,J$4,Data_Monthly!$C:$C,$A19)/1000000000)</f>
        <v>2026.111033189</v>
      </c>
      <c r="K19" s="21" t="n">
        <f aca="false">IF($A19="","",SUMIFS(Data_Monthly!$F:$F,Data_Monthly!$A:$A,K$4,Data_Monthly!$C:$C,$A19)/1000000000)</f>
        <v>3798.184735378</v>
      </c>
      <c r="L19" s="21" t="n">
        <f aca="false">IF($A19="","",SUMIFS(Data_Monthly!$F:$F,Data_Monthly!$A:$A,L$4,Data_Monthly!$C:$C,$A19)/1000000000)</f>
        <v>4910.016675784</v>
      </c>
      <c r="M19" s="21" t="n">
        <f aca="false">IF($A19="","",SUMIFS(Data_Monthly!$F:$F,Data_Monthly!$A:$A,M$4,Data_Monthly!$C:$C,$A19)/1000000000)</f>
        <v>5198.170656463</v>
      </c>
    </row>
    <row r="20" customFormat="false" ht="15" hidden="false" customHeight="false" outlineLevel="0" collapsed="false">
      <c r="A20" s="3" t="str">
        <f aca="false">IF(INDEX(Data_Lists!$B:$B,2+1)="","",INDEX(Data_Lists!$B:$B,2+1))</f>
        <v>vercel</v>
      </c>
      <c r="B20" s="21" t="n">
        <f aca="false">IF($A20="","",SUMIFS(Data_Monthly!$F:$F,Data_Monthly!$A:$A,B$4,Data_Monthly!$C:$C,$A20)/1000000000)</f>
        <v>0</v>
      </c>
      <c r="C20" s="21" t="n">
        <f aca="false">IF($A20="","",SUMIFS(Data_Monthly!$F:$F,Data_Monthly!$A:$A,C$4,Data_Monthly!$C:$C,$A20)/1000000000)</f>
        <v>0</v>
      </c>
      <c r="D20" s="21" t="n">
        <f aca="false">IF($A20="","",SUMIFS(Data_Monthly!$F:$F,Data_Monthly!$A:$A,D$4,Data_Monthly!$C:$C,$A20)/1000000000)</f>
        <v>0</v>
      </c>
      <c r="E20" s="21" t="n">
        <f aca="false">IF($A20="","",SUMIFS(Data_Monthly!$F:$F,Data_Monthly!$A:$A,E$4,Data_Monthly!$C:$C,$A20)/1000000000)</f>
        <v>0</v>
      </c>
      <c r="F20" s="21" t="n">
        <f aca="false">IF($A20="","",SUMIFS(Data_Monthly!$F:$F,Data_Monthly!$A:$A,F$4,Data_Monthly!$C:$C,$A20)/1000000000)</f>
        <v>0</v>
      </c>
      <c r="G20" s="21" t="n">
        <f aca="false">IF($A20="","",SUMIFS(Data_Monthly!$F:$F,Data_Monthly!$A:$A,G$4,Data_Monthly!$C:$C,$A20)/1000000000)</f>
        <v>0</v>
      </c>
      <c r="H20" s="21" t="n">
        <f aca="false">IF($A20="","",SUMIFS(Data_Monthly!$F:$F,Data_Monthly!$A:$A,H$4,Data_Monthly!$C:$C,$A20)/1000000000)</f>
        <v>2.516245521</v>
      </c>
      <c r="I20" s="21" t="n">
        <f aca="false">IF($A20="","",SUMIFS(Data_Monthly!$F:$F,Data_Monthly!$A:$A,I$4,Data_Monthly!$C:$C,$A20)/1000000000)</f>
        <v>16.337845301</v>
      </c>
      <c r="J20" s="21" t="n">
        <f aca="false">IF($A20="","",SUMIFS(Data_Monthly!$F:$F,Data_Monthly!$A:$A,J$4,Data_Monthly!$C:$C,$A20)/1000000000)</f>
        <v>113.741699989</v>
      </c>
      <c r="K20" s="21" t="n">
        <f aca="false">IF($A20="","",SUMIFS(Data_Monthly!$F:$F,Data_Monthly!$A:$A,K$4,Data_Monthly!$C:$C,$A20)/1000000000)</f>
        <v>319.660762488</v>
      </c>
      <c r="L20" s="21" t="n">
        <f aca="false">IF($A20="","",SUMIFS(Data_Monthly!$F:$F,Data_Monthly!$A:$A,L$4,Data_Monthly!$C:$C,$A20)/1000000000)</f>
        <v>410.116582141</v>
      </c>
      <c r="M20" s="21" t="n">
        <f aca="false">IF($A20="","",SUMIFS(Data_Monthly!$F:$F,Data_Monthly!$A:$A,M$4,Data_Monthly!$C:$C,$A20)/1000000000)</f>
        <v>456.56211744</v>
      </c>
    </row>
    <row r="21" customFormat="false" ht="15" hidden="false" customHeight="false" outlineLevel="0" collapsed="false">
      <c r="A21" s="3" t="str">
        <f aca="false">IF(INDEX(Data_Lists!$B:$B,3+1)="","",INDEX(Data_Lists!$B:$B,3+1))</f>
        <v>openrouter</v>
      </c>
      <c r="B21" s="21" t="n">
        <f aca="false">IF($A21="","",SUMIFS(Data_Monthly!$F:$F,Data_Monthly!$A:$A,B$4,Data_Monthly!$C:$C,$A21)/1000000000)</f>
        <v>0</v>
      </c>
      <c r="C21" s="21" t="n">
        <f aca="false">IF($A21="","",SUMIFS(Data_Monthly!$F:$F,Data_Monthly!$A:$A,C$4,Data_Monthly!$C:$C,$A21)/1000000000)</f>
        <v>0</v>
      </c>
      <c r="D21" s="21" t="n">
        <f aca="false">IF($A21="","",SUMIFS(Data_Monthly!$F:$F,Data_Monthly!$A:$A,D$4,Data_Monthly!$C:$C,$A21)/1000000000)</f>
        <v>0</v>
      </c>
      <c r="E21" s="21" t="n">
        <f aca="false">IF($A21="","",SUMIFS(Data_Monthly!$F:$F,Data_Monthly!$A:$A,E$4,Data_Monthly!$C:$C,$A21)/1000000000)</f>
        <v>0</v>
      </c>
      <c r="F21" s="21" t="n">
        <f aca="false">IF($A21="","",SUMIFS(Data_Monthly!$F:$F,Data_Monthly!$A:$A,F$4,Data_Monthly!$C:$C,$A21)/1000000000)</f>
        <v>0</v>
      </c>
      <c r="G21" s="21" t="n">
        <f aca="false">IF($A21="","",SUMIFS(Data_Monthly!$F:$F,Data_Monthly!$A:$A,G$4,Data_Monthly!$C:$C,$A21)/1000000000)</f>
        <v>0</v>
      </c>
      <c r="H21" s="21" t="n">
        <f aca="false">IF($A21="","",SUMIFS(Data_Monthly!$F:$F,Data_Monthly!$A:$A,H$4,Data_Monthly!$C:$C,$A21)/1000000000)</f>
        <v>1.226175518</v>
      </c>
      <c r="I21" s="21" t="n">
        <f aca="false">IF($A21="","",SUMIFS(Data_Monthly!$F:$F,Data_Monthly!$A:$A,I$4,Data_Monthly!$C:$C,$A21)/1000000000)</f>
        <v>10.059494302</v>
      </c>
      <c r="J21" s="21" t="n">
        <f aca="false">IF($A21="","",SUMIFS(Data_Monthly!$F:$F,Data_Monthly!$A:$A,J$4,Data_Monthly!$C:$C,$A21)/1000000000)</f>
        <v>46.369863095</v>
      </c>
      <c r="K21" s="21" t="n">
        <f aca="false">IF($A21="","",SUMIFS(Data_Monthly!$F:$F,Data_Monthly!$A:$A,K$4,Data_Monthly!$C:$C,$A21)/1000000000)</f>
        <v>165.493359479</v>
      </c>
      <c r="L21" s="21" t="n">
        <f aca="false">IF($A21="","",SUMIFS(Data_Monthly!$F:$F,Data_Monthly!$A:$A,L$4,Data_Monthly!$C:$C,$A21)/1000000000)</f>
        <v>314.743752869</v>
      </c>
      <c r="M21" s="21" t="n">
        <f aca="false">IF($A21="","",SUMIFS(Data_Monthly!$F:$F,Data_Monthly!$A:$A,M$4,Data_Monthly!$C:$C,$A21)/1000000000)</f>
        <v>370.518908817</v>
      </c>
    </row>
    <row r="22" customFormat="false" ht="15" hidden="false" customHeight="false" outlineLevel="0" collapsed="false">
      <c r="A22" s="3" t="str">
        <f aca="false">IF(INDEX(Data_Lists!$B:$B,4+1)="","",INDEX(Data_Lists!$B:$B,4+1))</f>
        <v>digitalocean</v>
      </c>
      <c r="B22" s="21" t="n">
        <f aca="false">IF($A22="","",SUMIFS(Data_Monthly!$F:$F,Data_Monthly!$A:$A,B$4,Data_Monthly!$C:$C,$A22)/1000000000)</f>
        <v>0</v>
      </c>
      <c r="C22" s="21" t="n">
        <f aca="false">IF($A22="","",SUMIFS(Data_Monthly!$F:$F,Data_Monthly!$A:$A,C$4,Data_Monthly!$C:$C,$A22)/1000000000)</f>
        <v>0</v>
      </c>
      <c r="D22" s="21" t="n">
        <f aca="false">IF($A22="","",SUMIFS(Data_Monthly!$F:$F,Data_Monthly!$A:$A,D$4,Data_Monthly!$C:$C,$A22)/1000000000)</f>
        <v>0</v>
      </c>
      <c r="E22" s="21" t="n">
        <f aca="false">IF($A22="","",SUMIFS(Data_Monthly!$F:$F,Data_Monthly!$A:$A,E$4,Data_Monthly!$C:$C,$A22)/1000000000)</f>
        <v>0</v>
      </c>
      <c r="F22" s="21" t="n">
        <f aca="false">IF($A22="","",SUMIFS(Data_Monthly!$F:$F,Data_Monthly!$A:$A,F$4,Data_Monthly!$C:$C,$A22)/1000000000)</f>
        <v>0</v>
      </c>
      <c r="G22" s="21" t="n">
        <f aca="false">IF($A22="","",SUMIFS(Data_Monthly!$F:$F,Data_Monthly!$A:$A,G$4,Data_Monthly!$C:$C,$A22)/1000000000)</f>
        <v>0</v>
      </c>
      <c r="H22" s="21" t="n">
        <f aca="false">IF($A22="","",SUMIFS(Data_Monthly!$F:$F,Data_Monthly!$A:$A,H$4,Data_Monthly!$C:$C,$A22)/1000000000)</f>
        <v>0.426469684</v>
      </c>
      <c r="I22" s="21" t="n">
        <f aca="false">IF($A22="","",SUMIFS(Data_Monthly!$F:$F,Data_Monthly!$A:$A,I$4,Data_Monthly!$C:$C,$A22)/1000000000)</f>
        <v>1.05566935</v>
      </c>
      <c r="J22" s="21" t="n">
        <f aca="false">IF($A22="","",SUMIFS(Data_Monthly!$F:$F,Data_Monthly!$A:$A,J$4,Data_Monthly!$C:$C,$A22)/1000000000)</f>
        <v>2.114605799</v>
      </c>
      <c r="K22" s="21" t="n">
        <f aca="false">IF($A22="","",SUMIFS(Data_Monthly!$F:$F,Data_Monthly!$A:$A,K$4,Data_Monthly!$C:$C,$A22)/1000000000)</f>
        <v>7.466089971</v>
      </c>
      <c r="L22" s="21" t="n">
        <f aca="false">IF($A22="","",SUMIFS(Data_Monthly!$F:$F,Data_Monthly!$A:$A,L$4,Data_Monthly!$C:$C,$A22)/1000000000)</f>
        <v>12.737283801</v>
      </c>
      <c r="M22" s="21" t="n">
        <f aca="false">IF($A22="","",SUMIFS(Data_Monthly!$F:$F,Data_Monthly!$A:$A,M$4,Data_Monthly!$C:$C,$A22)/1000000000)</f>
        <v>14.986734199</v>
      </c>
    </row>
    <row r="23" customFormat="false" ht="15" hidden="false" customHeight="false" outlineLevel="0" collapsed="false">
      <c r="A23" s="3" t="str">
        <f aca="false">IF(INDEX(Data_Lists!$B:$B,5+1)="","",INDEX(Data_Lists!$B:$B,5+1))</f>
        <v/>
      </c>
      <c r="B23" s="21" t="str">
        <f aca="false">IF($A23="","",SUMIFS(Data_Monthly!$F:$F,Data_Monthly!$A:$A,B$4,Data_Monthly!$C:$C,$A23)/1000000000)</f>
        <v/>
      </c>
      <c r="C23" s="21" t="str">
        <f aca="false">IF($A23="","",SUMIFS(Data_Monthly!$F:$F,Data_Monthly!$A:$A,C$4,Data_Monthly!$C:$C,$A23)/1000000000)</f>
        <v/>
      </c>
      <c r="D23" s="21" t="str">
        <f aca="false">IF($A23="","",SUMIFS(Data_Monthly!$F:$F,Data_Monthly!$A:$A,D$4,Data_Monthly!$C:$C,$A23)/1000000000)</f>
        <v/>
      </c>
      <c r="E23" s="21" t="str">
        <f aca="false">IF($A23="","",SUMIFS(Data_Monthly!$F:$F,Data_Monthly!$A:$A,E$4,Data_Monthly!$C:$C,$A23)/1000000000)</f>
        <v/>
      </c>
      <c r="F23" s="21" t="str">
        <f aca="false">IF($A23="","",SUMIFS(Data_Monthly!$F:$F,Data_Monthly!$A:$A,F$4,Data_Monthly!$C:$C,$A23)/1000000000)</f>
        <v/>
      </c>
      <c r="G23" s="21" t="str">
        <f aca="false">IF($A23="","",SUMIFS(Data_Monthly!$F:$F,Data_Monthly!$A:$A,G$4,Data_Monthly!$C:$C,$A23)/1000000000)</f>
        <v/>
      </c>
      <c r="H23" s="21" t="str">
        <f aca="false">IF($A23="","",SUMIFS(Data_Monthly!$F:$F,Data_Monthly!$A:$A,H$4,Data_Monthly!$C:$C,$A23)/1000000000)</f>
        <v/>
      </c>
      <c r="I23" s="21" t="str">
        <f aca="false">IF($A23="","",SUMIFS(Data_Monthly!$F:$F,Data_Monthly!$A:$A,I$4,Data_Monthly!$C:$C,$A23)/1000000000)</f>
        <v/>
      </c>
      <c r="J23" s="21" t="str">
        <f aca="false">IF($A23="","",SUMIFS(Data_Monthly!$F:$F,Data_Monthly!$A:$A,J$4,Data_Monthly!$C:$C,$A23)/1000000000)</f>
        <v/>
      </c>
      <c r="K23" s="21" t="str">
        <f aca="false">IF($A23="","",SUMIFS(Data_Monthly!$F:$F,Data_Monthly!$A:$A,K$4,Data_Monthly!$C:$C,$A23)/1000000000)</f>
        <v/>
      </c>
      <c r="L23" s="21" t="str">
        <f aca="false">IF($A23="","",SUMIFS(Data_Monthly!$F:$F,Data_Monthly!$A:$A,L$4,Data_Monthly!$C:$C,$A23)/1000000000)</f>
        <v/>
      </c>
      <c r="M23" s="21" t="str">
        <f aca="false">IF($A23="","",SUMIFS(Data_Monthly!$F:$F,Data_Monthly!$A:$A,M$4,Data_Monthly!$C:$C,$A23)/1000000000)</f>
        <v/>
      </c>
    </row>
    <row r="24" customFormat="false" ht="15" hidden="false" customHeight="false" outlineLevel="0" collapsed="false">
      <c r="A24" s="3" t="str">
        <f aca="false">IF(INDEX(Data_Lists!$B:$B,6+1)="","",INDEX(Data_Lists!$B:$B,6+1))</f>
        <v/>
      </c>
      <c r="B24" s="21" t="str">
        <f aca="false">IF($A24="","",SUMIFS(Data_Monthly!$F:$F,Data_Monthly!$A:$A,B$4,Data_Monthly!$C:$C,$A24)/1000000000)</f>
        <v/>
      </c>
      <c r="C24" s="21" t="str">
        <f aca="false">IF($A24="","",SUMIFS(Data_Monthly!$F:$F,Data_Monthly!$A:$A,C$4,Data_Monthly!$C:$C,$A24)/1000000000)</f>
        <v/>
      </c>
      <c r="D24" s="21" t="str">
        <f aca="false">IF($A24="","",SUMIFS(Data_Monthly!$F:$F,Data_Monthly!$A:$A,D$4,Data_Monthly!$C:$C,$A24)/1000000000)</f>
        <v/>
      </c>
      <c r="E24" s="21" t="str">
        <f aca="false">IF($A24="","",SUMIFS(Data_Monthly!$F:$F,Data_Monthly!$A:$A,E$4,Data_Monthly!$C:$C,$A24)/1000000000)</f>
        <v/>
      </c>
      <c r="F24" s="21" t="str">
        <f aca="false">IF($A24="","",SUMIFS(Data_Monthly!$F:$F,Data_Monthly!$A:$A,F$4,Data_Monthly!$C:$C,$A24)/1000000000)</f>
        <v/>
      </c>
      <c r="G24" s="21" t="str">
        <f aca="false">IF($A24="","",SUMIFS(Data_Monthly!$F:$F,Data_Monthly!$A:$A,G$4,Data_Monthly!$C:$C,$A24)/1000000000)</f>
        <v/>
      </c>
      <c r="H24" s="21" t="str">
        <f aca="false">IF($A24="","",SUMIFS(Data_Monthly!$F:$F,Data_Monthly!$A:$A,H$4,Data_Monthly!$C:$C,$A24)/1000000000)</f>
        <v/>
      </c>
      <c r="I24" s="21" t="str">
        <f aca="false">IF($A24="","",SUMIFS(Data_Monthly!$F:$F,Data_Monthly!$A:$A,I$4,Data_Monthly!$C:$C,$A24)/1000000000)</f>
        <v/>
      </c>
      <c r="J24" s="21" t="str">
        <f aca="false">IF($A24="","",SUMIFS(Data_Monthly!$F:$F,Data_Monthly!$A:$A,J$4,Data_Monthly!$C:$C,$A24)/1000000000)</f>
        <v/>
      </c>
      <c r="K24" s="21" t="str">
        <f aca="false">IF($A24="","",SUMIFS(Data_Monthly!$F:$F,Data_Monthly!$A:$A,K$4,Data_Monthly!$C:$C,$A24)/1000000000)</f>
        <v/>
      </c>
      <c r="L24" s="21" t="str">
        <f aca="false">IF($A24="","",SUMIFS(Data_Monthly!$F:$F,Data_Monthly!$A:$A,L$4,Data_Monthly!$C:$C,$A24)/1000000000)</f>
        <v/>
      </c>
      <c r="M24" s="21" t="str">
        <f aca="false">IF($A24="","",SUMIFS(Data_Monthly!$F:$F,Data_Monthly!$A:$A,M$4,Data_Monthly!$C:$C,$A24)/1000000000)</f>
        <v/>
      </c>
    </row>
    <row r="25" customFormat="false" ht="15" hidden="false" customHeight="false" outlineLevel="0" collapsed="false">
      <c r="A25" s="3" t="str">
        <f aca="false">IF(INDEX(Data_Lists!$B:$B,7+1)="","",INDEX(Data_Lists!$B:$B,7+1))</f>
        <v/>
      </c>
      <c r="B25" s="21" t="str">
        <f aca="false">IF($A25="","",SUMIFS(Data_Monthly!$F:$F,Data_Monthly!$A:$A,B$4,Data_Monthly!$C:$C,$A25)/1000000000)</f>
        <v/>
      </c>
      <c r="C25" s="21" t="str">
        <f aca="false">IF($A25="","",SUMIFS(Data_Monthly!$F:$F,Data_Monthly!$A:$A,C$4,Data_Monthly!$C:$C,$A25)/1000000000)</f>
        <v/>
      </c>
      <c r="D25" s="21" t="str">
        <f aca="false">IF($A25="","",SUMIFS(Data_Monthly!$F:$F,Data_Monthly!$A:$A,D$4,Data_Monthly!$C:$C,$A25)/1000000000)</f>
        <v/>
      </c>
      <c r="E25" s="21" t="str">
        <f aca="false">IF($A25="","",SUMIFS(Data_Monthly!$F:$F,Data_Monthly!$A:$A,E$4,Data_Monthly!$C:$C,$A25)/1000000000)</f>
        <v/>
      </c>
      <c r="F25" s="21" t="str">
        <f aca="false">IF($A25="","",SUMIFS(Data_Monthly!$F:$F,Data_Monthly!$A:$A,F$4,Data_Monthly!$C:$C,$A25)/1000000000)</f>
        <v/>
      </c>
      <c r="G25" s="21" t="str">
        <f aca="false">IF($A25="","",SUMIFS(Data_Monthly!$F:$F,Data_Monthly!$A:$A,G$4,Data_Monthly!$C:$C,$A25)/1000000000)</f>
        <v/>
      </c>
      <c r="H25" s="21" t="str">
        <f aca="false">IF($A25="","",SUMIFS(Data_Monthly!$F:$F,Data_Monthly!$A:$A,H$4,Data_Monthly!$C:$C,$A25)/1000000000)</f>
        <v/>
      </c>
      <c r="I25" s="21" t="str">
        <f aca="false">IF($A25="","",SUMIFS(Data_Monthly!$F:$F,Data_Monthly!$A:$A,I$4,Data_Monthly!$C:$C,$A25)/1000000000)</f>
        <v/>
      </c>
      <c r="J25" s="21" t="str">
        <f aca="false">IF($A25="","",SUMIFS(Data_Monthly!$F:$F,Data_Monthly!$A:$A,J$4,Data_Monthly!$C:$C,$A25)/1000000000)</f>
        <v/>
      </c>
      <c r="K25" s="21" t="str">
        <f aca="false">IF($A25="","",SUMIFS(Data_Monthly!$F:$F,Data_Monthly!$A:$A,K$4,Data_Monthly!$C:$C,$A25)/1000000000)</f>
        <v/>
      </c>
      <c r="L25" s="21" t="str">
        <f aca="false">IF($A25="","",SUMIFS(Data_Monthly!$F:$F,Data_Monthly!$A:$A,L$4,Data_Monthly!$C:$C,$A25)/1000000000)</f>
        <v/>
      </c>
      <c r="M25" s="21" t="str">
        <f aca="false">IF($A25="","",SUMIFS(Data_Monthly!$F:$F,Data_Monthly!$A:$A,M$4,Data_Monthly!$C:$C,$A25)/1000000000)</f>
        <v/>
      </c>
    </row>
    <row r="26" customFormat="false" ht="15" hidden="false" customHeight="false" outlineLevel="0" collapsed="false">
      <c r="A26" s="3" t="str">
        <f aca="false">IF(INDEX(Data_Lists!$B:$B,8+1)="","",INDEX(Data_Lists!$B:$B,8+1))</f>
        <v/>
      </c>
      <c r="B26" s="21" t="str">
        <f aca="false">IF($A26="","",SUMIFS(Data_Monthly!$F:$F,Data_Monthly!$A:$A,B$4,Data_Monthly!$C:$C,$A26)/1000000000)</f>
        <v/>
      </c>
      <c r="C26" s="21" t="str">
        <f aca="false">IF($A26="","",SUMIFS(Data_Monthly!$F:$F,Data_Monthly!$A:$A,C$4,Data_Monthly!$C:$C,$A26)/1000000000)</f>
        <v/>
      </c>
      <c r="D26" s="21" t="str">
        <f aca="false">IF($A26="","",SUMIFS(Data_Monthly!$F:$F,Data_Monthly!$A:$A,D$4,Data_Monthly!$C:$C,$A26)/1000000000)</f>
        <v/>
      </c>
      <c r="E26" s="21" t="str">
        <f aca="false">IF($A26="","",SUMIFS(Data_Monthly!$F:$F,Data_Monthly!$A:$A,E$4,Data_Monthly!$C:$C,$A26)/1000000000)</f>
        <v/>
      </c>
      <c r="F26" s="21" t="str">
        <f aca="false">IF($A26="","",SUMIFS(Data_Monthly!$F:$F,Data_Monthly!$A:$A,F$4,Data_Monthly!$C:$C,$A26)/1000000000)</f>
        <v/>
      </c>
      <c r="G26" s="21" t="str">
        <f aca="false">IF($A26="","",SUMIFS(Data_Monthly!$F:$F,Data_Monthly!$A:$A,G$4,Data_Monthly!$C:$C,$A26)/1000000000)</f>
        <v/>
      </c>
      <c r="H26" s="21" t="str">
        <f aca="false">IF($A26="","",SUMIFS(Data_Monthly!$F:$F,Data_Monthly!$A:$A,H$4,Data_Monthly!$C:$C,$A26)/1000000000)</f>
        <v/>
      </c>
      <c r="I26" s="21" t="str">
        <f aca="false">IF($A26="","",SUMIFS(Data_Monthly!$F:$F,Data_Monthly!$A:$A,I$4,Data_Monthly!$C:$C,$A26)/1000000000)</f>
        <v/>
      </c>
      <c r="J26" s="21" t="str">
        <f aca="false">IF($A26="","",SUMIFS(Data_Monthly!$F:$F,Data_Monthly!$A:$A,J$4,Data_Monthly!$C:$C,$A26)/1000000000)</f>
        <v/>
      </c>
      <c r="K26" s="21" t="str">
        <f aca="false">IF($A26="","",SUMIFS(Data_Monthly!$F:$F,Data_Monthly!$A:$A,K$4,Data_Monthly!$C:$C,$A26)/1000000000)</f>
        <v/>
      </c>
      <c r="L26" s="21" t="str">
        <f aca="false">IF($A26="","",SUMIFS(Data_Monthly!$F:$F,Data_Monthly!$A:$A,L$4,Data_Monthly!$C:$C,$A26)/1000000000)</f>
        <v/>
      </c>
      <c r="M26" s="21" t="str">
        <f aca="false">IF($A26="","",SUMIFS(Data_Monthly!$F:$F,Data_Monthly!$A:$A,M$4,Data_Monthly!$C:$C,$A26)/1000000000)</f>
        <v/>
      </c>
    </row>
    <row r="28" customFormat="false" ht="15" hidden="false" customHeight="false" outlineLevel="0" collapsed="false">
      <c r="A28" s="19" t="s">
        <v>22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 customFormat="false" ht="15" hidden="false" customHeight="false" outlineLevel="0" collapsed="false">
      <c r="A29" s="3" t="s">
        <v>60</v>
      </c>
      <c r="B29" s="21" t="n">
        <f aca="false">SUMIFS(Data_Monthly!$L:$L,Data_Monthly!$A:$A,B$4,Data_Monthly!$B:$B,"enterprise")/1000</f>
        <v>0</v>
      </c>
      <c r="C29" s="21" t="n">
        <f aca="false">SUMIFS(Data_Monthly!$L:$L,Data_Monthly!$A:$A,C$4,Data_Monthly!$B:$B,"enterprise")/1000</f>
        <v>0</v>
      </c>
      <c r="D29" s="21" t="n">
        <f aca="false">SUMIFS(Data_Monthly!$L:$L,Data_Monthly!$A:$A,D$4,Data_Monthly!$B:$B,"enterprise")/1000</f>
        <v>0</v>
      </c>
      <c r="E29" s="21" t="n">
        <f aca="false">SUMIFS(Data_Monthly!$L:$L,Data_Monthly!$A:$A,E$4,Data_Monthly!$B:$B,"enterprise")/1000</f>
        <v>0</v>
      </c>
      <c r="F29" s="21" t="n">
        <f aca="false">SUMIFS(Data_Monthly!$L:$L,Data_Monthly!$A:$A,F$4,Data_Monthly!$B:$B,"enterprise")/1000</f>
        <v>0</v>
      </c>
      <c r="G29" s="21" t="n">
        <f aca="false">SUMIFS(Data_Monthly!$L:$L,Data_Monthly!$A:$A,G$4,Data_Monthly!$B:$B,"enterprise")/1000</f>
        <v>0</v>
      </c>
      <c r="H29" s="21" t="n">
        <f aca="false">SUMIFS(Data_Monthly!$L:$L,Data_Monthly!$A:$A,H$4,Data_Monthly!$B:$B,"enterprise")/1000</f>
        <v>0</v>
      </c>
      <c r="I29" s="21" t="n">
        <f aca="false">SUMIFS(Data_Monthly!$L:$L,Data_Monthly!$A:$A,I$4,Data_Monthly!$B:$B,"enterprise")/1000</f>
        <v>51.9354838709677</v>
      </c>
      <c r="J29" s="21" t="n">
        <f aca="false">SUMIFS(Data_Monthly!$L:$L,Data_Monthly!$A:$A,J$4,Data_Monthly!$B:$B,"enterprise")/1000</f>
        <v>102.917191449505</v>
      </c>
      <c r="K29" s="21" t="n">
        <f aca="false">SUMIFS(Data_Monthly!$L:$L,Data_Monthly!$A:$A,K$4,Data_Monthly!$B:$B,"enterprise")/1000</f>
        <v>159.791201679557</v>
      </c>
      <c r="L29" s="21" t="n">
        <f aca="false">SUMIFS(Data_Monthly!$L:$L,Data_Monthly!$A:$A,L$4,Data_Monthly!$B:$B,"enterprise")/1000</f>
        <v>185.437560119996</v>
      </c>
      <c r="M29" s="21" t="n">
        <f aca="false">SUMIFS(Data_Monthly!$L:$L,Data_Monthly!$A:$A,M$4,Data_Monthly!$B:$B,"enterprise")/1000</f>
        <v>190.115585124416</v>
      </c>
    </row>
    <row r="30" customFormat="false" ht="15" hidden="false" customHeight="false" outlineLevel="0" collapsed="false">
      <c r="A30" s="3" t="s">
        <v>61</v>
      </c>
      <c r="B30" s="21" t="n">
        <f aca="false">SUMIFS(Data_Monthly!$L:$L,Data_Monthly!$A:$A,B$4,Data_Monthly!$B:$B,"self_serve")/1000</f>
        <v>0</v>
      </c>
      <c r="C30" s="21" t="n">
        <f aca="false">SUMIFS(Data_Monthly!$L:$L,Data_Monthly!$A:$A,C$4,Data_Monthly!$B:$B,"self_serve")/1000</f>
        <v>0</v>
      </c>
      <c r="D30" s="21" t="n">
        <f aca="false">SUMIFS(Data_Monthly!$L:$L,Data_Monthly!$A:$A,D$4,Data_Monthly!$B:$B,"self_serve")/1000</f>
        <v>0</v>
      </c>
      <c r="E30" s="21" t="n">
        <f aca="false">SUMIFS(Data_Monthly!$L:$L,Data_Monthly!$A:$A,E$4,Data_Monthly!$B:$B,"self_serve")/1000</f>
        <v>0</v>
      </c>
      <c r="F30" s="21" t="n">
        <f aca="false">SUMIFS(Data_Monthly!$L:$L,Data_Monthly!$A:$A,F$4,Data_Monthly!$B:$B,"self_serve")/1000</f>
        <v>0</v>
      </c>
      <c r="G30" s="21" t="n">
        <f aca="false">SUMIFS(Data_Monthly!$L:$L,Data_Monthly!$A:$A,G$4,Data_Monthly!$B:$B,"self_serve")/1000</f>
        <v>0</v>
      </c>
      <c r="H30" s="21" t="n">
        <f aca="false">SUMIFS(Data_Monthly!$L:$L,Data_Monthly!$A:$A,H$4,Data_Monthly!$B:$B,"self_serve")/1000</f>
        <v>0.12487794471966</v>
      </c>
      <c r="I30" s="21" t="n">
        <f aca="false">SUMIFS(Data_Monthly!$L:$L,Data_Monthly!$A:$A,I$4,Data_Monthly!$B:$B,"self_serve")/1000</f>
        <v>1.9118087769419</v>
      </c>
      <c r="J30" s="21" t="n">
        <f aca="false">SUMIFS(Data_Monthly!$L:$L,Data_Monthly!$A:$A,J$4,Data_Monthly!$B:$B,"self_serve")/1000</f>
        <v>10.1561319799085</v>
      </c>
      <c r="K30" s="21" t="n">
        <f aca="false">SUMIFS(Data_Monthly!$L:$L,Data_Monthly!$A:$A,K$4,Data_Monthly!$B:$B,"self_serve")/1000</f>
        <v>25.2308576462086</v>
      </c>
      <c r="L30" s="21" t="n">
        <f aca="false">SUMIFS(Data_Monthly!$L:$L,Data_Monthly!$A:$A,L$4,Data_Monthly!$B:$B,"self_serve")/1000</f>
        <v>35.3507920850025</v>
      </c>
      <c r="M30" s="21" t="n">
        <f aca="false">SUMIFS(Data_Monthly!$L:$L,Data_Monthly!$A:$A,M$4,Data_Monthly!$B:$B,"self_serve")/1000</f>
        <v>42.8058571769434</v>
      </c>
    </row>
    <row r="31" customFormat="false" ht="15" hidden="false" customHeight="false" outlineLevel="0" collapsed="false">
      <c r="A31" s="3" t="s">
        <v>62</v>
      </c>
      <c r="B31" s="21" t="n">
        <f aca="false">SUMIFS(Data_Monthly!$L:$L,Data_Monthly!$A:$A,B$4,Data_Monthly!$B:$B,"gateway_aggregate")/1000</f>
        <v>0</v>
      </c>
      <c r="C31" s="21" t="n">
        <f aca="false">SUMIFS(Data_Monthly!$L:$L,Data_Monthly!$A:$A,C$4,Data_Monthly!$B:$B,"gateway_aggregate")/1000</f>
        <v>0</v>
      </c>
      <c r="D31" s="21" t="n">
        <f aca="false">SUMIFS(Data_Monthly!$L:$L,Data_Monthly!$A:$A,D$4,Data_Monthly!$B:$B,"gateway_aggregate")/1000</f>
        <v>0</v>
      </c>
      <c r="E31" s="21" t="n">
        <f aca="false">SUMIFS(Data_Monthly!$L:$L,Data_Monthly!$A:$A,E$4,Data_Monthly!$B:$B,"gateway_aggregate")/1000</f>
        <v>0</v>
      </c>
      <c r="F31" s="21" t="n">
        <f aca="false">SUMIFS(Data_Monthly!$L:$L,Data_Monthly!$A:$A,F$4,Data_Monthly!$B:$B,"gateway_aggregate")/1000</f>
        <v>0</v>
      </c>
      <c r="G31" s="21" t="n">
        <f aca="false">SUMIFS(Data_Monthly!$L:$L,Data_Monthly!$A:$A,G$4,Data_Monthly!$B:$B,"gateway_aggregate")/1000</f>
        <v>0</v>
      </c>
      <c r="H31" s="21" t="n">
        <f aca="false">SUMIFS(Data_Monthly!$L:$L,Data_Monthly!$A:$A,H$4,Data_Monthly!$B:$B,"gateway_aggregate")/1000</f>
        <v>0.0489244031682001</v>
      </c>
      <c r="I31" s="21" t="n">
        <f aca="false">SUMIFS(Data_Monthly!$L:$L,Data_Monthly!$A:$A,I$4,Data_Monthly!$B:$B,"gateway_aggregate")/1000</f>
        <v>0.4013738226498</v>
      </c>
      <c r="J31" s="21" t="n">
        <f aca="false">SUMIFS(Data_Monthly!$L:$L,Data_Monthly!$A:$A,J$4,Data_Monthly!$B:$B,"gateway_aggregate")/1000</f>
        <v>1.8501575374905</v>
      </c>
      <c r="K31" s="21" t="n">
        <f aca="false">SUMIFS(Data_Monthly!$L:$L,Data_Monthly!$A:$A,K$4,Data_Monthly!$B:$B,"gateway_aggregate")/1000</f>
        <v>6.60318504321209</v>
      </c>
      <c r="L31" s="21" t="n">
        <f aca="false">SUMIFS(Data_Monthly!$L:$L,Data_Monthly!$A:$A,L$4,Data_Monthly!$B:$B,"gateway_aggregate")/1000</f>
        <v>12.5582757394731</v>
      </c>
      <c r="M31" s="21" t="n">
        <f aca="false">SUMIFS(Data_Monthly!$L:$L,Data_Monthly!$A:$A,M$4,Data_Monthly!$B:$B,"gateway_aggregate")/1000</f>
        <v>14.7837044617983</v>
      </c>
    </row>
    <row r="32" customFormat="false" ht="15" hidden="false" customHeight="false" outlineLevel="0" collapsed="false">
      <c r="A32" s="3" t="s">
        <v>63</v>
      </c>
      <c r="B32" s="21" t="n">
        <f aca="false">SUMIFS(Data_Monthly!$L:$L,Data_Monthly!$A:$A,B$4,Data_Monthly!$B:$B,"unmatched")/1000</f>
        <v>0</v>
      </c>
      <c r="C32" s="21" t="n">
        <f aca="false">SUMIFS(Data_Monthly!$L:$L,Data_Monthly!$A:$A,C$4,Data_Monthly!$B:$B,"unmatched")/1000</f>
        <v>0</v>
      </c>
      <c r="D32" s="21" t="n">
        <f aca="false">SUMIFS(Data_Monthly!$L:$L,Data_Monthly!$A:$A,D$4,Data_Monthly!$B:$B,"unmatched")/1000</f>
        <v>0</v>
      </c>
      <c r="E32" s="21" t="n">
        <f aca="false">SUMIFS(Data_Monthly!$L:$L,Data_Monthly!$A:$A,E$4,Data_Monthly!$B:$B,"unmatched")/1000</f>
        <v>0</v>
      </c>
      <c r="F32" s="21" t="n">
        <f aca="false">SUMIFS(Data_Monthly!$L:$L,Data_Monthly!$A:$A,F$4,Data_Monthly!$B:$B,"unmatched")/1000</f>
        <v>0</v>
      </c>
      <c r="G32" s="21" t="n">
        <f aca="false">SUMIFS(Data_Monthly!$L:$L,Data_Monthly!$A:$A,G$4,Data_Monthly!$B:$B,"unmatched")/1000</f>
        <v>0</v>
      </c>
      <c r="H32" s="21" t="n">
        <f aca="false">SUMIFS(Data_Monthly!$L:$L,Data_Monthly!$A:$A,H$4,Data_Monthly!$B:$B,"unmatched")/1000</f>
        <v>0</v>
      </c>
      <c r="I32" s="21" t="n">
        <f aca="false">SUMIFS(Data_Monthly!$L:$L,Data_Monthly!$A:$A,I$4,Data_Monthly!$B:$B,"unmatched")/1000</f>
        <v>0</v>
      </c>
      <c r="J32" s="21" t="n">
        <f aca="false">SUMIFS(Data_Monthly!$L:$L,Data_Monthly!$A:$A,J$4,Data_Monthly!$B:$B,"unmatched")/1000</f>
        <v>0</v>
      </c>
      <c r="K32" s="21" t="n">
        <f aca="false">SUMIFS(Data_Monthly!$L:$L,Data_Monthly!$A:$A,K$4,Data_Monthly!$B:$B,"unmatched")/1000</f>
        <v>0</v>
      </c>
      <c r="L32" s="21" t="n">
        <f aca="false">SUMIFS(Data_Monthly!$L:$L,Data_Monthly!$A:$A,L$4,Data_Monthly!$B:$B,"unmatched")/1000</f>
        <v>0</v>
      </c>
      <c r="M32" s="21" t="n">
        <f aca="false">SUMIFS(Data_Monthly!$L:$L,Data_Monthly!$A:$A,M$4,Data_Monthly!$B:$B,"unmatched")/1000</f>
        <v>0</v>
      </c>
    </row>
    <row r="33" customFormat="false" ht="15" hidden="false" customHeight="false" outlineLevel="0" collapsed="false">
      <c r="A33" s="3" t="s">
        <v>72</v>
      </c>
      <c r="B33" s="10" t="n">
        <f aca="false">SUMIFS(Overrides!$G$46:$G$75,Overrides!$F$46:$F$75,B$4)/1000</f>
        <v>0</v>
      </c>
      <c r="C33" s="10" t="n">
        <f aca="false">SUMIFS(Overrides!$G$46:$G$75,Overrides!$F$46:$F$75,C$4)/1000</f>
        <v>0</v>
      </c>
      <c r="D33" s="10" t="n">
        <f aca="false">SUMIFS(Overrides!$G$46:$G$75,Overrides!$F$46:$F$75,D$4)/1000</f>
        <v>0</v>
      </c>
      <c r="E33" s="10" t="n">
        <f aca="false">SUMIFS(Overrides!$G$46:$G$75,Overrides!$F$46:$F$75,E$4)/1000</f>
        <v>0</v>
      </c>
      <c r="F33" s="10" t="n">
        <f aca="false">SUMIFS(Overrides!$G$46:$G$75,Overrides!$F$46:$F$75,F$4)/1000</f>
        <v>0</v>
      </c>
      <c r="G33" s="10" t="n">
        <f aca="false">SUMIFS(Overrides!$G$46:$G$75,Overrides!$F$46:$F$75,G$4)/1000</f>
        <v>0</v>
      </c>
      <c r="H33" s="10" t="n">
        <f aca="false">SUMIFS(Overrides!$G$46:$G$75,Overrides!$F$46:$F$75,H$4)/1000</f>
        <v>0</v>
      </c>
      <c r="I33" s="10" t="n">
        <f aca="false">SUMIFS(Overrides!$G$46:$G$75,Overrides!$F$46:$F$75,I$4)/1000</f>
        <v>0</v>
      </c>
      <c r="J33" s="10" t="n">
        <f aca="false">SUMIFS(Overrides!$G$46:$G$75,Overrides!$F$46:$F$75,J$4)/1000</f>
        <v>0</v>
      </c>
      <c r="K33" s="10" t="n">
        <f aca="false">SUMIFS(Overrides!$G$46:$G$75,Overrides!$F$46:$F$75,K$4)/1000</f>
        <v>0</v>
      </c>
      <c r="L33" s="10" t="n">
        <f aca="false">SUMIFS(Overrides!$G$46:$G$75,Overrides!$F$46:$F$75,L$4)/1000</f>
        <v>0</v>
      </c>
      <c r="M33" s="10" t="n">
        <f aca="false">SUMIFS(Overrides!$G$46:$G$75,Overrides!$F$46:$F$75,M$4)/1000</f>
        <v>0</v>
      </c>
    </row>
    <row r="34" customFormat="false" ht="15" hidden="false" customHeight="false" outlineLevel="0" collapsed="false">
      <c r="A34" s="2" t="s">
        <v>73</v>
      </c>
      <c r="B34" s="22" t="n">
        <f aca="false">SUM(B29:B33)</f>
        <v>0</v>
      </c>
      <c r="C34" s="22" t="n">
        <f aca="false">SUM(C29:C33)</f>
        <v>0</v>
      </c>
      <c r="D34" s="22" t="n">
        <f aca="false">SUM(D29:D33)</f>
        <v>0</v>
      </c>
      <c r="E34" s="22" t="n">
        <f aca="false">SUM(E29:E33)</f>
        <v>0</v>
      </c>
      <c r="F34" s="22" t="n">
        <f aca="false">SUM(F29:F33)</f>
        <v>0</v>
      </c>
      <c r="G34" s="22" t="n">
        <f aca="false">SUM(G29:G33)</f>
        <v>0</v>
      </c>
      <c r="H34" s="22" t="n">
        <f aca="false">SUM(H29:H33)</f>
        <v>0.17380234788786</v>
      </c>
      <c r="I34" s="22" t="n">
        <f aca="false">SUM(I29:I33)</f>
        <v>54.2486664705595</v>
      </c>
      <c r="J34" s="22" t="n">
        <f aca="false">SUM(J29:J33)</f>
        <v>114.923480966904</v>
      </c>
      <c r="K34" s="22" t="n">
        <f aca="false">SUM(K29:K33)</f>
        <v>191.625244368978</v>
      </c>
      <c r="L34" s="22" t="n">
        <f aca="false">SUM(L29:L33)</f>
        <v>233.346627944471</v>
      </c>
      <c r="M34" s="22" t="n">
        <f aca="false">SUM(M29:M33)</f>
        <v>247.705146763158</v>
      </c>
    </row>
    <row r="35" customFormat="false" ht="15" hidden="false" customHeight="false" outlineLevel="0" collapsed="false">
      <c r="A35" s="3" t="s">
        <v>74</v>
      </c>
      <c r="B35" s="21" t="n">
        <f aca="false">SUMIFS(Data_Monthly!$K:$K,Data_Monthly!$A:$A,B$4)/1000</f>
        <v>0</v>
      </c>
      <c r="C35" s="21" t="n">
        <f aca="false">SUMIFS(Data_Monthly!$K:$K,Data_Monthly!$A:$A,C$4)/1000</f>
        <v>0</v>
      </c>
      <c r="D35" s="21" t="n">
        <f aca="false">SUMIFS(Data_Monthly!$K:$K,Data_Monthly!$A:$A,D$4)/1000</f>
        <v>0</v>
      </c>
      <c r="E35" s="21" t="n">
        <f aca="false">SUMIFS(Data_Monthly!$K:$K,Data_Monthly!$A:$A,E$4)/1000</f>
        <v>0</v>
      </c>
      <c r="F35" s="21" t="n">
        <f aca="false">SUMIFS(Data_Monthly!$K:$K,Data_Monthly!$A:$A,F$4)/1000</f>
        <v>0</v>
      </c>
      <c r="G35" s="21" t="n">
        <f aca="false">SUMIFS(Data_Monthly!$K:$K,Data_Monthly!$A:$A,G$4)/1000</f>
        <v>0</v>
      </c>
      <c r="H35" s="21" t="n">
        <f aca="false">SUMIFS(Data_Monthly!$K:$K,Data_Monthly!$A:$A,H$4)/1000</f>
        <v>0</v>
      </c>
      <c r="I35" s="21" t="n">
        <f aca="false">SUMIFS(Data_Monthly!$K:$K,Data_Monthly!$A:$A,I$4)/1000</f>
        <v>31.4194922386714</v>
      </c>
      <c r="J35" s="21" t="n">
        <f aca="false">SUMIFS(Data_Monthly!$K:$K,Data_Monthly!$A:$A,J$4)/1000</f>
        <v>37.1131855540265</v>
      </c>
      <c r="K35" s="21" t="n">
        <f aca="false">SUMIFS(Data_Monthly!$K:$K,Data_Monthly!$A:$A,K$4)/1000</f>
        <v>37.2881437313947</v>
      </c>
      <c r="L35" s="21" t="n">
        <f aca="false">SUMIFS(Data_Monthly!$K:$K,Data_Monthly!$A:$A,L$4)/1000</f>
        <v>28.5969956861522</v>
      </c>
      <c r="M35" s="21" t="n">
        <f aca="false">SUMIFS(Data_Monthly!$K:$K,Data_Monthly!$A:$A,M$4)/1000</f>
        <v>27.5560581450579</v>
      </c>
    </row>
    <row r="36" customFormat="false" ht="15" hidden="false" customHeight="false" outlineLevel="0" collapsed="false">
      <c r="A36" s="3" t="s">
        <v>23</v>
      </c>
      <c r="B36" s="23" t="n">
        <f aca="false">IF(B11=0,0,B34/B11*365)</f>
        <v>0</v>
      </c>
      <c r="C36" s="23" t="n">
        <f aca="false">IF(C11=0,0,C34/C11*365)</f>
        <v>0</v>
      </c>
      <c r="D36" s="23" t="n">
        <f aca="false">IF(D11=0,0,D34/D11*365)</f>
        <v>0</v>
      </c>
      <c r="E36" s="23" t="n">
        <f aca="false">IF(E11=0,0,E34/E11*365)</f>
        <v>0</v>
      </c>
      <c r="F36" s="23" t="n">
        <f aca="false">IF(F11=0,0,F34/F11*365)</f>
        <v>0</v>
      </c>
      <c r="G36" s="23" t="n">
        <f aca="false">IF(G11=0,0,G34/G11*365)</f>
        <v>0</v>
      </c>
      <c r="H36" s="23" t="n">
        <f aca="false">IF(H11=0,0,H34/H11*365)</f>
        <v>3.96486606119181</v>
      </c>
      <c r="I36" s="23" t="n">
        <f aca="false">IF(I11=0,0,I34/I11*365)</f>
        <v>638.734298766265</v>
      </c>
      <c r="J36" s="23" t="n">
        <f aca="false">IF(J11=0,0,J34/J11*365)</f>
        <v>1398.23568509734</v>
      </c>
      <c r="K36" s="23" t="n">
        <f aca="false">IF(K11=0,0,K34/K11*365)</f>
        <v>2256.23271595732</v>
      </c>
      <c r="L36" s="23" t="n">
        <f aca="false">IF(L11=0,0,L34/L11*365)</f>
        <v>2747.46836128168</v>
      </c>
      <c r="M36" s="23" t="n">
        <f aca="false">IF(M11=0,0,M34/M11*365)</f>
        <v>3229.01352030545</v>
      </c>
    </row>
    <row r="37" customFormat="false" ht="15" hidden="false" customHeight="false" outlineLevel="0" collapsed="false">
      <c r="A37" s="3" t="s">
        <v>75</v>
      </c>
      <c r="B37" s="25" t="n">
        <f aca="false">IF(B34=0,0,B29/B34)</f>
        <v>0</v>
      </c>
      <c r="C37" s="25" t="n">
        <f aca="false">IF(C34=0,0,C29/C34)</f>
        <v>0</v>
      </c>
      <c r="D37" s="25" t="n">
        <f aca="false">IF(D34=0,0,D29/D34)</f>
        <v>0</v>
      </c>
      <c r="E37" s="25" t="n">
        <f aca="false">IF(E34=0,0,E29/E34)</f>
        <v>0</v>
      </c>
      <c r="F37" s="25" t="n">
        <f aca="false">IF(F34=0,0,F29/F34)</f>
        <v>0</v>
      </c>
      <c r="G37" s="25" t="n">
        <f aca="false">IF(G34=0,0,G29/G34)</f>
        <v>0</v>
      </c>
      <c r="H37" s="25" t="n">
        <f aca="false">IF(H34=0,0,H29/H34)</f>
        <v>0</v>
      </c>
      <c r="I37" s="25" t="n">
        <f aca="false">IF(I34=0,0,I29/I34)</f>
        <v>0.95735964125778</v>
      </c>
      <c r="J37" s="25" t="n">
        <f aca="false">IF(J34=0,0,J29/J34)</f>
        <v>0.895527968554516</v>
      </c>
      <c r="K37" s="25" t="n">
        <f aca="false">IF(K34=0,0,K29/K34)</f>
        <v>0.833873439826521</v>
      </c>
      <c r="L37" s="25" t="n">
        <f aca="false">IF(L34=0,0,L29/L34)</f>
        <v>0.794687121701727</v>
      </c>
      <c r="M37" s="25" t="n">
        <f aca="false">IF(M34=0,0,M29/M34)</f>
        <v>0.767507609788158</v>
      </c>
    </row>
    <row r="38" customFormat="false" ht="15" hidden="false" customHeight="false" outlineLevel="0" collapsed="false">
      <c r="A38" s="3" t="s">
        <v>76</v>
      </c>
      <c r="B38" s="26" t="n">
        <f aca="false">IF(B10=0,0,B34/B10)</f>
        <v>0</v>
      </c>
      <c r="C38" s="26" t="n">
        <f aca="false">IF(C10=0,0,C34/C10)</f>
        <v>0</v>
      </c>
      <c r="D38" s="26" t="n">
        <f aca="false">IF(D10=0,0,D34/D10)</f>
        <v>0</v>
      </c>
      <c r="E38" s="26" t="n">
        <f aca="false">IF(E10=0,0,E34/E10)</f>
        <v>0</v>
      </c>
      <c r="F38" s="26" t="n">
        <f aca="false">IF(F10=0,0,F34/F10)</f>
        <v>0</v>
      </c>
      <c r="G38" s="26" t="n">
        <f aca="false">IF(G10=0,0,G34/G10)</f>
        <v>0</v>
      </c>
      <c r="H38" s="26" t="n">
        <f aca="false">IF(H10=0,0,H34/H10)</f>
        <v>0.0239082319799994</v>
      </c>
      <c r="I38" s="26" t="n">
        <f aca="false">IF(I10=0,0,I34/I10)</f>
        <v>0.0837750868920608</v>
      </c>
      <c r="J38" s="26" t="n">
        <f aca="false">IF(J10=0,0,J34/J10)</f>
        <v>0.0525163493350524</v>
      </c>
      <c r="K38" s="26" t="n">
        <f aca="false">IF(K10=0,0,K34/K10)</f>
        <v>0.0446595095143731</v>
      </c>
      <c r="L38" s="26" t="n">
        <f aca="false">IF(L10=0,0,L34/L10)</f>
        <v>0.0413177344932698</v>
      </c>
      <c r="M38" s="26" t="n">
        <f aca="false">IF(M10=0,0,M34/M10)</f>
        <v>0.0410091671330925</v>
      </c>
    </row>
    <row r="40" customFormat="false" ht="15" hidden="false" customHeight="false" outlineLevel="0" collapsed="false">
      <c r="A40" s="19" t="s">
        <v>77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</row>
    <row r="41" customFormat="false" ht="15" hidden="false" customHeight="false" outlineLevel="0" collapsed="false">
      <c r="A41" s="3" t="s">
        <v>78</v>
      </c>
      <c r="B41" s="21" t="n">
        <f aca="false">SUMIFS(Data_Monthly!$I:$I,Data_Monthly!$A:$A,B$4)/1000</f>
        <v>0</v>
      </c>
      <c r="C41" s="21" t="n">
        <f aca="false">SUMIFS(Data_Monthly!$I:$I,Data_Monthly!$A:$A,C$4)/1000</f>
        <v>0</v>
      </c>
      <c r="D41" s="21" t="n">
        <f aca="false">SUMIFS(Data_Monthly!$I:$I,Data_Monthly!$A:$A,D$4)/1000</f>
        <v>0</v>
      </c>
      <c r="E41" s="21" t="n">
        <f aca="false">SUMIFS(Data_Monthly!$I:$I,Data_Monthly!$A:$A,E$4)/1000</f>
        <v>0</v>
      </c>
      <c r="F41" s="21" t="n">
        <f aca="false">SUMIFS(Data_Monthly!$I:$I,Data_Monthly!$A:$A,F$4)/1000</f>
        <v>0</v>
      </c>
      <c r="G41" s="21" t="n">
        <f aca="false">SUMIFS(Data_Monthly!$I:$I,Data_Monthly!$A:$A,G$4)/1000</f>
        <v>0</v>
      </c>
      <c r="H41" s="21" t="n">
        <f aca="false">SUMIFS(Data_Monthly!$I:$I,Data_Monthly!$A:$A,H$4)/1000</f>
        <v>0.305321556918</v>
      </c>
      <c r="I41" s="21" t="n">
        <f aca="false">SUMIFS(Data_Monthly!$I:$I,Data_Monthly!$A:$A,I$4)/1000</f>
        <v>27.197154623058</v>
      </c>
      <c r="J41" s="21" t="n">
        <f aca="false">SUMIFS(Data_Monthly!$I:$I,Data_Monthly!$A:$A,J$4)/1000</f>
        <v>91.910162487024</v>
      </c>
      <c r="K41" s="21" t="n">
        <f aca="false">SUMIFS(Data_Monthly!$I:$I,Data_Monthly!$A:$A,K$4)/1000</f>
        <v>180.213807787272</v>
      </c>
      <c r="L41" s="21" t="n">
        <f aca="false">SUMIFS(Data_Monthly!$I:$I,Data_Monthly!$A:$A,L$4)/1000</f>
        <v>237.19980037299</v>
      </c>
      <c r="M41" s="21" t="n">
        <f aca="false">SUMIFS(Data_Monthly!$I:$I,Data_Monthly!$A:$A,M$4)/1000</f>
        <v>253.690013510598</v>
      </c>
    </row>
    <row r="42" customFormat="false" ht="15" hidden="false" customHeight="false" outlineLevel="0" collapsed="false">
      <c r="A42" s="3" t="s">
        <v>79</v>
      </c>
      <c r="B42" s="24" t="n">
        <f aca="false">SUMIFS(Data_Monthly!$H:$H,Data_Monthly!$A:$A,B$4)/1000</f>
        <v>0</v>
      </c>
      <c r="C42" s="24" t="n">
        <f aca="false">SUMIFS(Data_Monthly!$H:$H,Data_Monthly!$A:$A,C$4)/1000</f>
        <v>0</v>
      </c>
      <c r="D42" s="24" t="n">
        <f aca="false">SUMIFS(Data_Monthly!$H:$H,Data_Monthly!$A:$A,D$4)/1000</f>
        <v>0</v>
      </c>
      <c r="E42" s="24" t="n">
        <f aca="false">SUMIFS(Data_Monthly!$H:$H,Data_Monthly!$A:$A,E$4)/1000</f>
        <v>0</v>
      </c>
      <c r="F42" s="24" t="n">
        <f aca="false">SUMIFS(Data_Monthly!$H:$H,Data_Monthly!$A:$A,F$4)/1000</f>
        <v>0</v>
      </c>
      <c r="G42" s="24" t="n">
        <f aca="false">SUMIFS(Data_Monthly!$H:$H,Data_Monthly!$A:$A,G$4)/1000</f>
        <v>0</v>
      </c>
      <c r="H42" s="24" t="n">
        <f aca="false">SUMIFS(Data_Monthly!$H:$H,Data_Monthly!$A:$A,H$4)/1000</f>
        <v>0.12222718671</v>
      </c>
      <c r="I42" s="24" t="n">
        <f aca="false">SUMIFS(Data_Monthly!$H:$H,Data_Monthly!$A:$A,I$4)/1000</f>
        <v>0.281333831566</v>
      </c>
      <c r="J42" s="24" t="n">
        <f aca="false">SUMIFS(Data_Monthly!$H:$H,Data_Monthly!$A:$A,J$4)/1000</f>
        <v>0.343547766044</v>
      </c>
      <c r="K42" s="24" t="n">
        <f aca="false">SUMIFS(Data_Monthly!$H:$H,Data_Monthly!$A:$A,K$4)/1000</f>
        <v>0.367178962282</v>
      </c>
      <c r="L42" s="24" t="n">
        <f aca="false">SUMIFS(Data_Monthly!$H:$H,Data_Monthly!$A:$A,L$4)/1000</f>
        <v>0.338166436124</v>
      </c>
      <c r="M42" s="24" t="n">
        <f aca="false">SUMIFS(Data_Monthly!$H:$H,Data_Monthly!$A:$A,M$4)/1000</f>
        <v>0.447856000854</v>
      </c>
    </row>
    <row r="43" customFormat="false" ht="15" hidden="false" customHeight="false" outlineLevel="0" collapsed="false">
      <c r="A43" s="3" t="s">
        <v>80</v>
      </c>
      <c r="B43" s="21" t="n">
        <f aca="false">SUMIFS(Data_Monthly!$M:$M,Data_Monthly!$A:$A,B$4)/1000</f>
        <v>0</v>
      </c>
      <c r="C43" s="21" t="n">
        <f aca="false">SUMIFS(Data_Monthly!$M:$M,Data_Monthly!$A:$A,C$4)/1000</f>
        <v>0</v>
      </c>
      <c r="D43" s="21" t="n">
        <f aca="false">SUMIFS(Data_Monthly!$M:$M,Data_Monthly!$A:$A,D$4)/1000</f>
        <v>0</v>
      </c>
      <c r="E43" s="21" t="n">
        <f aca="false">SUMIFS(Data_Monthly!$M:$M,Data_Monthly!$A:$A,E$4)/1000</f>
        <v>0</v>
      </c>
      <c r="F43" s="21" t="n">
        <f aca="false">SUMIFS(Data_Monthly!$M:$M,Data_Monthly!$A:$A,F$4)/1000</f>
        <v>0</v>
      </c>
      <c r="G43" s="21" t="n">
        <f aca="false">SUMIFS(Data_Monthly!$M:$M,Data_Monthly!$A:$A,G$4)/1000</f>
        <v>0</v>
      </c>
      <c r="H43" s="21" t="n">
        <f aca="false">SUMIFS(Data_Monthly!$M:$M,Data_Monthly!$A:$A,H$4)/1000</f>
        <v>0.00929202232014</v>
      </c>
      <c r="I43" s="21" t="n">
        <f aca="false">SUMIFS(Data_Monthly!$M:$M,Data_Monthly!$A:$A,I$4)/1000</f>
        <v>0.0589814621823</v>
      </c>
      <c r="J43" s="21" t="n">
        <f aca="false">SUMIFS(Data_Monthly!$M:$M,Data_Monthly!$A:$A,J$4)/1000</f>
        <v>0.34333935796104</v>
      </c>
      <c r="K43" s="21" t="n">
        <f aca="false">SUMIFS(Data_Monthly!$M:$M,Data_Monthly!$A:$A,K$4)/1000</f>
        <v>1.04390971843326</v>
      </c>
      <c r="L43" s="21" t="n">
        <f aca="false">SUMIFS(Data_Monthly!$M:$M,Data_Monthly!$A:$A,L$4)/1000</f>
        <v>1.56500397709236</v>
      </c>
      <c r="M43" s="21" t="n">
        <f aca="false">SUMIFS(Data_Monthly!$M:$M,Data_Monthly!$A:$A,M$4)/1000</f>
        <v>1.78722558204834</v>
      </c>
    </row>
    <row r="44" customFormat="false" ht="15" hidden="false" customHeight="false" outlineLevel="0" collapsed="false">
      <c r="A44" s="3" t="s">
        <v>81</v>
      </c>
      <c r="B44" s="23" t="n">
        <f aca="false">SUMIFS(Data_Monthly!$D:$D,Data_Monthly!$A:$A,B$4)</f>
        <v>0</v>
      </c>
      <c r="C44" s="23" t="n">
        <f aca="false">SUMIFS(Data_Monthly!$D:$D,Data_Monthly!$A:$A,C$4)</f>
        <v>0</v>
      </c>
      <c r="D44" s="23" t="n">
        <f aca="false">SUMIFS(Data_Monthly!$D:$D,Data_Monthly!$A:$A,D$4)</f>
        <v>0</v>
      </c>
      <c r="E44" s="23" t="n">
        <f aca="false">SUMIFS(Data_Monthly!$D:$D,Data_Monthly!$A:$A,E$4)</f>
        <v>0</v>
      </c>
      <c r="F44" s="23" t="n">
        <f aca="false">SUMIFS(Data_Monthly!$D:$D,Data_Monthly!$A:$A,F$4)</f>
        <v>0</v>
      </c>
      <c r="G44" s="23" t="n">
        <f aca="false">SUMIFS(Data_Monthly!$D:$D,Data_Monthly!$A:$A,G$4)</f>
        <v>0</v>
      </c>
      <c r="H44" s="23" t="n">
        <f aca="false">SUMIFS(Data_Monthly!$D:$D,Data_Monthly!$A:$A,H$4)</f>
        <v>205</v>
      </c>
      <c r="I44" s="23" t="n">
        <f aca="false">SUMIFS(Data_Monthly!$D:$D,Data_Monthly!$A:$A,I$4)</f>
        <v>386</v>
      </c>
      <c r="J44" s="23" t="n">
        <f aca="false">SUMIFS(Data_Monthly!$D:$D,Data_Monthly!$A:$A,J$4)</f>
        <v>448</v>
      </c>
      <c r="K44" s="23" t="n">
        <f aca="false">SUMIFS(Data_Monthly!$D:$D,Data_Monthly!$A:$A,K$4)</f>
        <v>496</v>
      </c>
      <c r="L44" s="23" t="n">
        <f aca="false">SUMIFS(Data_Monthly!$D:$D,Data_Monthly!$A:$A,L$4)</f>
        <v>576</v>
      </c>
      <c r="M44" s="23" t="n">
        <f aca="false">SUMIFS(Data_Monthly!$D:$D,Data_Monthly!$A:$A,M$4)</f>
        <v>680</v>
      </c>
    </row>
    <row r="45" customFormat="false" ht="15" hidden="false" customHeight="false" outlineLevel="0" collapsed="false">
      <c r="A45" s="3" t="s">
        <v>27</v>
      </c>
      <c r="B45" s="23" t="n">
        <f aca="false">SUMIFS(Data_Monthly!$E:$E,Data_Monthly!$A:$A,B$4)</f>
        <v>0</v>
      </c>
      <c r="C45" s="23" t="n">
        <f aca="false">SUMIFS(Data_Monthly!$E:$E,Data_Monthly!$A:$A,C$4)</f>
        <v>0</v>
      </c>
      <c r="D45" s="23" t="n">
        <f aca="false">SUMIFS(Data_Monthly!$E:$E,Data_Monthly!$A:$A,D$4)</f>
        <v>0</v>
      </c>
      <c r="E45" s="23" t="n">
        <f aca="false">SUMIFS(Data_Monthly!$E:$E,Data_Monthly!$A:$A,E$4)</f>
        <v>0</v>
      </c>
      <c r="F45" s="23" t="n">
        <f aca="false">SUMIFS(Data_Monthly!$E:$E,Data_Monthly!$A:$A,F$4)</f>
        <v>0</v>
      </c>
      <c r="G45" s="23" t="n">
        <f aca="false">SUMIFS(Data_Monthly!$E:$E,Data_Monthly!$A:$A,G$4)</f>
        <v>0</v>
      </c>
      <c r="H45" s="23" t="n">
        <f aca="false">SUMIFS(Data_Monthly!$E:$E,Data_Monthly!$A:$A,H$4)</f>
        <v>99</v>
      </c>
      <c r="I45" s="23" t="n">
        <f aca="false">SUMIFS(Data_Monthly!$E:$E,Data_Monthly!$A:$A,I$4)</f>
        <v>209</v>
      </c>
      <c r="J45" s="23" t="n">
        <f aca="false">SUMIFS(Data_Monthly!$E:$E,Data_Monthly!$A:$A,J$4)</f>
        <v>249</v>
      </c>
      <c r="K45" s="23" t="n">
        <f aca="false">SUMIFS(Data_Monthly!$E:$E,Data_Monthly!$A:$A,K$4)</f>
        <v>313</v>
      </c>
      <c r="L45" s="23" t="n">
        <f aca="false">SUMIFS(Data_Monthly!$E:$E,Data_Monthly!$A:$A,L$4)</f>
        <v>384</v>
      </c>
      <c r="M45" s="23" t="n">
        <f aca="false">SUMIFS(Data_Monthly!$E:$E,Data_Monthly!$A:$A,M$4)</f>
        <v>421</v>
      </c>
    </row>
    <row r="46" customFormat="false" ht="15" hidden="false" customHeight="false" outlineLevel="0" collapsed="false">
      <c r="A46" s="3" t="s">
        <v>82</v>
      </c>
      <c r="B46" s="25" t="n">
        <f aca="false">IF(SUMIFS(Data_Reliability!$B:$B,Data_Reliability!$A:$A,B$4)+SUMIFS(Data_Reliability!$C:$C,Data_Reliability!$A:$A,B$4)=0,0,SUMIFS(Data_Reliability!$C:$C,Data_Reliability!$A:$A,B$4)/(SUMIFS(Data_Reliability!$B:$B,Data_Reliability!$A:$A,B$4)+SUMIFS(Data_Reliability!$C:$C,Data_Reliability!$A:$A,B$4)))</f>
        <v>0</v>
      </c>
      <c r="C46" s="25" t="n">
        <f aca="false">IF(SUMIFS(Data_Reliability!$B:$B,Data_Reliability!$A:$A,C$4)+SUMIFS(Data_Reliability!$C:$C,Data_Reliability!$A:$A,C$4)=0,0,SUMIFS(Data_Reliability!$C:$C,Data_Reliability!$A:$A,C$4)/(SUMIFS(Data_Reliability!$B:$B,Data_Reliability!$A:$A,C$4)+SUMIFS(Data_Reliability!$C:$C,Data_Reliability!$A:$A,C$4)))</f>
        <v>0</v>
      </c>
      <c r="D46" s="25" t="n">
        <f aca="false">IF(SUMIFS(Data_Reliability!$B:$B,Data_Reliability!$A:$A,D$4)+SUMIFS(Data_Reliability!$C:$C,Data_Reliability!$A:$A,D$4)=0,0,SUMIFS(Data_Reliability!$C:$C,Data_Reliability!$A:$A,D$4)/(SUMIFS(Data_Reliability!$B:$B,Data_Reliability!$A:$A,D$4)+SUMIFS(Data_Reliability!$C:$C,Data_Reliability!$A:$A,D$4)))</f>
        <v>0</v>
      </c>
      <c r="E46" s="25" t="n">
        <f aca="false">IF(SUMIFS(Data_Reliability!$B:$B,Data_Reliability!$A:$A,E$4)+SUMIFS(Data_Reliability!$C:$C,Data_Reliability!$A:$A,E$4)=0,0,SUMIFS(Data_Reliability!$C:$C,Data_Reliability!$A:$A,E$4)/(SUMIFS(Data_Reliability!$B:$B,Data_Reliability!$A:$A,E$4)+SUMIFS(Data_Reliability!$C:$C,Data_Reliability!$A:$A,E$4)))</f>
        <v>0</v>
      </c>
      <c r="F46" s="25" t="n">
        <f aca="false">IF(SUMIFS(Data_Reliability!$B:$B,Data_Reliability!$A:$A,F$4)+SUMIFS(Data_Reliability!$C:$C,Data_Reliability!$A:$A,F$4)=0,0,SUMIFS(Data_Reliability!$C:$C,Data_Reliability!$A:$A,F$4)/(SUMIFS(Data_Reliability!$B:$B,Data_Reliability!$A:$A,F$4)+SUMIFS(Data_Reliability!$C:$C,Data_Reliability!$A:$A,F$4)))</f>
        <v>0</v>
      </c>
      <c r="G46" s="25" t="n">
        <f aca="false">IF(SUMIFS(Data_Reliability!$B:$B,Data_Reliability!$A:$A,G$4)+SUMIFS(Data_Reliability!$C:$C,Data_Reliability!$A:$A,G$4)=0,0,SUMIFS(Data_Reliability!$C:$C,Data_Reliability!$A:$A,G$4)/(SUMIFS(Data_Reliability!$B:$B,Data_Reliability!$A:$A,G$4)+SUMIFS(Data_Reliability!$C:$C,Data_Reliability!$A:$A,G$4)))</f>
        <v>0</v>
      </c>
      <c r="H46" s="25" t="n">
        <f aca="false">IF(SUMIFS(Data_Reliability!$B:$B,Data_Reliability!$A:$A,H$4)+SUMIFS(Data_Reliability!$C:$C,Data_Reliability!$A:$A,H$4)=0,0,SUMIFS(Data_Reliability!$C:$C,Data_Reliability!$A:$A,H$4)/(SUMIFS(Data_Reliability!$B:$B,Data_Reliability!$A:$A,H$4)+SUMIFS(Data_Reliability!$C:$C,Data_Reliability!$A:$A,H$4)))</f>
        <v>0.00374989345249095</v>
      </c>
      <c r="I46" s="25" t="n">
        <f aca="false">IF(SUMIFS(Data_Reliability!$B:$B,Data_Reliability!$A:$A,I$4)+SUMIFS(Data_Reliability!$C:$C,Data_Reliability!$A:$A,I$4)=0,0,SUMIFS(Data_Reliability!$C:$C,Data_Reliability!$A:$A,I$4)/(SUMIFS(Data_Reliability!$B:$B,Data_Reliability!$A:$A,I$4)+SUMIFS(Data_Reliability!$C:$C,Data_Reliability!$A:$A,I$4)))</f>
        <v>0.00589802017150388</v>
      </c>
      <c r="J46" s="25" t="n">
        <f aca="false">IF(SUMIFS(Data_Reliability!$B:$B,Data_Reliability!$A:$A,J$4)+SUMIFS(Data_Reliability!$C:$C,Data_Reliability!$A:$A,J$4)=0,0,SUMIFS(Data_Reliability!$C:$C,Data_Reliability!$A:$A,J$4)/(SUMIFS(Data_Reliability!$B:$B,Data_Reliability!$A:$A,J$4)+SUMIFS(Data_Reliability!$C:$C,Data_Reliability!$A:$A,J$4)))</f>
        <v>0.00593100384552513</v>
      </c>
      <c r="K46" s="25" t="n">
        <f aca="false">IF(SUMIFS(Data_Reliability!$B:$B,Data_Reliability!$A:$A,K$4)+SUMIFS(Data_Reliability!$C:$C,Data_Reliability!$A:$A,K$4)=0,0,SUMIFS(Data_Reliability!$C:$C,Data_Reliability!$A:$A,K$4)/(SUMIFS(Data_Reliability!$B:$B,Data_Reliability!$A:$A,K$4)+SUMIFS(Data_Reliability!$C:$C,Data_Reliability!$A:$A,K$4)))</f>
        <v>0.0251713769266476</v>
      </c>
      <c r="L46" s="25" t="n">
        <f aca="false">IF(SUMIFS(Data_Reliability!$B:$B,Data_Reliability!$A:$A,L$4)+SUMIFS(Data_Reliability!$C:$C,Data_Reliability!$A:$A,L$4)=0,0,SUMIFS(Data_Reliability!$C:$C,Data_Reliability!$A:$A,L$4)/(SUMIFS(Data_Reliability!$B:$B,Data_Reliability!$A:$A,L$4)+SUMIFS(Data_Reliability!$C:$C,Data_Reliability!$A:$A,L$4)))</f>
        <v>0.00593991203609551</v>
      </c>
      <c r="M46" s="25" t="n">
        <f aca="false">IF(SUMIFS(Data_Reliability!$B:$B,Data_Reliability!$A:$A,M$4)+SUMIFS(Data_Reliability!$C:$C,Data_Reliability!$A:$A,M$4)=0,0,SUMIFS(Data_Reliability!$C:$C,Data_Reliability!$A:$A,M$4)/(SUMIFS(Data_Reliability!$B:$B,Data_Reliability!$A:$A,M$4)+SUMIFS(Data_Reliability!$C:$C,Data_Reliability!$A:$A,M$4)))</f>
        <v>0.0059398741015462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1"/>
    <col collapsed="false" customWidth="true" hidden="false" outlineLevel="0" max="15" min="14" style="0" width="14"/>
  </cols>
  <sheetData>
    <row r="1" customFormat="false" ht="17.35" hidden="false" customHeight="false" outlineLevel="0" collapsed="false">
      <c r="A1" s="1" t="str">
        <f aca="false">Data_Params!$B$14&amp;" | Where usage comes from"</f>
        <v>Example Co (synthetic data) | Where usage comes from</v>
      </c>
    </row>
    <row r="2" customFormat="false" ht="15" hidden="false" customHeight="false" outlineLevel="0" collapsed="false">
      <c r="A2" s="7" t="s">
        <v>83</v>
      </c>
    </row>
    <row r="4" customFormat="false" ht="23.85" hidden="false" customHeight="false" outlineLevel="0" collapsed="false">
      <c r="A4" s="8" t="s">
        <v>84</v>
      </c>
      <c r="B4" s="9" t="n">
        <f aca="false">EDATE(Data_Params!$B$3,0)</f>
        <v>46082</v>
      </c>
      <c r="C4" s="9" t="n">
        <f aca="false">EDATE(Data_Params!$B$3,1)</f>
        <v>46113</v>
      </c>
      <c r="D4" s="9" t="n">
        <f aca="false">EDATE(Data_Params!$B$3,2)</f>
        <v>46143</v>
      </c>
      <c r="E4" s="9" t="n">
        <f aca="false">EDATE(Data_Params!$B$3,3)</f>
        <v>46174</v>
      </c>
      <c r="F4" s="9" t="n">
        <f aca="false">EDATE(Data_Params!$B$3,4)</f>
        <v>46204</v>
      </c>
      <c r="G4" s="9" t="n">
        <f aca="false">EDATE(Data_Params!$B$3,5)</f>
        <v>46235</v>
      </c>
      <c r="H4" s="9" t="n">
        <f aca="false">EDATE(Data_Params!$B$3,6)</f>
        <v>46266</v>
      </c>
      <c r="I4" s="9" t="n">
        <f aca="false">EDATE(Data_Params!$B$3,7)</f>
        <v>46296</v>
      </c>
      <c r="J4" s="9" t="n">
        <f aca="false">EDATE(Data_Params!$B$3,8)</f>
        <v>46327</v>
      </c>
      <c r="K4" s="9" t="n">
        <f aca="false">EDATE(Data_Params!$B$3,9)</f>
        <v>46357</v>
      </c>
      <c r="L4" s="9" t="n">
        <f aca="false">EDATE(Data_Params!$B$3,10)</f>
        <v>46388</v>
      </c>
      <c r="M4" s="9" t="n">
        <f aca="false">EDATE(Data_Params!$B$3,11)</f>
        <v>46419</v>
      </c>
      <c r="N4" s="8" t="s">
        <v>85</v>
      </c>
      <c r="O4" s="8" t="s">
        <v>86</v>
      </c>
    </row>
    <row r="5" customFormat="false" ht="15" hidden="false" customHeight="false" outlineLevel="0" collapsed="false">
      <c r="A5" s="3" t="str">
        <f aca="false">IF(INDEX(Data_Lists!$C:$C,1+1)="","",INDEX(Data_Lists!$C:$C,1+1))</f>
        <v>fraud_triage</v>
      </c>
      <c r="B5" s="21" t="n">
        <f aca="false">IF($A5="","",SUMIFS(Data_UseCase!$C:$C,Data_UseCase!$A:$A,B$4,Data_UseCase!$B:$B,$A5)/1000000000)</f>
        <v>0</v>
      </c>
      <c r="C5" s="21" t="n">
        <f aca="false">IF($A5="","",SUMIFS(Data_UseCase!$C:$C,Data_UseCase!$A:$A,C$4,Data_UseCase!$B:$B,$A5)/1000000000)</f>
        <v>0</v>
      </c>
      <c r="D5" s="21" t="n">
        <f aca="false">IF($A5="","",SUMIFS(Data_UseCase!$C:$C,Data_UseCase!$A:$A,D$4,Data_UseCase!$B:$B,$A5)/1000000000)</f>
        <v>0</v>
      </c>
      <c r="E5" s="21" t="n">
        <f aca="false">IF($A5="","",SUMIFS(Data_UseCase!$C:$C,Data_UseCase!$A:$A,E$4,Data_UseCase!$B:$B,$A5)/1000000000)</f>
        <v>0</v>
      </c>
      <c r="F5" s="21" t="n">
        <f aca="false">IF($A5="","",SUMIFS(Data_UseCase!$C:$C,Data_UseCase!$A:$A,F$4,Data_UseCase!$B:$B,$A5)/1000000000)</f>
        <v>0</v>
      </c>
      <c r="G5" s="21" t="n">
        <f aca="false">IF($A5="","",SUMIFS(Data_UseCase!$C:$C,Data_UseCase!$A:$A,G$4,Data_UseCase!$B:$B,$A5)/1000000000)</f>
        <v>0</v>
      </c>
      <c r="H5" s="21" t="n">
        <f aca="false">IF($A5="","",SUMIFS(Data_UseCase!$C:$C,Data_UseCase!$A:$A,H$4,Data_UseCase!$B:$B,$A5)/1000000000)</f>
        <v>0.269677564</v>
      </c>
      <c r="I5" s="21" t="n">
        <f aca="false">IF($A5="","",SUMIFS(Data_UseCase!$C:$C,Data_UseCase!$A:$A,I$4,Data_UseCase!$B:$B,$A5)/1000000000)</f>
        <v>140.069455217</v>
      </c>
      <c r="J5" s="21" t="n">
        <f aca="false">IF($A5="","",SUMIFS(Data_UseCase!$C:$C,Data_UseCase!$A:$A,J$4,Data_UseCase!$B:$B,$A5)/1000000000)</f>
        <v>665.127445278</v>
      </c>
      <c r="K5" s="21" t="n">
        <f aca="false">IF($A5="","",SUMIFS(Data_UseCase!$C:$C,Data_UseCase!$A:$A,K$4,Data_UseCase!$B:$B,$A5)/1000000000)</f>
        <v>1190.213406469</v>
      </c>
      <c r="L5" s="21" t="n">
        <f aca="false">IF($A5="","",SUMIFS(Data_UseCase!$C:$C,Data_UseCase!$A:$A,L$4,Data_UseCase!$B:$B,$A5)/1000000000)</f>
        <v>1269.281089036</v>
      </c>
      <c r="M5" s="21" t="n">
        <f aca="false">IF($A5="","",SUMIFS(Data_UseCase!$C:$C,Data_UseCase!$A:$A,M$4,Data_UseCase!$B:$B,$A5)/1000000000)</f>
        <v>1147.980357813</v>
      </c>
      <c r="N5" s="25" t="n">
        <f aca="false">IF($A5="","",IF(M$20=0,0,M5/M$20))</f>
        <v>0.190055471088269</v>
      </c>
      <c r="O5" s="25" t="n">
        <f aca="false">IF(OR($A5="",N(M5)=0),"",SUMIFS(Data_UseCase!$D:$D,Data_UseCase!$A:$A,M$4,Data_UseCase!$B:$B,$A5)/1000000000/M5)</f>
        <v>0.939212521970374</v>
      </c>
    </row>
    <row r="6" customFormat="false" ht="15" hidden="false" customHeight="false" outlineLevel="0" collapsed="false">
      <c r="A6" s="3" t="str">
        <f aca="false">IF(INDEX(Data_Lists!$C:$C,2+1)="","",INDEX(Data_Lists!$C:$C,2+1))</f>
        <v>llm_guardrails</v>
      </c>
      <c r="B6" s="21" t="n">
        <f aca="false">IF($A6="","",SUMIFS(Data_UseCase!$C:$C,Data_UseCase!$A:$A,B$4,Data_UseCase!$B:$B,$A6)/1000000000)</f>
        <v>0</v>
      </c>
      <c r="C6" s="21" t="n">
        <f aca="false">IF($A6="","",SUMIFS(Data_UseCase!$C:$C,Data_UseCase!$A:$A,C$4,Data_UseCase!$B:$B,$A6)/1000000000)</f>
        <v>0</v>
      </c>
      <c r="D6" s="21" t="n">
        <f aca="false">IF($A6="","",SUMIFS(Data_UseCase!$C:$C,Data_UseCase!$A:$A,D$4,Data_UseCase!$B:$B,$A6)/1000000000)</f>
        <v>0</v>
      </c>
      <c r="E6" s="21" t="n">
        <f aca="false">IF($A6="","",SUMIFS(Data_UseCase!$C:$C,Data_UseCase!$A:$A,E$4,Data_UseCase!$B:$B,$A6)/1000000000)</f>
        <v>0</v>
      </c>
      <c r="F6" s="21" t="n">
        <f aca="false">IF($A6="","",SUMIFS(Data_UseCase!$C:$C,Data_UseCase!$A:$A,F$4,Data_UseCase!$B:$B,$A6)/1000000000)</f>
        <v>0</v>
      </c>
      <c r="G6" s="21" t="n">
        <f aca="false">IF($A6="","",SUMIFS(Data_UseCase!$C:$C,Data_UseCase!$A:$A,G$4,Data_UseCase!$B:$B,$A6)/1000000000)</f>
        <v>0</v>
      </c>
      <c r="H6" s="21" t="n">
        <f aca="false">IF($A6="","",SUMIFS(Data_UseCase!$C:$C,Data_UseCase!$A:$A,H$4,Data_UseCase!$B:$B,$A6)/1000000000)</f>
        <v>1.093807315</v>
      </c>
      <c r="I6" s="21" t="n">
        <f aca="false">IF($A6="","",SUMIFS(Data_UseCase!$C:$C,Data_UseCase!$A:$A,I$4,Data_UseCase!$B:$B,$A6)/1000000000)</f>
        <v>258.77162296</v>
      </c>
      <c r="J6" s="21" t="n">
        <f aca="false">IF($A6="","",SUMIFS(Data_UseCase!$C:$C,Data_UseCase!$A:$A,J$4,Data_UseCase!$B:$B,$A6)/1000000000)</f>
        <v>652.661947189</v>
      </c>
      <c r="K6" s="21" t="n">
        <f aca="false">IF($A6="","",SUMIFS(Data_UseCase!$C:$C,Data_UseCase!$A:$A,K$4,Data_UseCase!$B:$B,$A6)/1000000000)</f>
        <v>967.367285922</v>
      </c>
      <c r="L6" s="21" t="n">
        <f aca="false">IF($A6="","",SUMIFS(Data_UseCase!$C:$C,Data_UseCase!$A:$A,L$4,Data_UseCase!$B:$B,$A6)/1000000000)</f>
        <v>1056.405073895</v>
      </c>
      <c r="M6" s="21" t="n">
        <f aca="false">IF($A6="","",SUMIFS(Data_UseCase!$C:$C,Data_UseCase!$A:$A,M$4,Data_UseCase!$B:$B,$A6)/1000000000)</f>
        <v>1080.057429696</v>
      </c>
      <c r="N6" s="25" t="n">
        <f aca="false">IF($A6="","",IF(M$20=0,0,M6/M$20))</f>
        <v>0.178810397064908</v>
      </c>
      <c r="O6" s="25" t="n">
        <f aca="false">IF(OR($A6="",N(M6)=0),"",SUMIFS(Data_UseCase!$D:$D,Data_UseCase!$A:$A,M$4,Data_UseCase!$B:$B,$A6)/1000000000/M6)</f>
        <v>0.125462047390517</v>
      </c>
    </row>
    <row r="7" customFormat="false" ht="15" hidden="false" customHeight="false" outlineLevel="0" collapsed="false">
      <c r="A7" s="3" t="str">
        <f aca="false">IF(INDEX(Data_Lists!$C:$C,3+1)="","",INDEX(Data_Lists!$C:$C,3+1))</f>
        <v>model_routing</v>
      </c>
      <c r="B7" s="21" t="n">
        <f aca="false">IF($A7="","",SUMIFS(Data_UseCase!$C:$C,Data_UseCase!$A:$A,B$4,Data_UseCase!$B:$B,$A7)/1000000000)</f>
        <v>0</v>
      </c>
      <c r="C7" s="21" t="n">
        <f aca="false">IF($A7="","",SUMIFS(Data_UseCase!$C:$C,Data_UseCase!$A:$A,C$4,Data_UseCase!$B:$B,$A7)/1000000000)</f>
        <v>0</v>
      </c>
      <c r="D7" s="21" t="n">
        <f aca="false">IF($A7="","",SUMIFS(Data_UseCase!$C:$C,Data_UseCase!$A:$A,D$4,Data_UseCase!$B:$B,$A7)/1000000000)</f>
        <v>0</v>
      </c>
      <c r="E7" s="21" t="n">
        <f aca="false">IF($A7="","",SUMIFS(Data_UseCase!$C:$C,Data_UseCase!$A:$A,E$4,Data_UseCase!$B:$B,$A7)/1000000000)</f>
        <v>0</v>
      </c>
      <c r="F7" s="21" t="n">
        <f aca="false">IF($A7="","",SUMIFS(Data_UseCase!$C:$C,Data_UseCase!$A:$A,F$4,Data_UseCase!$B:$B,$A7)/1000000000)</f>
        <v>0</v>
      </c>
      <c r="G7" s="21" t="n">
        <f aca="false">IF($A7="","",SUMIFS(Data_UseCase!$C:$C,Data_UseCase!$A:$A,G$4,Data_UseCase!$B:$B,$A7)/1000000000)</f>
        <v>0</v>
      </c>
      <c r="H7" s="21" t="n">
        <f aca="false">IF($A7="","",SUMIFS(Data_UseCase!$C:$C,Data_UseCase!$A:$A,H$4,Data_UseCase!$B:$B,$A7)/1000000000)</f>
        <v>1.199236534</v>
      </c>
      <c r="I7" s="21" t="n">
        <f aca="false">IF($A7="","",SUMIFS(Data_UseCase!$C:$C,Data_UseCase!$A:$A,I$4,Data_UseCase!$B:$B,$A7)/1000000000)</f>
        <v>176.629981641</v>
      </c>
      <c r="J7" s="21" t="n">
        <f aca="false">IF($A7="","",SUMIFS(Data_UseCase!$C:$C,Data_UseCase!$A:$A,J$4,Data_UseCase!$B:$B,$A7)/1000000000)</f>
        <v>413.561306277</v>
      </c>
      <c r="K7" s="21" t="n">
        <f aca="false">IF($A7="","",SUMIFS(Data_UseCase!$C:$C,Data_UseCase!$A:$A,K$4,Data_UseCase!$B:$B,$A7)/1000000000)</f>
        <v>584.58464926</v>
      </c>
      <c r="L7" s="21" t="n">
        <f aca="false">IF($A7="","",SUMIFS(Data_UseCase!$C:$C,Data_UseCase!$A:$A,L$4,Data_UseCase!$B:$B,$A7)/1000000000)</f>
        <v>608.905743323</v>
      </c>
      <c r="M7" s="21" t="n">
        <f aca="false">IF($A7="","",SUMIFS(Data_UseCase!$C:$C,Data_UseCase!$A:$A,M$4,Data_UseCase!$B:$B,$A7)/1000000000)</f>
        <v>618.147964253</v>
      </c>
      <c r="N7" s="25" t="n">
        <f aca="false">IF($A7="","",IF(M$20=0,0,M7/M$20))</f>
        <v>0.102338338586361</v>
      </c>
      <c r="O7" s="25" t="n">
        <f aca="false">IF(OR($A7="",N(M7)=0),"",SUMIFS(Data_UseCase!$D:$D,Data_UseCase!$A:$A,M$4,Data_UseCase!$B:$B,$A7)/1000000000/M7)</f>
        <v>0.823292766917059</v>
      </c>
    </row>
    <row r="8" customFormat="false" ht="15" hidden="false" customHeight="false" outlineLevel="0" collapsed="false">
      <c r="A8" s="3" t="str">
        <f aca="false">IF(INDEX(Data_Lists!$C:$C,4+1)="","",INDEX(Data_Lists!$C:$C,4+1))</f>
        <v>data_enrichment</v>
      </c>
      <c r="B8" s="21" t="n">
        <f aca="false">IF($A8="","",SUMIFS(Data_UseCase!$C:$C,Data_UseCase!$A:$A,B$4,Data_UseCase!$B:$B,$A8)/1000000000)</f>
        <v>0</v>
      </c>
      <c r="C8" s="21" t="n">
        <f aca="false">IF($A8="","",SUMIFS(Data_UseCase!$C:$C,Data_UseCase!$A:$A,C$4,Data_UseCase!$B:$B,$A8)/1000000000)</f>
        <v>0</v>
      </c>
      <c r="D8" s="21" t="n">
        <f aca="false">IF($A8="","",SUMIFS(Data_UseCase!$C:$C,Data_UseCase!$A:$A,D$4,Data_UseCase!$B:$B,$A8)/1000000000)</f>
        <v>0</v>
      </c>
      <c r="E8" s="21" t="n">
        <f aca="false">IF($A8="","",SUMIFS(Data_UseCase!$C:$C,Data_UseCase!$A:$A,E$4,Data_UseCase!$B:$B,$A8)/1000000000)</f>
        <v>0</v>
      </c>
      <c r="F8" s="21" t="n">
        <f aca="false">IF($A8="","",SUMIFS(Data_UseCase!$C:$C,Data_UseCase!$A:$A,F$4,Data_UseCase!$B:$B,$A8)/1000000000)</f>
        <v>0</v>
      </c>
      <c r="G8" s="21" t="n">
        <f aca="false">IF($A8="","",SUMIFS(Data_UseCase!$C:$C,Data_UseCase!$A:$A,G$4,Data_UseCase!$B:$B,$A8)/1000000000)</f>
        <v>0</v>
      </c>
      <c r="H8" s="21" t="n">
        <f aca="false">IF($A8="","",SUMIFS(Data_UseCase!$C:$C,Data_UseCase!$A:$A,H$4,Data_UseCase!$B:$B,$A8)/1000000000)</f>
        <v>0.335314244</v>
      </c>
      <c r="I8" s="21" t="n">
        <f aca="false">IF($A8="","",SUMIFS(Data_UseCase!$C:$C,Data_UseCase!$A:$A,I$4,Data_UseCase!$B:$B,$A8)/1000000000)</f>
        <v>5.80719453</v>
      </c>
      <c r="J8" s="21" t="n">
        <f aca="false">IF($A8="","",SUMIFS(Data_UseCase!$C:$C,Data_UseCase!$A:$A,J$4,Data_UseCase!$B:$B,$A8)/1000000000)</f>
        <v>19.732753325</v>
      </c>
      <c r="K8" s="21" t="n">
        <f aca="false">IF($A8="","",SUMIFS(Data_UseCase!$C:$C,Data_UseCase!$A:$A,K$4,Data_UseCase!$B:$B,$A8)/1000000000)</f>
        <v>258.654519349</v>
      </c>
      <c r="L8" s="21" t="n">
        <f aca="false">IF($A8="","",SUMIFS(Data_UseCase!$C:$C,Data_UseCase!$A:$A,L$4,Data_UseCase!$B:$B,$A8)/1000000000)</f>
        <v>747.703272063</v>
      </c>
      <c r="M8" s="21" t="n">
        <f aca="false">IF($A8="","",SUMIFS(Data_UseCase!$C:$C,Data_UseCase!$A:$A,M$4,Data_UseCase!$B:$B,$A8)/1000000000)</f>
        <v>1012.249307593</v>
      </c>
      <c r="N8" s="25" t="n">
        <f aca="false">IF($A8="","",IF(M$20=0,0,M8/M$20))</f>
        <v>0.167584329909502</v>
      </c>
      <c r="O8" s="25" t="n">
        <f aca="false">IF(OR($A8="",N(M8)=0),"",SUMIFS(Data_UseCase!$D:$D,Data_UseCase!$A:$A,M$4,Data_UseCase!$B:$B,$A8)/1000000000/M8)</f>
        <v>0.949852455323773</v>
      </c>
    </row>
    <row r="9" customFormat="false" ht="15" hidden="false" customHeight="false" outlineLevel="0" collapsed="false">
      <c r="A9" s="3" t="str">
        <f aca="false">IF(INDEX(Data_Lists!$C:$C,5+1)="","",INDEX(Data_Lists!$C:$C,5+1))</f>
        <v>moderation</v>
      </c>
      <c r="B9" s="21" t="n">
        <f aca="false">IF($A9="","",SUMIFS(Data_UseCase!$C:$C,Data_UseCase!$A:$A,B$4,Data_UseCase!$B:$B,$A9)/1000000000)</f>
        <v>0</v>
      </c>
      <c r="C9" s="21" t="n">
        <f aca="false">IF($A9="","",SUMIFS(Data_UseCase!$C:$C,Data_UseCase!$A:$A,C$4,Data_UseCase!$B:$B,$A9)/1000000000)</f>
        <v>0</v>
      </c>
      <c r="D9" s="21" t="n">
        <f aca="false">IF($A9="","",SUMIFS(Data_UseCase!$C:$C,Data_UseCase!$A:$A,D$4,Data_UseCase!$B:$B,$A9)/1000000000)</f>
        <v>0</v>
      </c>
      <c r="E9" s="21" t="n">
        <f aca="false">IF($A9="","",SUMIFS(Data_UseCase!$C:$C,Data_UseCase!$A:$A,E$4,Data_UseCase!$B:$B,$A9)/1000000000)</f>
        <v>0</v>
      </c>
      <c r="F9" s="21" t="n">
        <f aca="false">IF($A9="","",SUMIFS(Data_UseCase!$C:$C,Data_UseCase!$A:$A,F$4,Data_UseCase!$B:$B,$A9)/1000000000)</f>
        <v>0</v>
      </c>
      <c r="G9" s="21" t="n">
        <f aca="false">IF($A9="","",SUMIFS(Data_UseCase!$C:$C,Data_UseCase!$A:$A,G$4,Data_UseCase!$B:$B,$A9)/1000000000)</f>
        <v>0</v>
      </c>
      <c r="H9" s="21" t="n">
        <f aca="false">IF($A9="","",SUMIFS(Data_UseCase!$C:$C,Data_UseCase!$A:$A,H$4,Data_UseCase!$B:$B,$A9)/1000000000)</f>
        <v>1.007572766</v>
      </c>
      <c r="I9" s="21" t="n">
        <f aca="false">IF($A9="","",SUMIFS(Data_UseCase!$C:$C,Data_UseCase!$A:$A,I$4,Data_UseCase!$B:$B,$A9)/1000000000)</f>
        <v>4.517645666</v>
      </c>
      <c r="J9" s="21" t="n">
        <f aca="false">IF($A9="","",SUMIFS(Data_UseCase!$C:$C,Data_UseCase!$A:$A,J$4,Data_UseCase!$B:$B,$A9)/1000000000)</f>
        <v>65.307173546</v>
      </c>
      <c r="K9" s="21" t="n">
        <f aca="false">IF($A9="","",SUMIFS(Data_UseCase!$C:$C,Data_UseCase!$A:$A,K$4,Data_UseCase!$B:$B,$A9)/1000000000)</f>
        <v>381.895724649</v>
      </c>
      <c r="L9" s="21" t="n">
        <f aca="false">IF($A9="","",SUMIFS(Data_UseCase!$C:$C,Data_UseCase!$A:$A,L$4,Data_UseCase!$B:$B,$A9)/1000000000)</f>
        <v>713.26336895</v>
      </c>
      <c r="M9" s="21" t="n">
        <f aca="false">IF($A9="","",SUMIFS(Data_UseCase!$C:$C,Data_UseCase!$A:$A,M$4,Data_UseCase!$B:$B,$A9)/1000000000)</f>
        <v>757.187502344</v>
      </c>
      <c r="N9" s="25" t="n">
        <f aca="false">IF($A9="","",IF(M$20=0,0,M9/M$20))</f>
        <v>0.125357221036686</v>
      </c>
      <c r="O9" s="25" t="n">
        <f aca="false">IF(OR($A9="",N(M9)=0),"",SUMIFS(Data_UseCase!$D:$D,Data_UseCase!$A:$A,M$4,Data_UseCase!$B:$B,$A9)/1000000000/M9)</f>
        <v>0.938900560381962</v>
      </c>
    </row>
    <row r="10" customFormat="false" ht="15" hidden="false" customHeight="false" outlineLevel="0" collapsed="false">
      <c r="A10" s="3" t="str">
        <f aca="false">IF(INDEX(Data_Lists!$C:$C,6+1)="","",INDEX(Data_Lists!$C:$C,6+1))</f>
        <v>doc_classification</v>
      </c>
      <c r="B10" s="21" t="n">
        <f aca="false">IF($A10="","",SUMIFS(Data_UseCase!$C:$C,Data_UseCase!$A:$A,B$4,Data_UseCase!$B:$B,$A10)/1000000000)</f>
        <v>0</v>
      </c>
      <c r="C10" s="21" t="n">
        <f aca="false">IF($A10="","",SUMIFS(Data_UseCase!$C:$C,Data_UseCase!$A:$A,C$4,Data_UseCase!$B:$B,$A10)/1000000000)</f>
        <v>0</v>
      </c>
      <c r="D10" s="21" t="n">
        <f aca="false">IF($A10="","",SUMIFS(Data_UseCase!$C:$C,Data_UseCase!$A:$A,D$4,Data_UseCase!$B:$B,$A10)/1000000000)</f>
        <v>0</v>
      </c>
      <c r="E10" s="21" t="n">
        <f aca="false">IF($A10="","",SUMIFS(Data_UseCase!$C:$C,Data_UseCase!$A:$A,E$4,Data_UseCase!$B:$B,$A10)/1000000000)</f>
        <v>0</v>
      </c>
      <c r="F10" s="21" t="n">
        <f aca="false">IF($A10="","",SUMIFS(Data_UseCase!$C:$C,Data_UseCase!$A:$A,F$4,Data_UseCase!$B:$B,$A10)/1000000000)</f>
        <v>0</v>
      </c>
      <c r="G10" s="21" t="n">
        <f aca="false">IF($A10="","",SUMIFS(Data_UseCase!$C:$C,Data_UseCase!$A:$A,G$4,Data_UseCase!$B:$B,$A10)/1000000000)</f>
        <v>0</v>
      </c>
      <c r="H10" s="21" t="n">
        <f aca="false">IF($A10="","",SUMIFS(Data_UseCase!$C:$C,Data_UseCase!$A:$A,H$4,Data_UseCase!$B:$B,$A10)/1000000000)</f>
        <v>0.332879425</v>
      </c>
      <c r="I10" s="21" t="n">
        <f aca="false">IF($A10="","",SUMIFS(Data_UseCase!$C:$C,Data_UseCase!$A:$A,I$4,Data_UseCase!$B:$B,$A10)/1000000000)</f>
        <v>28.958845517</v>
      </c>
      <c r="J10" s="21" t="n">
        <f aca="false">IF($A10="","",SUMIFS(Data_UseCase!$C:$C,Data_UseCase!$A:$A,J$4,Data_UseCase!$B:$B,$A10)/1000000000)</f>
        <v>182.877971218</v>
      </c>
      <c r="K10" s="21" t="n">
        <f aca="false">IF($A10="","",SUMIFS(Data_UseCase!$C:$C,Data_UseCase!$A:$A,K$4,Data_UseCase!$B:$B,$A10)/1000000000)</f>
        <v>397.931192665</v>
      </c>
      <c r="L10" s="21" t="n">
        <f aca="false">IF($A10="","",SUMIFS(Data_UseCase!$C:$C,Data_UseCase!$A:$A,L$4,Data_UseCase!$B:$B,$A10)/1000000000)</f>
        <v>519.092905834</v>
      </c>
      <c r="M10" s="21" t="n">
        <f aca="false">IF($A10="","",SUMIFS(Data_UseCase!$C:$C,Data_UseCase!$A:$A,M$4,Data_UseCase!$B:$B,$A10)/1000000000)</f>
        <v>558.150223901</v>
      </c>
      <c r="N10" s="25" t="n">
        <f aca="false">IF($A10="","",IF(M$20=0,0,M10/M$20))</f>
        <v>0.0924053299514791</v>
      </c>
      <c r="O10" s="25" t="n">
        <f aca="false">IF(OR($A10="",N(M10)=0),"",SUMIFS(Data_UseCase!$D:$D,Data_UseCase!$A:$A,M$4,Data_UseCase!$B:$B,$A10)/1000000000/M10)</f>
        <v>0.97581506596261</v>
      </c>
    </row>
    <row r="11" customFormat="false" ht="15" hidden="false" customHeight="false" outlineLevel="0" collapsed="false">
      <c r="A11" s="3" t="str">
        <f aca="false">IF(INDEX(Data_Lists!$C:$C,7+1)="","",INDEX(Data_Lists!$C:$C,7+1))</f>
        <v>ticket_routing</v>
      </c>
      <c r="B11" s="21" t="n">
        <f aca="false">IF($A11="","",SUMIFS(Data_UseCase!$C:$C,Data_UseCase!$A:$A,B$4,Data_UseCase!$B:$B,$A11)/1000000000)</f>
        <v>0</v>
      </c>
      <c r="C11" s="21" t="n">
        <f aca="false">IF($A11="","",SUMIFS(Data_UseCase!$C:$C,Data_UseCase!$A:$A,C$4,Data_UseCase!$B:$B,$A11)/1000000000)</f>
        <v>0</v>
      </c>
      <c r="D11" s="21" t="n">
        <f aca="false">IF($A11="","",SUMIFS(Data_UseCase!$C:$C,Data_UseCase!$A:$A,D$4,Data_UseCase!$B:$B,$A11)/1000000000)</f>
        <v>0</v>
      </c>
      <c r="E11" s="21" t="n">
        <f aca="false">IF($A11="","",SUMIFS(Data_UseCase!$C:$C,Data_UseCase!$A:$A,E$4,Data_UseCase!$B:$B,$A11)/1000000000)</f>
        <v>0</v>
      </c>
      <c r="F11" s="21" t="n">
        <f aca="false">IF($A11="","",SUMIFS(Data_UseCase!$C:$C,Data_UseCase!$A:$A,F$4,Data_UseCase!$B:$B,$A11)/1000000000)</f>
        <v>0</v>
      </c>
      <c r="G11" s="21" t="n">
        <f aca="false">IF($A11="","",SUMIFS(Data_UseCase!$C:$C,Data_UseCase!$A:$A,G$4,Data_UseCase!$B:$B,$A11)/1000000000)</f>
        <v>0</v>
      </c>
      <c r="H11" s="21" t="n">
        <f aca="false">IF($A11="","",SUMIFS(Data_UseCase!$C:$C,Data_UseCase!$A:$A,H$4,Data_UseCase!$B:$B,$A11)/1000000000)</f>
        <v>0.470964886</v>
      </c>
      <c r="I11" s="21" t="n">
        <f aca="false">IF($A11="","",SUMIFS(Data_UseCase!$C:$C,Data_UseCase!$A:$A,I$4,Data_UseCase!$B:$B,$A11)/1000000000)</f>
        <v>8.268229716</v>
      </c>
      <c r="J11" s="21" t="n">
        <f aca="false">IF($A11="","",SUMIFS(Data_UseCase!$C:$C,Data_UseCase!$A:$A,J$4,Data_UseCase!$B:$B,$A11)/1000000000)</f>
        <v>116.147834222</v>
      </c>
      <c r="K11" s="21" t="n">
        <f aca="false">IF($A11="","",SUMIFS(Data_UseCase!$C:$C,Data_UseCase!$A:$A,K$4,Data_UseCase!$B:$B,$A11)/1000000000)</f>
        <v>318.538592177</v>
      </c>
      <c r="L11" s="21" t="n">
        <f aca="false">IF($A11="","",SUMIFS(Data_UseCase!$C:$C,Data_UseCase!$A:$A,L$4,Data_UseCase!$B:$B,$A11)/1000000000)</f>
        <v>363.033389471</v>
      </c>
      <c r="M11" s="21" t="n">
        <f aca="false">IF($A11="","",SUMIFS(Data_UseCase!$C:$C,Data_UseCase!$A:$A,M$4,Data_UseCase!$B:$B,$A11)/1000000000)</f>
        <v>393.829330701</v>
      </c>
      <c r="N11" s="25" t="n">
        <f aca="false">IF($A11="","",IF(M$20=0,0,M11/M$20))</f>
        <v>0.065200957895613</v>
      </c>
      <c r="O11" s="25" t="n">
        <f aca="false">IF(OR($A11="",N(M11)=0),"",SUMIFS(Data_UseCase!$D:$D,Data_UseCase!$A:$A,M$4,Data_UseCase!$B:$B,$A11)/1000000000/M11)</f>
        <v>0.901630411033523</v>
      </c>
    </row>
    <row r="12" customFormat="false" ht="15" hidden="false" customHeight="false" outlineLevel="0" collapsed="false">
      <c r="A12" s="3" t="str">
        <f aca="false">IF(INDEX(Data_Lists!$C:$C,8+1)="","",INDEX(Data_Lists!$C:$C,8+1))</f>
        <v>rag_rerank</v>
      </c>
      <c r="B12" s="21" t="n">
        <f aca="false">IF($A12="","",SUMIFS(Data_UseCase!$C:$C,Data_UseCase!$A:$A,B$4,Data_UseCase!$B:$B,$A12)/1000000000)</f>
        <v>0</v>
      </c>
      <c r="C12" s="21" t="n">
        <f aca="false">IF($A12="","",SUMIFS(Data_UseCase!$C:$C,Data_UseCase!$A:$A,C$4,Data_UseCase!$B:$B,$A12)/1000000000)</f>
        <v>0</v>
      </c>
      <c r="D12" s="21" t="n">
        <f aca="false">IF($A12="","",SUMIFS(Data_UseCase!$C:$C,Data_UseCase!$A:$A,D$4,Data_UseCase!$B:$B,$A12)/1000000000)</f>
        <v>0</v>
      </c>
      <c r="E12" s="21" t="n">
        <f aca="false">IF($A12="","",SUMIFS(Data_UseCase!$C:$C,Data_UseCase!$A:$A,E$4,Data_UseCase!$B:$B,$A12)/1000000000)</f>
        <v>0</v>
      </c>
      <c r="F12" s="21" t="n">
        <f aca="false">IF($A12="","",SUMIFS(Data_UseCase!$C:$C,Data_UseCase!$A:$A,F$4,Data_UseCase!$B:$B,$A12)/1000000000)</f>
        <v>0</v>
      </c>
      <c r="G12" s="21" t="n">
        <f aca="false">IF($A12="","",SUMIFS(Data_UseCase!$C:$C,Data_UseCase!$A:$A,G$4,Data_UseCase!$B:$B,$A12)/1000000000)</f>
        <v>0</v>
      </c>
      <c r="H12" s="21" t="n">
        <f aca="false">IF($A12="","",SUMIFS(Data_UseCase!$C:$C,Data_UseCase!$A:$A,H$4,Data_UseCase!$B:$B,$A12)/1000000000)</f>
        <v>1.060348436</v>
      </c>
      <c r="I12" s="21" t="n">
        <f aca="false">IF($A12="","",SUMIFS(Data_UseCase!$C:$C,Data_UseCase!$A:$A,I$4,Data_UseCase!$B:$B,$A12)/1000000000)</f>
        <v>4.455408354</v>
      </c>
      <c r="J12" s="21" t="n">
        <f aca="false">IF($A12="","",SUMIFS(Data_UseCase!$C:$C,Data_UseCase!$A:$A,J$4,Data_UseCase!$B:$B,$A12)/1000000000)</f>
        <v>20.510268837</v>
      </c>
      <c r="K12" s="21" t="n">
        <f aca="false">IF($A12="","",SUMIFS(Data_UseCase!$C:$C,Data_UseCase!$A:$A,K$4,Data_UseCase!$B:$B,$A12)/1000000000)</f>
        <v>114.386083266</v>
      </c>
      <c r="L12" s="21" t="n">
        <f aca="false">IF($A12="","",SUMIFS(Data_UseCase!$C:$C,Data_UseCase!$A:$A,L$4,Data_UseCase!$B:$B,$A12)/1000000000)</f>
        <v>258.945630947</v>
      </c>
      <c r="M12" s="21" t="n">
        <f aca="false">IF($A12="","",SUMIFS(Data_UseCase!$C:$C,Data_UseCase!$A:$A,M$4,Data_UseCase!$B:$B,$A12)/1000000000)</f>
        <v>313.403228527</v>
      </c>
      <c r="N12" s="25" t="n">
        <f aca="false">IF($A12="","",IF(M$20=0,0,M12/M$20))</f>
        <v>0.0518859036506146</v>
      </c>
      <c r="O12" s="25" t="n">
        <f aca="false">IF(OR($A12="",N(M12)=0),"",SUMIFS(Data_UseCase!$D:$D,Data_UseCase!$A:$A,M$4,Data_UseCase!$B:$B,$A12)/1000000000/M12)</f>
        <v>0.0508933810827857</v>
      </c>
    </row>
    <row r="13" customFormat="false" ht="15" hidden="false" customHeight="false" outlineLevel="0" collapsed="false">
      <c r="A13" s="3" t="str">
        <f aca="false">IF(INDEX(Data_Lists!$C:$C,9+1)="","",INDEX(Data_Lists!$C:$C,9+1))</f>
        <v>ci_lint</v>
      </c>
      <c r="B13" s="21" t="n">
        <f aca="false">IF($A13="","",SUMIFS(Data_UseCase!$C:$C,Data_UseCase!$A:$A,B$4,Data_UseCase!$B:$B,$A13)/1000000000)</f>
        <v>0</v>
      </c>
      <c r="C13" s="21" t="n">
        <f aca="false">IF($A13="","",SUMIFS(Data_UseCase!$C:$C,Data_UseCase!$A:$A,C$4,Data_UseCase!$B:$B,$A13)/1000000000)</f>
        <v>0</v>
      </c>
      <c r="D13" s="21" t="n">
        <f aca="false">IF($A13="","",SUMIFS(Data_UseCase!$C:$C,Data_UseCase!$A:$A,D$4,Data_UseCase!$B:$B,$A13)/1000000000)</f>
        <v>0</v>
      </c>
      <c r="E13" s="21" t="n">
        <f aca="false">IF($A13="","",SUMIFS(Data_UseCase!$C:$C,Data_UseCase!$A:$A,E$4,Data_UseCase!$B:$B,$A13)/1000000000)</f>
        <v>0</v>
      </c>
      <c r="F13" s="21" t="n">
        <f aca="false">IF($A13="","",SUMIFS(Data_UseCase!$C:$C,Data_UseCase!$A:$A,F$4,Data_UseCase!$B:$B,$A13)/1000000000)</f>
        <v>0</v>
      </c>
      <c r="G13" s="21" t="n">
        <f aca="false">IF($A13="","",SUMIFS(Data_UseCase!$C:$C,Data_UseCase!$A:$A,G$4,Data_UseCase!$B:$B,$A13)/1000000000)</f>
        <v>0</v>
      </c>
      <c r="H13" s="21" t="n">
        <f aca="false">IF($A13="","",SUMIFS(Data_UseCase!$C:$C,Data_UseCase!$A:$A,H$4,Data_UseCase!$B:$B,$A13)/1000000000)</f>
        <v>1.03075725</v>
      </c>
      <c r="I13" s="21" t="n">
        <f aca="false">IF($A13="","",SUMIFS(Data_UseCase!$C:$C,Data_UseCase!$A:$A,I$4,Data_UseCase!$B:$B,$A13)/1000000000)</f>
        <v>18.275088913</v>
      </c>
      <c r="J13" s="21" t="n">
        <f aca="false">IF($A13="","",SUMIFS(Data_UseCase!$C:$C,Data_UseCase!$A:$A,J$4,Data_UseCase!$B:$B,$A13)/1000000000)</f>
        <v>44.531159085</v>
      </c>
      <c r="K13" s="21" t="n">
        <f aca="false">IF($A13="","",SUMIFS(Data_UseCase!$C:$C,Data_UseCase!$A:$A,K$4,Data_UseCase!$B:$B,$A13)/1000000000)</f>
        <v>52.835793184</v>
      </c>
      <c r="L13" s="21" t="n">
        <f aca="false">IF($A13="","",SUMIFS(Data_UseCase!$C:$C,Data_UseCase!$A:$A,L$4,Data_UseCase!$B:$B,$A13)/1000000000)</f>
        <v>56.490183689</v>
      </c>
      <c r="M13" s="21" t="n">
        <f aca="false">IF($A13="","",SUMIFS(Data_UseCase!$C:$C,Data_UseCase!$A:$A,M$4,Data_UseCase!$B:$B,$A13)/1000000000)</f>
        <v>69.144671047</v>
      </c>
      <c r="N13" s="25" t="n">
        <f aca="false">IF($A13="","",IF(M$20=0,0,M13/M$20))</f>
        <v>0.0114473413587984</v>
      </c>
      <c r="O13" s="25" t="n">
        <f aca="false">IF(OR($A13="",N(M13)=0),"",SUMIFS(Data_UseCase!$D:$D,Data_UseCase!$A:$A,M$4,Data_UseCase!$B:$B,$A13)/1000000000/M13)</f>
        <v>0.256174907245705</v>
      </c>
    </row>
    <row r="14" customFormat="false" ht="15" hidden="false" customHeight="false" outlineLevel="0" collapsed="false">
      <c r="A14" s="3" t="str">
        <f aca="false">IF(INDEX(Data_Lists!$C:$C,10+1)="","",INDEX(Data_Lists!$C:$C,10+1))</f>
        <v>lead_scoring</v>
      </c>
      <c r="B14" s="21" t="n">
        <f aca="false">IF($A14="","",SUMIFS(Data_UseCase!$C:$C,Data_UseCase!$A:$A,B$4,Data_UseCase!$B:$B,$A14)/1000000000)</f>
        <v>0</v>
      </c>
      <c r="C14" s="21" t="n">
        <f aca="false">IF($A14="","",SUMIFS(Data_UseCase!$C:$C,Data_UseCase!$A:$A,C$4,Data_UseCase!$B:$B,$A14)/1000000000)</f>
        <v>0</v>
      </c>
      <c r="D14" s="21" t="n">
        <f aca="false">IF($A14="","",SUMIFS(Data_UseCase!$C:$C,Data_UseCase!$A:$A,D$4,Data_UseCase!$B:$B,$A14)/1000000000)</f>
        <v>0</v>
      </c>
      <c r="E14" s="21" t="n">
        <f aca="false">IF($A14="","",SUMIFS(Data_UseCase!$C:$C,Data_UseCase!$A:$A,E$4,Data_UseCase!$B:$B,$A14)/1000000000)</f>
        <v>0</v>
      </c>
      <c r="F14" s="21" t="n">
        <f aca="false">IF($A14="","",SUMIFS(Data_UseCase!$C:$C,Data_UseCase!$A:$A,F$4,Data_UseCase!$B:$B,$A14)/1000000000)</f>
        <v>0</v>
      </c>
      <c r="G14" s="21" t="n">
        <f aca="false">IF($A14="","",SUMIFS(Data_UseCase!$C:$C,Data_UseCase!$A:$A,G$4,Data_UseCase!$B:$B,$A14)/1000000000)</f>
        <v>0</v>
      </c>
      <c r="H14" s="21" t="n">
        <f aca="false">IF($A14="","",SUMIFS(Data_UseCase!$C:$C,Data_UseCase!$A:$A,H$4,Data_UseCase!$B:$B,$A14)/1000000000)</f>
        <v>0.469002459</v>
      </c>
      <c r="I14" s="21" t="n">
        <f aca="false">IF($A14="","",SUMIFS(Data_UseCase!$C:$C,Data_UseCase!$A:$A,I$4,Data_UseCase!$B:$B,$A14)/1000000000)</f>
        <v>1.797828035</v>
      </c>
      <c r="J14" s="21" t="n">
        <f aca="false">IF($A14="","",SUMIFS(Data_UseCase!$C:$C,Data_UseCase!$A:$A,J$4,Data_UseCase!$B:$B,$A14)/1000000000)</f>
        <v>7.879343095</v>
      </c>
      <c r="K14" s="21" t="n">
        <f aca="false">IF($A14="","",SUMIFS(Data_UseCase!$C:$C,Data_UseCase!$A:$A,K$4,Data_UseCase!$B:$B,$A14)/1000000000)</f>
        <v>24.397700375</v>
      </c>
      <c r="L14" s="21" t="n">
        <f aca="false">IF($A14="","",SUMIFS(Data_UseCase!$C:$C,Data_UseCase!$A:$A,L$4,Data_UseCase!$B:$B,$A14)/1000000000)</f>
        <v>54.493637387</v>
      </c>
      <c r="M14" s="21" t="n">
        <f aca="false">IF($A14="","",SUMIFS(Data_UseCase!$C:$C,Data_UseCase!$A:$A,M$4,Data_UseCase!$B:$B,$A14)/1000000000)</f>
        <v>90.088401044</v>
      </c>
      <c r="N14" s="25" t="n">
        <f aca="false">IF($A14="","",IF(M$20=0,0,M14/M$20))</f>
        <v>0.0149147094577688</v>
      </c>
      <c r="O14" s="25" t="n">
        <f aca="false">IF(OR($A14="",N(M14)=0),"",SUMIFS(Data_UseCase!$D:$D,Data_UseCase!$A:$A,M$4,Data_UseCase!$B:$B,$A14)/1000000000/M14)</f>
        <v>0.535212620795108</v>
      </c>
    </row>
    <row r="15" customFormat="false" ht="15" hidden="false" customHeight="false" outlineLevel="0" collapsed="false">
      <c r="A15" s="3" t="str">
        <f aca="false">IF(INDEX(Data_Lists!$C:$C,11+1)="","",INDEX(Data_Lists!$C:$C,11+1))</f>
        <v/>
      </c>
      <c r="B15" s="21" t="str">
        <f aca="false">IF($A15="","",SUMIFS(Data_UseCase!$C:$C,Data_UseCase!$A:$A,B$4,Data_UseCase!$B:$B,$A15)/1000000000)</f>
        <v/>
      </c>
      <c r="C15" s="21" t="str">
        <f aca="false">IF($A15="","",SUMIFS(Data_UseCase!$C:$C,Data_UseCase!$A:$A,C$4,Data_UseCase!$B:$B,$A15)/1000000000)</f>
        <v/>
      </c>
      <c r="D15" s="21" t="str">
        <f aca="false">IF($A15="","",SUMIFS(Data_UseCase!$C:$C,Data_UseCase!$A:$A,D$4,Data_UseCase!$B:$B,$A15)/1000000000)</f>
        <v/>
      </c>
      <c r="E15" s="21" t="str">
        <f aca="false">IF($A15="","",SUMIFS(Data_UseCase!$C:$C,Data_UseCase!$A:$A,E$4,Data_UseCase!$B:$B,$A15)/1000000000)</f>
        <v/>
      </c>
      <c r="F15" s="21" t="str">
        <f aca="false">IF($A15="","",SUMIFS(Data_UseCase!$C:$C,Data_UseCase!$A:$A,F$4,Data_UseCase!$B:$B,$A15)/1000000000)</f>
        <v/>
      </c>
      <c r="G15" s="21" t="str">
        <f aca="false">IF($A15="","",SUMIFS(Data_UseCase!$C:$C,Data_UseCase!$A:$A,G$4,Data_UseCase!$B:$B,$A15)/1000000000)</f>
        <v/>
      </c>
      <c r="H15" s="21" t="str">
        <f aca="false">IF($A15="","",SUMIFS(Data_UseCase!$C:$C,Data_UseCase!$A:$A,H$4,Data_UseCase!$B:$B,$A15)/1000000000)</f>
        <v/>
      </c>
      <c r="I15" s="21" t="str">
        <f aca="false">IF($A15="","",SUMIFS(Data_UseCase!$C:$C,Data_UseCase!$A:$A,I$4,Data_UseCase!$B:$B,$A15)/1000000000)</f>
        <v/>
      </c>
      <c r="J15" s="21" t="str">
        <f aca="false">IF($A15="","",SUMIFS(Data_UseCase!$C:$C,Data_UseCase!$A:$A,J$4,Data_UseCase!$B:$B,$A15)/1000000000)</f>
        <v/>
      </c>
      <c r="K15" s="21" t="str">
        <f aca="false">IF($A15="","",SUMIFS(Data_UseCase!$C:$C,Data_UseCase!$A:$A,K$4,Data_UseCase!$B:$B,$A15)/1000000000)</f>
        <v/>
      </c>
      <c r="L15" s="21" t="str">
        <f aca="false">IF($A15="","",SUMIFS(Data_UseCase!$C:$C,Data_UseCase!$A:$A,L$4,Data_UseCase!$B:$B,$A15)/1000000000)</f>
        <v/>
      </c>
      <c r="M15" s="21" t="str">
        <f aca="false">IF($A15="","",SUMIFS(Data_UseCase!$C:$C,Data_UseCase!$A:$A,M$4,Data_UseCase!$B:$B,$A15)/1000000000)</f>
        <v/>
      </c>
      <c r="N15" s="25" t="str">
        <f aca="false">IF($A15="","",IF(M$20=0,0,M15/M$20))</f>
        <v/>
      </c>
      <c r="O15" s="25" t="str">
        <f aca="false">IF(OR($A15="",N(M15)=0),"",SUMIFS(Data_UseCase!$D:$D,Data_UseCase!$A:$A,M$4,Data_UseCase!$B:$B,$A15)/1000000000/M15)</f>
        <v/>
      </c>
    </row>
    <row r="16" customFormat="false" ht="15" hidden="false" customHeight="false" outlineLevel="0" collapsed="false">
      <c r="A16" s="3" t="str">
        <f aca="false">IF(INDEX(Data_Lists!$C:$C,12+1)="","",INDEX(Data_Lists!$C:$C,12+1))</f>
        <v/>
      </c>
      <c r="B16" s="21" t="str">
        <f aca="false">IF($A16="","",SUMIFS(Data_UseCase!$C:$C,Data_UseCase!$A:$A,B$4,Data_UseCase!$B:$B,$A16)/1000000000)</f>
        <v/>
      </c>
      <c r="C16" s="21" t="str">
        <f aca="false">IF($A16="","",SUMIFS(Data_UseCase!$C:$C,Data_UseCase!$A:$A,C$4,Data_UseCase!$B:$B,$A16)/1000000000)</f>
        <v/>
      </c>
      <c r="D16" s="21" t="str">
        <f aca="false">IF($A16="","",SUMIFS(Data_UseCase!$C:$C,Data_UseCase!$A:$A,D$4,Data_UseCase!$B:$B,$A16)/1000000000)</f>
        <v/>
      </c>
      <c r="E16" s="21" t="str">
        <f aca="false">IF($A16="","",SUMIFS(Data_UseCase!$C:$C,Data_UseCase!$A:$A,E$4,Data_UseCase!$B:$B,$A16)/1000000000)</f>
        <v/>
      </c>
      <c r="F16" s="21" t="str">
        <f aca="false">IF($A16="","",SUMIFS(Data_UseCase!$C:$C,Data_UseCase!$A:$A,F$4,Data_UseCase!$B:$B,$A16)/1000000000)</f>
        <v/>
      </c>
      <c r="G16" s="21" t="str">
        <f aca="false">IF($A16="","",SUMIFS(Data_UseCase!$C:$C,Data_UseCase!$A:$A,G$4,Data_UseCase!$B:$B,$A16)/1000000000)</f>
        <v/>
      </c>
      <c r="H16" s="21" t="str">
        <f aca="false">IF($A16="","",SUMIFS(Data_UseCase!$C:$C,Data_UseCase!$A:$A,H$4,Data_UseCase!$B:$B,$A16)/1000000000)</f>
        <v/>
      </c>
      <c r="I16" s="21" t="str">
        <f aca="false">IF($A16="","",SUMIFS(Data_UseCase!$C:$C,Data_UseCase!$A:$A,I$4,Data_UseCase!$B:$B,$A16)/1000000000)</f>
        <v/>
      </c>
      <c r="J16" s="21" t="str">
        <f aca="false">IF($A16="","",SUMIFS(Data_UseCase!$C:$C,Data_UseCase!$A:$A,J$4,Data_UseCase!$B:$B,$A16)/1000000000)</f>
        <v/>
      </c>
      <c r="K16" s="21" t="str">
        <f aca="false">IF($A16="","",SUMIFS(Data_UseCase!$C:$C,Data_UseCase!$A:$A,K$4,Data_UseCase!$B:$B,$A16)/1000000000)</f>
        <v/>
      </c>
      <c r="L16" s="21" t="str">
        <f aca="false">IF($A16="","",SUMIFS(Data_UseCase!$C:$C,Data_UseCase!$A:$A,L$4,Data_UseCase!$B:$B,$A16)/1000000000)</f>
        <v/>
      </c>
      <c r="M16" s="21" t="str">
        <f aca="false">IF($A16="","",SUMIFS(Data_UseCase!$C:$C,Data_UseCase!$A:$A,M$4,Data_UseCase!$B:$B,$A16)/1000000000)</f>
        <v/>
      </c>
      <c r="N16" s="25" t="str">
        <f aca="false">IF($A16="","",IF(M$20=0,0,M16/M$20))</f>
        <v/>
      </c>
      <c r="O16" s="25" t="str">
        <f aca="false">IF(OR($A16="",N(M16)=0),"",SUMIFS(Data_UseCase!$D:$D,Data_UseCase!$A:$A,M$4,Data_UseCase!$B:$B,$A16)/1000000000/M16)</f>
        <v/>
      </c>
    </row>
    <row r="17" customFormat="false" ht="15" hidden="false" customHeight="false" outlineLevel="0" collapsed="false">
      <c r="A17" s="3" t="str">
        <f aca="false">IF(INDEX(Data_Lists!$C:$C,13+1)="","",INDEX(Data_Lists!$C:$C,13+1))</f>
        <v/>
      </c>
      <c r="B17" s="21" t="str">
        <f aca="false">IF($A17="","",SUMIFS(Data_UseCase!$C:$C,Data_UseCase!$A:$A,B$4,Data_UseCase!$B:$B,$A17)/1000000000)</f>
        <v/>
      </c>
      <c r="C17" s="21" t="str">
        <f aca="false">IF($A17="","",SUMIFS(Data_UseCase!$C:$C,Data_UseCase!$A:$A,C$4,Data_UseCase!$B:$B,$A17)/1000000000)</f>
        <v/>
      </c>
      <c r="D17" s="21" t="str">
        <f aca="false">IF($A17="","",SUMIFS(Data_UseCase!$C:$C,Data_UseCase!$A:$A,D$4,Data_UseCase!$B:$B,$A17)/1000000000)</f>
        <v/>
      </c>
      <c r="E17" s="21" t="str">
        <f aca="false">IF($A17="","",SUMIFS(Data_UseCase!$C:$C,Data_UseCase!$A:$A,E$4,Data_UseCase!$B:$B,$A17)/1000000000)</f>
        <v/>
      </c>
      <c r="F17" s="21" t="str">
        <f aca="false">IF($A17="","",SUMIFS(Data_UseCase!$C:$C,Data_UseCase!$A:$A,F$4,Data_UseCase!$B:$B,$A17)/1000000000)</f>
        <v/>
      </c>
      <c r="G17" s="21" t="str">
        <f aca="false">IF($A17="","",SUMIFS(Data_UseCase!$C:$C,Data_UseCase!$A:$A,G$4,Data_UseCase!$B:$B,$A17)/1000000000)</f>
        <v/>
      </c>
      <c r="H17" s="21" t="str">
        <f aca="false">IF($A17="","",SUMIFS(Data_UseCase!$C:$C,Data_UseCase!$A:$A,H$4,Data_UseCase!$B:$B,$A17)/1000000000)</f>
        <v/>
      </c>
      <c r="I17" s="21" t="str">
        <f aca="false">IF($A17="","",SUMIFS(Data_UseCase!$C:$C,Data_UseCase!$A:$A,I$4,Data_UseCase!$B:$B,$A17)/1000000000)</f>
        <v/>
      </c>
      <c r="J17" s="21" t="str">
        <f aca="false">IF($A17="","",SUMIFS(Data_UseCase!$C:$C,Data_UseCase!$A:$A,J$4,Data_UseCase!$B:$B,$A17)/1000000000)</f>
        <v/>
      </c>
      <c r="K17" s="21" t="str">
        <f aca="false">IF($A17="","",SUMIFS(Data_UseCase!$C:$C,Data_UseCase!$A:$A,K$4,Data_UseCase!$B:$B,$A17)/1000000000)</f>
        <v/>
      </c>
      <c r="L17" s="21" t="str">
        <f aca="false">IF($A17="","",SUMIFS(Data_UseCase!$C:$C,Data_UseCase!$A:$A,L$4,Data_UseCase!$B:$B,$A17)/1000000000)</f>
        <v/>
      </c>
      <c r="M17" s="21" t="str">
        <f aca="false">IF($A17="","",SUMIFS(Data_UseCase!$C:$C,Data_UseCase!$A:$A,M$4,Data_UseCase!$B:$B,$A17)/1000000000)</f>
        <v/>
      </c>
      <c r="N17" s="25" t="str">
        <f aca="false">IF($A17="","",IF(M$20=0,0,M17/M$20))</f>
        <v/>
      </c>
      <c r="O17" s="25" t="str">
        <f aca="false">IF(OR($A17="",N(M17)=0),"",SUMIFS(Data_UseCase!$D:$D,Data_UseCase!$A:$A,M$4,Data_UseCase!$B:$B,$A17)/1000000000/M17)</f>
        <v/>
      </c>
    </row>
    <row r="18" customFormat="false" ht="15" hidden="false" customHeight="false" outlineLevel="0" collapsed="false">
      <c r="A18" s="3" t="str">
        <f aca="false">IF(INDEX(Data_Lists!$C:$C,14+1)="","",INDEX(Data_Lists!$C:$C,14+1))</f>
        <v/>
      </c>
      <c r="B18" s="21" t="str">
        <f aca="false">IF($A18="","",SUMIFS(Data_UseCase!$C:$C,Data_UseCase!$A:$A,B$4,Data_UseCase!$B:$B,$A18)/1000000000)</f>
        <v/>
      </c>
      <c r="C18" s="21" t="str">
        <f aca="false">IF($A18="","",SUMIFS(Data_UseCase!$C:$C,Data_UseCase!$A:$A,C$4,Data_UseCase!$B:$B,$A18)/1000000000)</f>
        <v/>
      </c>
      <c r="D18" s="21" t="str">
        <f aca="false">IF($A18="","",SUMIFS(Data_UseCase!$C:$C,Data_UseCase!$A:$A,D$4,Data_UseCase!$B:$B,$A18)/1000000000)</f>
        <v/>
      </c>
      <c r="E18" s="21" t="str">
        <f aca="false">IF($A18="","",SUMIFS(Data_UseCase!$C:$C,Data_UseCase!$A:$A,E$4,Data_UseCase!$B:$B,$A18)/1000000000)</f>
        <v/>
      </c>
      <c r="F18" s="21" t="str">
        <f aca="false">IF($A18="","",SUMIFS(Data_UseCase!$C:$C,Data_UseCase!$A:$A,F$4,Data_UseCase!$B:$B,$A18)/1000000000)</f>
        <v/>
      </c>
      <c r="G18" s="21" t="str">
        <f aca="false">IF($A18="","",SUMIFS(Data_UseCase!$C:$C,Data_UseCase!$A:$A,G$4,Data_UseCase!$B:$B,$A18)/1000000000)</f>
        <v/>
      </c>
      <c r="H18" s="21" t="str">
        <f aca="false">IF($A18="","",SUMIFS(Data_UseCase!$C:$C,Data_UseCase!$A:$A,H$4,Data_UseCase!$B:$B,$A18)/1000000000)</f>
        <v/>
      </c>
      <c r="I18" s="21" t="str">
        <f aca="false">IF($A18="","",SUMIFS(Data_UseCase!$C:$C,Data_UseCase!$A:$A,I$4,Data_UseCase!$B:$B,$A18)/1000000000)</f>
        <v/>
      </c>
      <c r="J18" s="21" t="str">
        <f aca="false">IF($A18="","",SUMIFS(Data_UseCase!$C:$C,Data_UseCase!$A:$A,J$4,Data_UseCase!$B:$B,$A18)/1000000000)</f>
        <v/>
      </c>
      <c r="K18" s="21" t="str">
        <f aca="false">IF($A18="","",SUMIFS(Data_UseCase!$C:$C,Data_UseCase!$A:$A,K$4,Data_UseCase!$B:$B,$A18)/1000000000)</f>
        <v/>
      </c>
      <c r="L18" s="21" t="str">
        <f aca="false">IF($A18="","",SUMIFS(Data_UseCase!$C:$C,Data_UseCase!$A:$A,L$4,Data_UseCase!$B:$B,$A18)/1000000000)</f>
        <v/>
      </c>
      <c r="M18" s="21" t="str">
        <f aca="false">IF($A18="","",SUMIFS(Data_UseCase!$C:$C,Data_UseCase!$A:$A,M$4,Data_UseCase!$B:$B,$A18)/1000000000)</f>
        <v/>
      </c>
      <c r="N18" s="25" t="str">
        <f aca="false">IF($A18="","",IF(M$20=0,0,M18/M$20))</f>
        <v/>
      </c>
      <c r="O18" s="25" t="str">
        <f aca="false">IF(OR($A18="",N(M18)=0),"",SUMIFS(Data_UseCase!$D:$D,Data_UseCase!$A:$A,M$4,Data_UseCase!$B:$B,$A18)/1000000000/M18)</f>
        <v/>
      </c>
    </row>
    <row r="19" customFormat="false" ht="15" hidden="false" customHeight="false" outlineLevel="0" collapsed="false">
      <c r="A19" s="3" t="str">
        <f aca="false">IF(INDEX(Data_Lists!$C:$C,15+1)="","",INDEX(Data_Lists!$C:$C,15+1))</f>
        <v/>
      </c>
      <c r="B19" s="21" t="str">
        <f aca="false">IF($A19="","",SUMIFS(Data_UseCase!$C:$C,Data_UseCase!$A:$A,B$4,Data_UseCase!$B:$B,$A19)/1000000000)</f>
        <v/>
      </c>
      <c r="C19" s="21" t="str">
        <f aca="false">IF($A19="","",SUMIFS(Data_UseCase!$C:$C,Data_UseCase!$A:$A,C$4,Data_UseCase!$B:$B,$A19)/1000000000)</f>
        <v/>
      </c>
      <c r="D19" s="21" t="str">
        <f aca="false">IF($A19="","",SUMIFS(Data_UseCase!$C:$C,Data_UseCase!$A:$A,D$4,Data_UseCase!$B:$B,$A19)/1000000000)</f>
        <v/>
      </c>
      <c r="E19" s="21" t="str">
        <f aca="false">IF($A19="","",SUMIFS(Data_UseCase!$C:$C,Data_UseCase!$A:$A,E$4,Data_UseCase!$B:$B,$A19)/1000000000)</f>
        <v/>
      </c>
      <c r="F19" s="21" t="str">
        <f aca="false">IF($A19="","",SUMIFS(Data_UseCase!$C:$C,Data_UseCase!$A:$A,F$4,Data_UseCase!$B:$B,$A19)/1000000000)</f>
        <v/>
      </c>
      <c r="G19" s="21" t="str">
        <f aca="false">IF($A19="","",SUMIFS(Data_UseCase!$C:$C,Data_UseCase!$A:$A,G$4,Data_UseCase!$B:$B,$A19)/1000000000)</f>
        <v/>
      </c>
      <c r="H19" s="21" t="str">
        <f aca="false">IF($A19="","",SUMIFS(Data_UseCase!$C:$C,Data_UseCase!$A:$A,H$4,Data_UseCase!$B:$B,$A19)/1000000000)</f>
        <v/>
      </c>
      <c r="I19" s="21" t="str">
        <f aca="false">IF($A19="","",SUMIFS(Data_UseCase!$C:$C,Data_UseCase!$A:$A,I$4,Data_UseCase!$B:$B,$A19)/1000000000)</f>
        <v/>
      </c>
      <c r="J19" s="21" t="str">
        <f aca="false">IF($A19="","",SUMIFS(Data_UseCase!$C:$C,Data_UseCase!$A:$A,J$4,Data_UseCase!$B:$B,$A19)/1000000000)</f>
        <v/>
      </c>
      <c r="K19" s="21" t="str">
        <f aca="false">IF($A19="","",SUMIFS(Data_UseCase!$C:$C,Data_UseCase!$A:$A,K$4,Data_UseCase!$B:$B,$A19)/1000000000)</f>
        <v/>
      </c>
      <c r="L19" s="21" t="str">
        <f aca="false">IF($A19="","",SUMIFS(Data_UseCase!$C:$C,Data_UseCase!$A:$A,L$4,Data_UseCase!$B:$B,$A19)/1000000000)</f>
        <v/>
      </c>
      <c r="M19" s="21" t="str">
        <f aca="false">IF($A19="","",SUMIFS(Data_UseCase!$C:$C,Data_UseCase!$A:$A,M$4,Data_UseCase!$B:$B,$A19)/1000000000)</f>
        <v/>
      </c>
      <c r="N19" s="25" t="str">
        <f aca="false">IF($A19="","",IF(M$20=0,0,M19/M$20))</f>
        <v/>
      </c>
      <c r="O19" s="25" t="str">
        <f aca="false">IF(OR($A19="",N(M19)=0),"",SUMIFS(Data_UseCase!$D:$D,Data_UseCase!$A:$A,M$4,Data_UseCase!$B:$B,$A19)/1000000000/M19)</f>
        <v/>
      </c>
    </row>
    <row r="20" customFormat="false" ht="15" hidden="false" customHeight="false" outlineLevel="0" collapsed="false">
      <c r="A20" s="2" t="s">
        <v>87</v>
      </c>
      <c r="B20" s="22" t="n">
        <f aca="false">SUM(B5:B19)</f>
        <v>0</v>
      </c>
      <c r="C20" s="22" t="n">
        <f aca="false">SUM(C5:C19)</f>
        <v>0</v>
      </c>
      <c r="D20" s="22" t="n">
        <f aca="false">SUM(D5:D19)</f>
        <v>0</v>
      </c>
      <c r="E20" s="22" t="n">
        <f aca="false">SUM(E5:E19)</f>
        <v>0</v>
      </c>
      <c r="F20" s="22" t="n">
        <f aca="false">SUM(F5:F19)</f>
        <v>0</v>
      </c>
      <c r="G20" s="22" t="n">
        <f aca="false">SUM(G5:G19)</f>
        <v>0</v>
      </c>
      <c r="H20" s="22" t="n">
        <f aca="false">SUM(H5:H19)</f>
        <v>7.269560879</v>
      </c>
      <c r="I20" s="22" t="n">
        <f aca="false">SUM(I5:I19)</f>
        <v>647.551300549</v>
      </c>
      <c r="J20" s="22" t="n">
        <f aca="false">SUM(J5:J19)</f>
        <v>2188.337202072</v>
      </c>
      <c r="K20" s="22" t="n">
        <f aca="false">SUM(K5:K19)</f>
        <v>4290.804947316</v>
      </c>
      <c r="L20" s="22" t="n">
        <f aca="false">SUM(L5:L19)</f>
        <v>5647.614294595</v>
      </c>
      <c r="M20" s="22" t="n">
        <f aca="false">SUM(M5:M19)</f>
        <v>6040.238416919</v>
      </c>
    </row>
    <row r="22" customFormat="false" ht="15" hidden="false" customHeight="false" outlineLevel="0" collapsed="false">
      <c r="A22" s="19" t="s">
        <v>88</v>
      </c>
      <c r="B22" s="20"/>
      <c r="C22" s="20"/>
      <c r="D22" s="20"/>
      <c r="E22" s="20"/>
      <c r="F22" s="20"/>
    </row>
    <row r="23" customFormat="false" ht="35.05" hidden="false" customHeight="false" outlineLevel="0" collapsed="false">
      <c r="A23" s="8" t="s">
        <v>89</v>
      </c>
      <c r="B23" s="8" t="s">
        <v>90</v>
      </c>
      <c r="C23" s="8" t="s">
        <v>91</v>
      </c>
      <c r="D23" s="8" t="s">
        <v>92</v>
      </c>
    </row>
    <row r="24" customFormat="false" ht="15" hidden="false" customHeight="false" outlineLevel="0" collapsed="false">
      <c r="A24" s="3" t="str">
        <f aca="false">IF(INDEX(Data_InferenceAcc!$A:$A,1+1)="","",INDEX(Data_InferenceAcc!$A:$A,1+1))</f>
        <v>fraud_triage</v>
      </c>
      <c r="B24" s="21" t="n">
        <f aca="false">IF($A24="","",INDEX(Data_InferenceAcc!$B:$B,1+1)/1000000000)</f>
        <v>4213.056106276</v>
      </c>
      <c r="C24" s="21" t="n">
        <f aca="false">IF($A24="","",INDEX(Data_InferenceAcc!$C:$C,1+1)/1000000000)</f>
        <v>4205.334133452</v>
      </c>
      <c r="D24" s="25" t="n">
        <f aca="false">IF(OR($A24="",N(B24)=0),"",C24/B24)</f>
        <v>0.998167132687244</v>
      </c>
    </row>
    <row r="25" customFormat="false" ht="15" hidden="false" customHeight="false" outlineLevel="0" collapsed="false">
      <c r="A25" s="3" t="str">
        <f aca="false">IF(INDEX(Data_InferenceAcc!$A:$A,2+1)="","",INDEX(Data_InferenceAcc!$A:$A,2+1))</f>
        <v>model_routing</v>
      </c>
      <c r="B25" s="21" t="n">
        <f aca="false">IF($A25="","",INDEX(Data_InferenceAcc!$B:$B,2+1)/1000000000)</f>
        <v>2133.572862451</v>
      </c>
      <c r="C25" s="21" t="n">
        <f aca="false">IF($A25="","",INDEX(Data_InferenceAcc!$C:$C,2+1)/1000000000)</f>
        <v>2131.369987987</v>
      </c>
      <c r="D25" s="25" t="n">
        <f aca="false">IF(OR($A25="",N(B25)=0),"",C25/B25)</f>
        <v>0.998967518521271</v>
      </c>
    </row>
    <row r="26" customFormat="false" ht="15" hidden="false" customHeight="false" outlineLevel="0" collapsed="false">
      <c r="A26" s="3" t="str">
        <f aca="false">IF(INDEX(Data_InferenceAcc!$A:$A,3+1)="","",INDEX(Data_InferenceAcc!$A:$A,3+1))</f>
        <v>data_enrichment</v>
      </c>
      <c r="B26" s="21" t="n">
        <f aca="false">IF($A26="","",INDEX(Data_InferenceAcc!$B:$B,3+1)/1000000000)</f>
        <v>1898.256000273</v>
      </c>
      <c r="C26" s="21" t="n">
        <f aca="false">IF($A26="","",INDEX(Data_InferenceAcc!$C:$C,3+1)/1000000000)</f>
        <v>1898.256000273</v>
      </c>
      <c r="D26" s="25" t="n">
        <f aca="false">IF(OR($A26="",N(B26)=0),"",C26/B26)</f>
        <v>1</v>
      </c>
    </row>
    <row r="27" customFormat="false" ht="15" hidden="false" customHeight="false" outlineLevel="0" collapsed="false">
      <c r="A27" s="3" t="str">
        <f aca="false">IF(INDEX(Data_InferenceAcc!$A:$A,4+1)="","",INDEX(Data_InferenceAcc!$A:$A,4+1))</f>
        <v>moderation</v>
      </c>
      <c r="B27" s="21" t="n">
        <f aca="false">IF($A27="","",INDEX(Data_InferenceAcc!$B:$B,4+1)/1000000000)</f>
        <v>1822.381788355</v>
      </c>
      <c r="C27" s="21" t="n">
        <f aca="false">IF($A27="","",INDEX(Data_InferenceAcc!$C:$C,4+1)/1000000000)</f>
        <v>409.438252986</v>
      </c>
      <c r="D27" s="25" t="n">
        <f aca="false">IF(OR($A27="",N(B27)=0),"",C27/B27)</f>
        <v>0.224672050391584</v>
      </c>
    </row>
    <row r="28" customFormat="false" ht="15" hidden="false" customHeight="false" outlineLevel="0" collapsed="false">
      <c r="A28" s="3" t="str">
        <f aca="false">IF(INDEX(Data_InferenceAcc!$A:$A,5+1)="","",INDEX(Data_InferenceAcc!$A:$A,5+1))</f>
        <v>doc_classification</v>
      </c>
      <c r="B28" s="21" t="n">
        <f aca="false">IF($A28="","",INDEX(Data_InferenceAcc!$B:$B,5+1)/1000000000)</f>
        <v>1651.157672805</v>
      </c>
      <c r="C28" s="21" t="n">
        <f aca="false">IF($A28="","",INDEX(Data_InferenceAcc!$C:$C,5+1)/1000000000)</f>
        <v>1651.157672805</v>
      </c>
      <c r="D28" s="25" t="n">
        <f aca="false">IF(OR($A28="",N(B28)=0),"",C28/B28)</f>
        <v>1</v>
      </c>
    </row>
    <row r="29" customFormat="false" ht="15" hidden="false" customHeight="false" outlineLevel="0" collapsed="false">
      <c r="A29" s="3" t="str">
        <f aca="false">IF(INDEX(Data_InferenceAcc!$A:$A,6+1)="","",INDEX(Data_InferenceAcc!$A:$A,6+1))</f>
        <v>ticket_routing</v>
      </c>
      <c r="B29" s="21" t="n">
        <f aca="false">IF($A29="","",INDEX(Data_InferenceAcc!$B:$B,6+1)/1000000000)</f>
        <v>1093.023355668</v>
      </c>
      <c r="C29" s="21" t="n">
        <f aca="false">IF($A29="","",INDEX(Data_InferenceAcc!$C:$C,6+1)/1000000000)</f>
        <v>1053.607840538</v>
      </c>
      <c r="D29" s="25" t="n">
        <f aca="false">IF(OR($A29="",N(B29)=0),"",C29/B29)</f>
        <v>0.96393900009034</v>
      </c>
    </row>
    <row r="30" customFormat="false" ht="15" hidden="false" customHeight="false" outlineLevel="0" collapsed="false">
      <c r="A30" s="3" t="str">
        <f aca="false">IF(INDEX(Data_InferenceAcc!$A:$A,7+1)="","",INDEX(Data_InferenceAcc!$A:$A,7+1))</f>
        <v>llm_guardrails</v>
      </c>
      <c r="B30" s="21" t="n">
        <f aca="false">IF($A30="","",INDEX(Data_InferenceAcc!$B:$B,7+1)/1000000000)</f>
        <v>285.871103415</v>
      </c>
      <c r="C30" s="21" t="n">
        <f aca="false">IF($A30="","",INDEX(Data_InferenceAcc!$C:$C,7+1)/1000000000)</f>
        <v>285.676569372</v>
      </c>
      <c r="D30" s="25" t="n">
        <f aca="false">IF(OR($A30="",N(B30)=0),"",C30/B30)</f>
        <v>0.999319504347673</v>
      </c>
    </row>
    <row r="31" customFormat="false" ht="15" hidden="false" customHeight="false" outlineLevel="0" collapsed="false">
      <c r="A31" s="3" t="str">
        <f aca="false">IF(INDEX(Data_InferenceAcc!$A:$A,8+1)="","",INDEX(Data_InferenceAcc!$A:$A,8+1))</f>
        <v>ci_lint</v>
      </c>
      <c r="B31" s="21" t="n">
        <f aca="false">IF($A31="","",INDEX(Data_InferenceAcc!$B:$B,8+1)/1000000000)</f>
        <v>73.709983955</v>
      </c>
      <c r="C31" s="21" t="n">
        <f aca="false">IF($A31="","",INDEX(Data_InferenceAcc!$C:$C,8+1)/1000000000)</f>
        <v>73.709983955</v>
      </c>
      <c r="D31" s="25" t="n">
        <f aca="false">IF(OR($A31="",N(B31)=0),"",C31/B31)</f>
        <v>1</v>
      </c>
    </row>
    <row r="32" customFormat="false" ht="15" hidden="false" customHeight="false" outlineLevel="0" collapsed="false">
      <c r="A32" s="3" t="str">
        <f aca="false">IF(INDEX(Data_InferenceAcc!$A:$A,9+1)="","",INDEX(Data_InferenceAcc!$A:$A,9+1))</f>
        <v>lead_scoring</v>
      </c>
      <c r="B32" s="21" t="n">
        <f aca="false">IF($A32="","",INDEX(Data_InferenceAcc!$B:$B,9+1)/1000000000)</f>
        <v>70.291048653</v>
      </c>
      <c r="C32" s="21" t="n">
        <f aca="false">IF($A32="","",INDEX(Data_InferenceAcc!$C:$C,9+1)/1000000000)</f>
        <v>64.507300906</v>
      </c>
      <c r="D32" s="25" t="n">
        <f aca="false">IF(OR($A32="",N(B32)=0),"",C32/B32)</f>
        <v>0.917717150934081</v>
      </c>
    </row>
    <row r="33" customFormat="false" ht="15" hidden="false" customHeight="false" outlineLevel="0" collapsed="false">
      <c r="A33" s="3" t="str">
        <f aca="false">IF(INDEX(Data_InferenceAcc!$A:$A,10+1)="","",INDEX(Data_InferenceAcc!$A:$A,10+1))</f>
        <v>rag_rerank</v>
      </c>
      <c r="B33" s="21" t="n">
        <f aca="false">IF($A33="","",INDEX(Data_InferenceAcc!$B:$B,10+1)/1000000000)</f>
        <v>45.303246372</v>
      </c>
      <c r="C33" s="21" t="n">
        <f aca="false">IF($A33="","",INDEX(Data_InferenceAcc!$C:$C,10+1)/1000000000)</f>
        <v>41.678494522</v>
      </c>
      <c r="D33" s="25" t="n">
        <f aca="false">IF(OR($A33="",N(B33)=0),"",C33/B33)</f>
        <v>0.919989136755544</v>
      </c>
    </row>
    <row r="34" customFormat="false" ht="15" hidden="false" customHeight="false" outlineLevel="0" collapsed="false">
      <c r="A34" s="3" t="str">
        <f aca="false">IF(INDEX(Data_InferenceAcc!$A:$A,11+1)="","",INDEX(Data_InferenceAcc!$A:$A,11+1))</f>
        <v/>
      </c>
      <c r="B34" s="21" t="str">
        <f aca="false">IF($A34="","",INDEX(Data_InferenceAcc!$B:$B,11+1)/1000000000)</f>
        <v/>
      </c>
      <c r="C34" s="21" t="str">
        <f aca="false">IF($A34="","",INDEX(Data_InferenceAcc!$C:$C,11+1)/1000000000)</f>
        <v/>
      </c>
      <c r="D34" s="25" t="str">
        <f aca="false">IF(OR($A34="",N(B34)=0),"",C34/B34)</f>
        <v/>
      </c>
    </row>
    <row r="35" customFormat="false" ht="15" hidden="false" customHeight="false" outlineLevel="0" collapsed="false">
      <c r="A35" s="3" t="str">
        <f aca="false">IF(INDEX(Data_InferenceAcc!$A:$A,12+1)="","",INDEX(Data_InferenceAcc!$A:$A,12+1))</f>
        <v/>
      </c>
      <c r="B35" s="21" t="str">
        <f aca="false">IF($A35="","",INDEX(Data_InferenceAcc!$B:$B,12+1)/1000000000)</f>
        <v/>
      </c>
      <c r="C35" s="21" t="str">
        <f aca="false">IF($A35="","",INDEX(Data_InferenceAcc!$C:$C,12+1)/1000000000)</f>
        <v/>
      </c>
      <c r="D35" s="25" t="str">
        <f aca="false">IF(OR($A35="",N(B35)=0),"",C35/B35)</f>
        <v/>
      </c>
    </row>
    <row r="36" customFormat="false" ht="15" hidden="false" customHeight="false" outlineLevel="0" collapsed="false">
      <c r="A36" s="3" t="str">
        <f aca="false">IF(INDEX(Data_InferenceAcc!$A:$A,13+1)="","",INDEX(Data_InferenceAcc!$A:$A,13+1))</f>
        <v/>
      </c>
      <c r="B36" s="21" t="str">
        <f aca="false">IF($A36="","",INDEX(Data_InferenceAcc!$B:$B,13+1)/1000000000)</f>
        <v/>
      </c>
      <c r="C36" s="21" t="str">
        <f aca="false">IF($A36="","",INDEX(Data_InferenceAcc!$C:$C,13+1)/1000000000)</f>
        <v/>
      </c>
      <c r="D36" s="25" t="str">
        <f aca="false">IF(OR($A36="",N(B36)=0),"",C36/B36)</f>
        <v/>
      </c>
    </row>
    <row r="37" customFormat="false" ht="15" hidden="false" customHeight="false" outlineLevel="0" collapsed="false">
      <c r="A37" s="3" t="str">
        <f aca="false">IF(INDEX(Data_InferenceAcc!$A:$A,14+1)="","",INDEX(Data_InferenceAcc!$A:$A,14+1))</f>
        <v/>
      </c>
      <c r="B37" s="21" t="str">
        <f aca="false">IF($A37="","",INDEX(Data_InferenceAcc!$B:$B,14+1)/1000000000)</f>
        <v/>
      </c>
      <c r="C37" s="21" t="str">
        <f aca="false">IF($A37="","",INDEX(Data_InferenceAcc!$C:$C,14+1)/1000000000)</f>
        <v/>
      </c>
      <c r="D37" s="25" t="str">
        <f aca="false">IF(OR($A37="",N(B37)=0),"",C37/B37)</f>
        <v/>
      </c>
    </row>
    <row r="38" customFormat="false" ht="15" hidden="false" customHeight="false" outlineLevel="0" collapsed="false">
      <c r="A38" s="3" t="str">
        <f aca="false">IF(INDEX(Data_InferenceAcc!$A:$A,15+1)="","",INDEX(Data_InferenceAcc!$A:$A,15+1))</f>
        <v/>
      </c>
      <c r="B38" s="21" t="str">
        <f aca="false">IF($A38="","",INDEX(Data_InferenceAcc!$B:$B,15+1)/1000000000)</f>
        <v/>
      </c>
      <c r="C38" s="21" t="str">
        <f aca="false">IF($A38="","",INDEX(Data_InferenceAcc!$C:$C,15+1)/1000000000)</f>
        <v/>
      </c>
      <c r="D38" s="25" t="str">
        <f aca="false">IF(OR($A38="",N(B38)=0),"",C38/B38)</f>
        <v/>
      </c>
    </row>
    <row r="39" customFormat="false" ht="15" hidden="false" customHeight="false" outlineLevel="0" collapsed="false">
      <c r="A39" s="2" t="s">
        <v>93</v>
      </c>
      <c r="B39" s="22" t="n">
        <f aca="false">SUM(B24:B38)</f>
        <v>13286.623168223</v>
      </c>
      <c r="C39" s="22" t="n">
        <f aca="false">SUM(C24:C38)</f>
        <v>11814.736236796</v>
      </c>
      <c r="D39" s="27" t="n">
        <f aca="false">IF(B39=0,"no labelled traffic",C39/B39)</f>
        <v>0.889220390102788</v>
      </c>
    </row>
    <row r="41" customFormat="false" ht="15" hidden="false" customHeight="false" outlineLevel="0" collapsed="false">
      <c r="A41" s="7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15" min="4" style="0" width="10"/>
  </cols>
  <sheetData>
    <row r="1" customFormat="false" ht="17.35" hidden="false" customHeight="false" outlineLevel="0" collapsed="false">
      <c r="A1" s="1" t="str">
        <f aca="false">Data_Params!$B$14&amp;" | Self-serve cohorts"</f>
        <v>Example Co (synthetic data) | Self-serve cohorts</v>
      </c>
    </row>
    <row r="2" customFormat="false" ht="15" hidden="false" customHeight="false" outlineLevel="0" collapsed="false">
      <c r="A2" s="7" t="s">
        <v>95</v>
      </c>
    </row>
    <row r="4" customFormat="false" ht="35.05" hidden="false" customHeight="false" outlineLevel="0" collapsed="false">
      <c r="A4" s="8" t="s">
        <v>96</v>
      </c>
      <c r="B4" s="8" t="s">
        <v>97</v>
      </c>
      <c r="C4" s="8" t="s">
        <v>98</v>
      </c>
      <c r="D4" s="8" t="s">
        <v>99</v>
      </c>
      <c r="E4" s="8" t="s">
        <v>100</v>
      </c>
      <c r="F4" s="8" t="s">
        <v>101</v>
      </c>
      <c r="G4" s="8" t="s">
        <v>102</v>
      </c>
      <c r="H4" s="8" t="s">
        <v>103</v>
      </c>
      <c r="I4" s="8" t="s">
        <v>104</v>
      </c>
      <c r="J4" s="8" t="s">
        <v>105</v>
      </c>
      <c r="K4" s="8" t="s">
        <v>106</v>
      </c>
      <c r="L4" s="8" t="s">
        <v>107</v>
      </c>
      <c r="M4" s="8" t="s">
        <v>108</v>
      </c>
      <c r="N4" s="8" t="s">
        <v>109</v>
      </c>
      <c r="O4" s="8" t="s">
        <v>110</v>
      </c>
    </row>
    <row r="5" customFormat="false" ht="15" hidden="false" customHeight="false" outlineLevel="0" collapsed="false">
      <c r="A5" s="28" t="n">
        <f aca="false">EDATE(Data_Params!$B$3,0)</f>
        <v>46082</v>
      </c>
      <c r="B5" s="23" t="n">
        <f aca="false">SUMIFS(Data_Signups!$B:$B,Data_Signups!$A:$A,$A5)</f>
        <v>0</v>
      </c>
      <c r="C5" s="23" t="str">
        <f aca="false">IF(SUMIFS(Data_Signups!$D:$D,Data_Signups!$A:$A,$A5)=0,"n/a",SUMIFS(Data_Signups!$C:$C,Data_Signups!$A:$A,$A5))</f>
        <v>n/a</v>
      </c>
      <c r="D5" s="29" t="n">
        <f aca="false">SUMIFS(Data_Cohort!$C:$C,Data_Cohort!$A:$A,$A5,Data_Cohort!$B:$B,0)/MAX(1,SUMIFS(Data_Months!$B:$B,Data_Months!$A:$A,EDATE($A5,0)))/1000000000</f>
        <v>0</v>
      </c>
      <c r="E5" s="29" t="n">
        <f aca="false">SUMIFS(Data_Cohort!$C:$C,Data_Cohort!$A:$A,$A5,Data_Cohort!$B:$B,1)/MAX(1,SUMIFS(Data_Months!$B:$B,Data_Months!$A:$A,EDATE($A5,1)))/1000000000</f>
        <v>0</v>
      </c>
      <c r="F5" s="29" t="n">
        <f aca="false">SUMIFS(Data_Cohort!$C:$C,Data_Cohort!$A:$A,$A5,Data_Cohort!$B:$B,2)/MAX(1,SUMIFS(Data_Months!$B:$B,Data_Months!$A:$A,EDATE($A5,2)))/1000000000</f>
        <v>0</v>
      </c>
      <c r="G5" s="29" t="n">
        <f aca="false">SUMIFS(Data_Cohort!$C:$C,Data_Cohort!$A:$A,$A5,Data_Cohort!$B:$B,3)/MAX(1,SUMIFS(Data_Months!$B:$B,Data_Months!$A:$A,EDATE($A5,3)))/1000000000</f>
        <v>0</v>
      </c>
      <c r="H5" s="29" t="n">
        <f aca="false">SUMIFS(Data_Cohort!$C:$C,Data_Cohort!$A:$A,$A5,Data_Cohort!$B:$B,4)/MAX(1,SUMIFS(Data_Months!$B:$B,Data_Months!$A:$A,EDATE($A5,4)))/1000000000</f>
        <v>0</v>
      </c>
      <c r="I5" s="29" t="n">
        <f aca="false">SUMIFS(Data_Cohort!$C:$C,Data_Cohort!$A:$A,$A5,Data_Cohort!$B:$B,5)/MAX(1,SUMIFS(Data_Months!$B:$B,Data_Months!$A:$A,EDATE($A5,5)))/1000000000</f>
        <v>0</v>
      </c>
      <c r="J5" s="29" t="n">
        <f aca="false">SUMIFS(Data_Cohort!$C:$C,Data_Cohort!$A:$A,$A5,Data_Cohort!$B:$B,6)/MAX(1,SUMIFS(Data_Months!$B:$B,Data_Months!$A:$A,EDATE($A5,6)))/1000000000</f>
        <v>0</v>
      </c>
      <c r="K5" s="29" t="n">
        <f aca="false">SUMIFS(Data_Cohort!$C:$C,Data_Cohort!$A:$A,$A5,Data_Cohort!$B:$B,7)/MAX(1,SUMIFS(Data_Months!$B:$B,Data_Months!$A:$A,EDATE($A5,7)))/1000000000</f>
        <v>0</v>
      </c>
      <c r="L5" s="29" t="n">
        <f aca="false">SUMIFS(Data_Cohort!$C:$C,Data_Cohort!$A:$A,$A5,Data_Cohort!$B:$B,8)/MAX(1,SUMIFS(Data_Months!$B:$B,Data_Months!$A:$A,EDATE($A5,8)))/1000000000</f>
        <v>0</v>
      </c>
      <c r="M5" s="29" t="n">
        <f aca="false">SUMIFS(Data_Cohort!$C:$C,Data_Cohort!$A:$A,$A5,Data_Cohort!$B:$B,9)/MAX(1,SUMIFS(Data_Months!$B:$B,Data_Months!$A:$A,EDATE($A5,9)))/1000000000</f>
        <v>0</v>
      </c>
      <c r="N5" s="29" t="n">
        <f aca="false">SUMIFS(Data_Cohort!$C:$C,Data_Cohort!$A:$A,$A5,Data_Cohort!$B:$B,10)/MAX(1,SUMIFS(Data_Months!$B:$B,Data_Months!$A:$A,EDATE($A5,10)))/1000000000</f>
        <v>0</v>
      </c>
      <c r="O5" s="29" t="n">
        <f aca="false">SUMIFS(Data_Cohort!$C:$C,Data_Cohort!$A:$A,$A5,Data_Cohort!$B:$B,11)/MAX(1,SUMIFS(Data_Months!$B:$B,Data_Months!$A:$A,EDATE($A5,11)))/1000000000</f>
        <v>0</v>
      </c>
    </row>
    <row r="6" customFormat="false" ht="15" hidden="false" customHeight="false" outlineLevel="0" collapsed="false">
      <c r="A6" s="28" t="n">
        <f aca="false">EDATE(Data_Params!$B$3,1)</f>
        <v>46113</v>
      </c>
      <c r="B6" s="23" t="n">
        <f aca="false">SUMIFS(Data_Signups!$B:$B,Data_Signups!$A:$A,$A6)</f>
        <v>0</v>
      </c>
      <c r="C6" s="23" t="str">
        <f aca="false">IF(SUMIFS(Data_Signups!$D:$D,Data_Signups!$A:$A,$A6)=0,"n/a",SUMIFS(Data_Signups!$C:$C,Data_Signups!$A:$A,$A6))</f>
        <v>n/a</v>
      </c>
      <c r="D6" s="29" t="n">
        <f aca="false">SUMIFS(Data_Cohort!$C:$C,Data_Cohort!$A:$A,$A6,Data_Cohort!$B:$B,0)/MAX(1,SUMIFS(Data_Months!$B:$B,Data_Months!$A:$A,EDATE($A6,0)))/1000000000</f>
        <v>0</v>
      </c>
      <c r="E6" s="29" t="n">
        <f aca="false">SUMIFS(Data_Cohort!$C:$C,Data_Cohort!$A:$A,$A6,Data_Cohort!$B:$B,1)/MAX(1,SUMIFS(Data_Months!$B:$B,Data_Months!$A:$A,EDATE($A6,1)))/1000000000</f>
        <v>0</v>
      </c>
      <c r="F6" s="29" t="n">
        <f aca="false">SUMIFS(Data_Cohort!$C:$C,Data_Cohort!$A:$A,$A6,Data_Cohort!$B:$B,2)/MAX(1,SUMIFS(Data_Months!$B:$B,Data_Months!$A:$A,EDATE($A6,2)))/1000000000</f>
        <v>0</v>
      </c>
      <c r="G6" s="29" t="n">
        <f aca="false">SUMIFS(Data_Cohort!$C:$C,Data_Cohort!$A:$A,$A6,Data_Cohort!$B:$B,3)/MAX(1,SUMIFS(Data_Months!$B:$B,Data_Months!$A:$A,EDATE($A6,3)))/1000000000</f>
        <v>0</v>
      </c>
      <c r="H6" s="29" t="n">
        <f aca="false">SUMIFS(Data_Cohort!$C:$C,Data_Cohort!$A:$A,$A6,Data_Cohort!$B:$B,4)/MAX(1,SUMIFS(Data_Months!$B:$B,Data_Months!$A:$A,EDATE($A6,4)))/1000000000</f>
        <v>0</v>
      </c>
      <c r="I6" s="29" t="n">
        <f aca="false">SUMIFS(Data_Cohort!$C:$C,Data_Cohort!$A:$A,$A6,Data_Cohort!$B:$B,5)/MAX(1,SUMIFS(Data_Months!$B:$B,Data_Months!$A:$A,EDATE($A6,5)))/1000000000</f>
        <v>0</v>
      </c>
      <c r="J6" s="29" t="n">
        <f aca="false">SUMIFS(Data_Cohort!$C:$C,Data_Cohort!$A:$A,$A6,Data_Cohort!$B:$B,6)/MAX(1,SUMIFS(Data_Months!$B:$B,Data_Months!$A:$A,EDATE($A6,6)))/1000000000</f>
        <v>0</v>
      </c>
      <c r="K6" s="29" t="n">
        <f aca="false">SUMIFS(Data_Cohort!$C:$C,Data_Cohort!$A:$A,$A6,Data_Cohort!$B:$B,7)/MAX(1,SUMIFS(Data_Months!$B:$B,Data_Months!$A:$A,EDATE($A6,7)))/1000000000</f>
        <v>0</v>
      </c>
      <c r="L6" s="29" t="n">
        <f aca="false">SUMIFS(Data_Cohort!$C:$C,Data_Cohort!$A:$A,$A6,Data_Cohort!$B:$B,8)/MAX(1,SUMIFS(Data_Months!$B:$B,Data_Months!$A:$A,EDATE($A6,8)))/1000000000</f>
        <v>0</v>
      </c>
      <c r="M6" s="29" t="n">
        <f aca="false">SUMIFS(Data_Cohort!$C:$C,Data_Cohort!$A:$A,$A6,Data_Cohort!$B:$B,9)/MAX(1,SUMIFS(Data_Months!$B:$B,Data_Months!$A:$A,EDATE($A6,9)))/1000000000</f>
        <v>0</v>
      </c>
      <c r="N6" s="29" t="n">
        <f aca="false">SUMIFS(Data_Cohort!$C:$C,Data_Cohort!$A:$A,$A6,Data_Cohort!$B:$B,10)/MAX(1,SUMIFS(Data_Months!$B:$B,Data_Months!$A:$A,EDATE($A6,10)))/1000000000</f>
        <v>0</v>
      </c>
    </row>
    <row r="7" customFormat="false" ht="15" hidden="false" customHeight="false" outlineLevel="0" collapsed="false">
      <c r="A7" s="28" t="n">
        <f aca="false">EDATE(Data_Params!$B$3,2)</f>
        <v>46143</v>
      </c>
      <c r="B7" s="23" t="n">
        <f aca="false">SUMIFS(Data_Signups!$B:$B,Data_Signups!$A:$A,$A7)</f>
        <v>0</v>
      </c>
      <c r="C7" s="23" t="str">
        <f aca="false">IF(SUMIFS(Data_Signups!$D:$D,Data_Signups!$A:$A,$A7)=0,"n/a",SUMIFS(Data_Signups!$C:$C,Data_Signups!$A:$A,$A7))</f>
        <v>n/a</v>
      </c>
      <c r="D7" s="29" t="n">
        <f aca="false">SUMIFS(Data_Cohort!$C:$C,Data_Cohort!$A:$A,$A7,Data_Cohort!$B:$B,0)/MAX(1,SUMIFS(Data_Months!$B:$B,Data_Months!$A:$A,EDATE($A7,0)))/1000000000</f>
        <v>0</v>
      </c>
      <c r="E7" s="29" t="n">
        <f aca="false">SUMIFS(Data_Cohort!$C:$C,Data_Cohort!$A:$A,$A7,Data_Cohort!$B:$B,1)/MAX(1,SUMIFS(Data_Months!$B:$B,Data_Months!$A:$A,EDATE($A7,1)))/1000000000</f>
        <v>0</v>
      </c>
      <c r="F7" s="29" t="n">
        <f aca="false">SUMIFS(Data_Cohort!$C:$C,Data_Cohort!$A:$A,$A7,Data_Cohort!$B:$B,2)/MAX(1,SUMIFS(Data_Months!$B:$B,Data_Months!$A:$A,EDATE($A7,2)))/1000000000</f>
        <v>0</v>
      </c>
      <c r="G7" s="29" t="n">
        <f aca="false">SUMIFS(Data_Cohort!$C:$C,Data_Cohort!$A:$A,$A7,Data_Cohort!$B:$B,3)/MAX(1,SUMIFS(Data_Months!$B:$B,Data_Months!$A:$A,EDATE($A7,3)))/1000000000</f>
        <v>0</v>
      </c>
      <c r="H7" s="29" t="n">
        <f aca="false">SUMIFS(Data_Cohort!$C:$C,Data_Cohort!$A:$A,$A7,Data_Cohort!$B:$B,4)/MAX(1,SUMIFS(Data_Months!$B:$B,Data_Months!$A:$A,EDATE($A7,4)))/1000000000</f>
        <v>0</v>
      </c>
      <c r="I7" s="29" t="n">
        <f aca="false">SUMIFS(Data_Cohort!$C:$C,Data_Cohort!$A:$A,$A7,Data_Cohort!$B:$B,5)/MAX(1,SUMIFS(Data_Months!$B:$B,Data_Months!$A:$A,EDATE($A7,5)))/1000000000</f>
        <v>0</v>
      </c>
      <c r="J7" s="29" t="n">
        <f aca="false">SUMIFS(Data_Cohort!$C:$C,Data_Cohort!$A:$A,$A7,Data_Cohort!$B:$B,6)/MAX(1,SUMIFS(Data_Months!$B:$B,Data_Months!$A:$A,EDATE($A7,6)))/1000000000</f>
        <v>0</v>
      </c>
      <c r="K7" s="29" t="n">
        <f aca="false">SUMIFS(Data_Cohort!$C:$C,Data_Cohort!$A:$A,$A7,Data_Cohort!$B:$B,7)/MAX(1,SUMIFS(Data_Months!$B:$B,Data_Months!$A:$A,EDATE($A7,7)))/1000000000</f>
        <v>0</v>
      </c>
      <c r="L7" s="29" t="n">
        <f aca="false">SUMIFS(Data_Cohort!$C:$C,Data_Cohort!$A:$A,$A7,Data_Cohort!$B:$B,8)/MAX(1,SUMIFS(Data_Months!$B:$B,Data_Months!$A:$A,EDATE($A7,8)))/1000000000</f>
        <v>0</v>
      </c>
      <c r="M7" s="29" t="n">
        <f aca="false">SUMIFS(Data_Cohort!$C:$C,Data_Cohort!$A:$A,$A7,Data_Cohort!$B:$B,9)/MAX(1,SUMIFS(Data_Months!$B:$B,Data_Months!$A:$A,EDATE($A7,9)))/1000000000</f>
        <v>0</v>
      </c>
    </row>
    <row r="8" customFormat="false" ht="15" hidden="false" customHeight="false" outlineLevel="0" collapsed="false">
      <c r="A8" s="28" t="n">
        <f aca="false">EDATE(Data_Params!$B$3,3)</f>
        <v>46174</v>
      </c>
      <c r="B8" s="23" t="n">
        <f aca="false">SUMIFS(Data_Signups!$B:$B,Data_Signups!$A:$A,$A8)</f>
        <v>0</v>
      </c>
      <c r="C8" s="23" t="str">
        <f aca="false">IF(SUMIFS(Data_Signups!$D:$D,Data_Signups!$A:$A,$A8)=0,"n/a",SUMIFS(Data_Signups!$C:$C,Data_Signups!$A:$A,$A8))</f>
        <v>n/a</v>
      </c>
      <c r="D8" s="29" t="n">
        <f aca="false">SUMIFS(Data_Cohort!$C:$C,Data_Cohort!$A:$A,$A8,Data_Cohort!$B:$B,0)/MAX(1,SUMIFS(Data_Months!$B:$B,Data_Months!$A:$A,EDATE($A8,0)))/1000000000</f>
        <v>0</v>
      </c>
      <c r="E8" s="29" t="n">
        <f aca="false">SUMIFS(Data_Cohort!$C:$C,Data_Cohort!$A:$A,$A8,Data_Cohort!$B:$B,1)/MAX(1,SUMIFS(Data_Months!$B:$B,Data_Months!$A:$A,EDATE($A8,1)))/1000000000</f>
        <v>0</v>
      </c>
      <c r="F8" s="29" t="n">
        <f aca="false">SUMIFS(Data_Cohort!$C:$C,Data_Cohort!$A:$A,$A8,Data_Cohort!$B:$B,2)/MAX(1,SUMIFS(Data_Months!$B:$B,Data_Months!$A:$A,EDATE($A8,2)))/1000000000</f>
        <v>0</v>
      </c>
      <c r="G8" s="29" t="n">
        <f aca="false">SUMIFS(Data_Cohort!$C:$C,Data_Cohort!$A:$A,$A8,Data_Cohort!$B:$B,3)/MAX(1,SUMIFS(Data_Months!$B:$B,Data_Months!$A:$A,EDATE($A8,3)))/1000000000</f>
        <v>0</v>
      </c>
      <c r="H8" s="29" t="n">
        <f aca="false">SUMIFS(Data_Cohort!$C:$C,Data_Cohort!$A:$A,$A8,Data_Cohort!$B:$B,4)/MAX(1,SUMIFS(Data_Months!$B:$B,Data_Months!$A:$A,EDATE($A8,4)))/1000000000</f>
        <v>0</v>
      </c>
      <c r="I8" s="29" t="n">
        <f aca="false">SUMIFS(Data_Cohort!$C:$C,Data_Cohort!$A:$A,$A8,Data_Cohort!$B:$B,5)/MAX(1,SUMIFS(Data_Months!$B:$B,Data_Months!$A:$A,EDATE($A8,5)))/1000000000</f>
        <v>0</v>
      </c>
      <c r="J8" s="29" t="n">
        <f aca="false">SUMIFS(Data_Cohort!$C:$C,Data_Cohort!$A:$A,$A8,Data_Cohort!$B:$B,6)/MAX(1,SUMIFS(Data_Months!$B:$B,Data_Months!$A:$A,EDATE($A8,6)))/1000000000</f>
        <v>0</v>
      </c>
      <c r="K8" s="29" t="n">
        <f aca="false">SUMIFS(Data_Cohort!$C:$C,Data_Cohort!$A:$A,$A8,Data_Cohort!$B:$B,7)/MAX(1,SUMIFS(Data_Months!$B:$B,Data_Months!$A:$A,EDATE($A8,7)))/1000000000</f>
        <v>0</v>
      </c>
      <c r="L8" s="29" t="n">
        <f aca="false">SUMIFS(Data_Cohort!$C:$C,Data_Cohort!$A:$A,$A8,Data_Cohort!$B:$B,8)/MAX(1,SUMIFS(Data_Months!$B:$B,Data_Months!$A:$A,EDATE($A8,8)))/1000000000</f>
        <v>0</v>
      </c>
    </row>
    <row r="9" customFormat="false" ht="15" hidden="false" customHeight="false" outlineLevel="0" collapsed="false">
      <c r="A9" s="28" t="n">
        <f aca="false">EDATE(Data_Params!$B$3,4)</f>
        <v>46204</v>
      </c>
      <c r="B9" s="23" t="n">
        <f aca="false">SUMIFS(Data_Signups!$B:$B,Data_Signups!$A:$A,$A9)</f>
        <v>0</v>
      </c>
      <c r="C9" s="23" t="str">
        <f aca="false">IF(SUMIFS(Data_Signups!$D:$D,Data_Signups!$A:$A,$A9)=0,"n/a",SUMIFS(Data_Signups!$C:$C,Data_Signups!$A:$A,$A9))</f>
        <v>n/a</v>
      </c>
      <c r="D9" s="29" t="n">
        <f aca="false">SUMIFS(Data_Cohort!$C:$C,Data_Cohort!$A:$A,$A9,Data_Cohort!$B:$B,0)/MAX(1,SUMIFS(Data_Months!$B:$B,Data_Months!$A:$A,EDATE($A9,0)))/1000000000</f>
        <v>0</v>
      </c>
      <c r="E9" s="29" t="n">
        <f aca="false">SUMIFS(Data_Cohort!$C:$C,Data_Cohort!$A:$A,$A9,Data_Cohort!$B:$B,1)/MAX(1,SUMIFS(Data_Months!$B:$B,Data_Months!$A:$A,EDATE($A9,1)))/1000000000</f>
        <v>0</v>
      </c>
      <c r="F9" s="29" t="n">
        <f aca="false">SUMIFS(Data_Cohort!$C:$C,Data_Cohort!$A:$A,$A9,Data_Cohort!$B:$B,2)/MAX(1,SUMIFS(Data_Months!$B:$B,Data_Months!$A:$A,EDATE($A9,2)))/1000000000</f>
        <v>0</v>
      </c>
      <c r="G9" s="29" t="n">
        <f aca="false">SUMIFS(Data_Cohort!$C:$C,Data_Cohort!$A:$A,$A9,Data_Cohort!$B:$B,3)/MAX(1,SUMIFS(Data_Months!$B:$B,Data_Months!$A:$A,EDATE($A9,3)))/1000000000</f>
        <v>0</v>
      </c>
      <c r="H9" s="29" t="n">
        <f aca="false">SUMIFS(Data_Cohort!$C:$C,Data_Cohort!$A:$A,$A9,Data_Cohort!$B:$B,4)/MAX(1,SUMIFS(Data_Months!$B:$B,Data_Months!$A:$A,EDATE($A9,4)))/1000000000</f>
        <v>0</v>
      </c>
      <c r="I9" s="29" t="n">
        <f aca="false">SUMIFS(Data_Cohort!$C:$C,Data_Cohort!$A:$A,$A9,Data_Cohort!$B:$B,5)/MAX(1,SUMIFS(Data_Months!$B:$B,Data_Months!$A:$A,EDATE($A9,5)))/1000000000</f>
        <v>0</v>
      </c>
      <c r="J9" s="29" t="n">
        <f aca="false">SUMIFS(Data_Cohort!$C:$C,Data_Cohort!$A:$A,$A9,Data_Cohort!$B:$B,6)/MAX(1,SUMIFS(Data_Months!$B:$B,Data_Months!$A:$A,EDATE($A9,6)))/1000000000</f>
        <v>0</v>
      </c>
      <c r="K9" s="29" t="n">
        <f aca="false">SUMIFS(Data_Cohort!$C:$C,Data_Cohort!$A:$A,$A9,Data_Cohort!$B:$B,7)/MAX(1,SUMIFS(Data_Months!$B:$B,Data_Months!$A:$A,EDATE($A9,7)))/1000000000</f>
        <v>0</v>
      </c>
    </row>
    <row r="10" customFormat="false" ht="15" hidden="false" customHeight="false" outlineLevel="0" collapsed="false">
      <c r="A10" s="28" t="n">
        <f aca="false">EDATE(Data_Params!$B$3,5)</f>
        <v>46235</v>
      </c>
      <c r="B10" s="23" t="n">
        <f aca="false">SUMIFS(Data_Signups!$B:$B,Data_Signups!$A:$A,$A10)</f>
        <v>0</v>
      </c>
      <c r="C10" s="23" t="str">
        <f aca="false">IF(SUMIFS(Data_Signups!$D:$D,Data_Signups!$A:$A,$A10)=0,"n/a",SUMIFS(Data_Signups!$C:$C,Data_Signups!$A:$A,$A10))</f>
        <v>n/a</v>
      </c>
      <c r="D10" s="29" t="n">
        <f aca="false">SUMIFS(Data_Cohort!$C:$C,Data_Cohort!$A:$A,$A10,Data_Cohort!$B:$B,0)/MAX(1,SUMIFS(Data_Months!$B:$B,Data_Months!$A:$A,EDATE($A10,0)))/1000000000</f>
        <v>0</v>
      </c>
      <c r="E10" s="29" t="n">
        <f aca="false">SUMIFS(Data_Cohort!$C:$C,Data_Cohort!$A:$A,$A10,Data_Cohort!$B:$B,1)/MAX(1,SUMIFS(Data_Months!$B:$B,Data_Months!$A:$A,EDATE($A10,1)))/1000000000</f>
        <v>0</v>
      </c>
      <c r="F10" s="29" t="n">
        <f aca="false">SUMIFS(Data_Cohort!$C:$C,Data_Cohort!$A:$A,$A10,Data_Cohort!$B:$B,2)/MAX(1,SUMIFS(Data_Months!$B:$B,Data_Months!$A:$A,EDATE($A10,2)))/1000000000</f>
        <v>0</v>
      </c>
      <c r="G10" s="29" t="n">
        <f aca="false">SUMIFS(Data_Cohort!$C:$C,Data_Cohort!$A:$A,$A10,Data_Cohort!$B:$B,3)/MAX(1,SUMIFS(Data_Months!$B:$B,Data_Months!$A:$A,EDATE($A10,3)))/1000000000</f>
        <v>0</v>
      </c>
      <c r="H10" s="29" t="n">
        <f aca="false">SUMIFS(Data_Cohort!$C:$C,Data_Cohort!$A:$A,$A10,Data_Cohort!$B:$B,4)/MAX(1,SUMIFS(Data_Months!$B:$B,Data_Months!$A:$A,EDATE($A10,4)))/1000000000</f>
        <v>0</v>
      </c>
      <c r="I10" s="29" t="n">
        <f aca="false">SUMIFS(Data_Cohort!$C:$C,Data_Cohort!$A:$A,$A10,Data_Cohort!$B:$B,5)/MAX(1,SUMIFS(Data_Months!$B:$B,Data_Months!$A:$A,EDATE($A10,5)))/1000000000</f>
        <v>0</v>
      </c>
      <c r="J10" s="29" t="n">
        <f aca="false">SUMIFS(Data_Cohort!$C:$C,Data_Cohort!$A:$A,$A10,Data_Cohort!$B:$B,6)/MAX(1,SUMIFS(Data_Months!$B:$B,Data_Months!$A:$A,EDATE($A10,6)))/1000000000</f>
        <v>0</v>
      </c>
    </row>
    <row r="11" customFormat="false" ht="15" hidden="false" customHeight="false" outlineLevel="0" collapsed="false">
      <c r="A11" s="28" t="n">
        <f aca="false">EDATE(Data_Params!$B$3,6)</f>
        <v>46266</v>
      </c>
      <c r="B11" s="23" t="n">
        <f aca="false">SUMIFS(Data_Signups!$B:$B,Data_Signups!$A:$A,$A11)</f>
        <v>204</v>
      </c>
      <c r="C11" s="23" t="n">
        <f aca="false">IF(SUMIFS(Data_Signups!$D:$D,Data_Signups!$A:$A,$A11)=0,"n/a",SUMIFS(Data_Signups!$C:$C,Data_Signups!$A:$A,$A11))</f>
        <v>26</v>
      </c>
      <c r="D11" s="29" t="n">
        <f aca="false">SUMIFS(Data_Cohort!$C:$C,Data_Cohort!$A:$A,$A11,Data_Cohort!$B:$B,0)/MAX(1,SUMIFS(Data_Months!$B:$B,Data_Months!$A:$A,EDATE($A11,0)))/1000000000</f>
        <v>0.3777115850625</v>
      </c>
      <c r="E11" s="29" t="n">
        <f aca="false">SUMIFS(Data_Cohort!$C:$C,Data_Cohort!$A:$A,$A11,Data_Cohort!$B:$B,1)/MAX(1,SUMIFS(Data_Months!$B:$B,Data_Months!$A:$A,EDATE($A11,1)))/1000000000</f>
        <v>0.725910468096774</v>
      </c>
      <c r="F11" s="29" t="n">
        <f aca="false">SUMIFS(Data_Cohort!$C:$C,Data_Cohort!$A:$A,$A11,Data_Cohort!$B:$B,2)/MAX(1,SUMIFS(Data_Months!$B:$B,Data_Months!$A:$A,EDATE($A11,2)))/1000000000</f>
        <v>1.8299240047</v>
      </c>
      <c r="G11" s="29" t="n">
        <f aca="false">SUMIFS(Data_Cohort!$C:$C,Data_Cohort!$A:$A,$A11,Data_Cohort!$B:$B,3)/MAX(1,SUMIFS(Data_Months!$B:$B,Data_Months!$A:$A,EDATE($A11,3)))/1000000000</f>
        <v>2.08556663087097</v>
      </c>
      <c r="H11" s="29" t="n">
        <f aca="false">SUMIFS(Data_Cohort!$C:$C,Data_Cohort!$A:$A,$A11,Data_Cohort!$B:$B,4)/MAX(1,SUMIFS(Data_Months!$B:$B,Data_Months!$A:$A,EDATE($A11,4)))/1000000000</f>
        <v>2.06795500232258</v>
      </c>
      <c r="I11" s="29" t="n">
        <f aca="false">SUMIFS(Data_Cohort!$C:$C,Data_Cohort!$A:$A,$A11,Data_Cohort!$B:$B,5)/MAX(1,SUMIFS(Data_Months!$B:$B,Data_Months!$A:$A,EDATE($A11,5)))/1000000000</f>
        <v>2.03036447325</v>
      </c>
    </row>
    <row r="12" customFormat="false" ht="15" hidden="false" customHeight="false" outlineLevel="0" collapsed="false">
      <c r="A12" s="28" t="n">
        <f aca="false">EDATE(Data_Params!$B$3,7)</f>
        <v>46296</v>
      </c>
      <c r="B12" s="23" t="n">
        <f aca="false">SUMIFS(Data_Signups!$B:$B,Data_Signups!$A:$A,$A12)</f>
        <v>302</v>
      </c>
      <c r="C12" s="23" t="n">
        <f aca="false">IF(SUMIFS(Data_Signups!$D:$D,Data_Signups!$A:$A,$A12)=0,"n/a",SUMIFS(Data_Signups!$C:$C,Data_Signups!$A:$A,$A12))</f>
        <v>41</v>
      </c>
      <c r="D12" s="29" t="n">
        <f aca="false">SUMIFS(Data_Cohort!$C:$C,Data_Cohort!$A:$A,$A12,Data_Cohort!$B:$B,0)/MAX(1,SUMIFS(Data_Months!$B:$B,Data_Months!$A:$A,EDATE($A12,0)))/1000000000</f>
        <v>0.987606530870968</v>
      </c>
      <c r="E12" s="29" t="n">
        <f aca="false">SUMIFS(Data_Cohort!$C:$C,Data_Cohort!$A:$A,$A12,Data_Cohort!$B:$B,1)/MAX(1,SUMIFS(Data_Months!$B:$B,Data_Months!$A:$A,EDATE($A12,1)))/1000000000</f>
        <v>6.21964722656667</v>
      </c>
      <c r="F12" s="29" t="n">
        <f aca="false">SUMIFS(Data_Cohort!$C:$C,Data_Cohort!$A:$A,$A12,Data_Cohort!$B:$B,2)/MAX(1,SUMIFS(Data_Months!$B:$B,Data_Months!$A:$A,EDATE($A12,2)))/1000000000</f>
        <v>14.8079978047742</v>
      </c>
      <c r="G12" s="29" t="n">
        <f aca="false">SUMIFS(Data_Cohort!$C:$C,Data_Cohort!$A:$A,$A12,Data_Cohort!$B:$B,3)/MAX(1,SUMIFS(Data_Months!$B:$B,Data_Months!$A:$A,EDATE($A12,3)))/1000000000</f>
        <v>15.7921158797097</v>
      </c>
      <c r="H12" s="29" t="n">
        <f aca="false">SUMIFS(Data_Cohort!$C:$C,Data_Cohort!$A:$A,$A12,Data_Cohort!$B:$B,4)/MAX(1,SUMIFS(Data_Months!$B:$B,Data_Months!$A:$A,EDATE($A12,4)))/1000000000</f>
        <v>16.5188777368929</v>
      </c>
    </row>
    <row r="13" customFormat="false" ht="15" hidden="false" customHeight="false" outlineLevel="0" collapsed="false">
      <c r="A13" s="28" t="n">
        <f aca="false">EDATE(Data_Params!$B$3,8)</f>
        <v>46327</v>
      </c>
      <c r="B13" s="23" t="n">
        <f aca="false">SUMIFS(Data_Signups!$B:$B,Data_Signups!$A:$A,$A13)</f>
        <v>349</v>
      </c>
      <c r="C13" s="23" t="n">
        <f aca="false">IF(SUMIFS(Data_Signups!$D:$D,Data_Signups!$A:$A,$A13)=0,"n/a",SUMIFS(Data_Signups!$C:$C,Data_Signups!$A:$A,$A13))</f>
        <v>45</v>
      </c>
      <c r="D13" s="29" t="n">
        <f aca="false">SUMIFS(Data_Cohort!$C:$C,Data_Cohort!$A:$A,$A13,Data_Cohort!$B:$B,0)/MAX(1,SUMIFS(Data_Months!$B:$B,Data_Months!$A:$A,EDATE($A13,0)))/1000000000</f>
        <v>0.478716380966667</v>
      </c>
      <c r="E13" s="29" t="n">
        <f aca="false">SUMIFS(Data_Cohort!$C:$C,Data_Cohort!$A:$A,$A13,Data_Cohort!$B:$B,1)/MAX(1,SUMIFS(Data_Months!$B:$B,Data_Months!$A:$A,EDATE($A13,1)))/1000000000</f>
        <v>2.64661306070968</v>
      </c>
      <c r="F13" s="29" t="n">
        <f aca="false">SUMIFS(Data_Cohort!$C:$C,Data_Cohort!$A:$A,$A13,Data_Cohort!$B:$B,2)/MAX(1,SUMIFS(Data_Months!$B:$B,Data_Months!$A:$A,EDATE($A13,2)))/1000000000</f>
        <v>5.645781064</v>
      </c>
      <c r="G13" s="29" t="n">
        <f aca="false">SUMIFS(Data_Cohort!$C:$C,Data_Cohort!$A:$A,$A13,Data_Cohort!$B:$B,3)/MAX(1,SUMIFS(Data_Months!$B:$B,Data_Months!$A:$A,EDATE($A13,3)))/1000000000</f>
        <v>5.91594707932143</v>
      </c>
    </row>
    <row r="14" customFormat="false" ht="15" hidden="false" customHeight="false" outlineLevel="0" collapsed="false">
      <c r="A14" s="28" t="n">
        <f aca="false">EDATE(Data_Params!$B$3,9)</f>
        <v>46357</v>
      </c>
      <c r="B14" s="23" t="n">
        <f aca="false">SUMIFS(Data_Signups!$B:$B,Data_Signups!$A:$A,$A14)</f>
        <v>335</v>
      </c>
      <c r="C14" s="23" t="n">
        <f aca="false">IF(SUMIFS(Data_Signups!$D:$D,Data_Signups!$A:$A,$A14)=0,"n/a",SUMIFS(Data_Signups!$C:$C,Data_Signups!$A:$A,$A14))</f>
        <v>41</v>
      </c>
      <c r="D14" s="29" t="n">
        <f aca="false">SUMIFS(Data_Cohort!$C:$C,Data_Cohort!$A:$A,$A14,Data_Cohort!$B:$B,0)/MAX(1,SUMIFS(Data_Months!$B:$B,Data_Months!$A:$A,EDATE($A14,0)))/1000000000</f>
        <v>0.655222098129032</v>
      </c>
      <c r="E14" s="29" t="n">
        <f aca="false">SUMIFS(Data_Cohort!$C:$C,Data_Cohort!$A:$A,$A14,Data_Cohort!$B:$B,1)/MAX(1,SUMIFS(Data_Months!$B:$B,Data_Months!$A:$A,EDATE($A14,1)))/1000000000</f>
        <v>3.17842641687097</v>
      </c>
      <c r="F14" s="29" t="n">
        <f aca="false">SUMIFS(Data_Cohort!$C:$C,Data_Cohort!$A:$A,$A14,Data_Cohort!$B:$B,2)/MAX(1,SUMIFS(Data_Months!$B:$B,Data_Months!$A:$A,EDATE($A14,2)))/1000000000</f>
        <v>5.88272660207143</v>
      </c>
    </row>
    <row r="15" customFormat="false" ht="15" hidden="false" customHeight="false" outlineLevel="0" collapsed="false">
      <c r="A15" s="28" t="n">
        <f aca="false">EDATE(Data_Params!$B$3,10)</f>
        <v>46388</v>
      </c>
      <c r="B15" s="23" t="n">
        <f aca="false">SUMIFS(Data_Signups!$B:$B,Data_Signups!$A:$A,$A15)</f>
        <v>385</v>
      </c>
      <c r="C15" s="23" t="n">
        <f aca="false">IF(SUMIFS(Data_Signups!$D:$D,Data_Signups!$A:$A,$A15)=0,"n/a",SUMIFS(Data_Signups!$C:$C,Data_Signups!$A:$A,$A15))</f>
        <v>53</v>
      </c>
      <c r="D15" s="29" t="n">
        <f aca="false">SUMIFS(Data_Cohort!$C:$C,Data_Cohort!$A:$A,$A15,Data_Cohort!$B:$B,0)/MAX(1,SUMIFS(Data_Months!$B:$B,Data_Months!$A:$A,EDATE($A15,0)))/1000000000</f>
        <v>1.4209448453871</v>
      </c>
      <c r="E15" s="29" t="n">
        <f aca="false">SUMIFS(Data_Cohort!$C:$C,Data_Cohort!$A:$A,$A15,Data_Cohort!$B:$B,1)/MAX(1,SUMIFS(Data_Months!$B:$B,Data_Months!$A:$A,EDATE($A15,1)))/1000000000</f>
        <v>6.15769955392857</v>
      </c>
    </row>
    <row r="16" customFormat="false" ht="15" hidden="false" customHeight="false" outlineLevel="0" collapsed="false">
      <c r="A16" s="28" t="n">
        <f aca="false">EDATE(Data_Params!$B$3,11)</f>
        <v>46419</v>
      </c>
      <c r="B16" s="23" t="n">
        <f aca="false">SUMIFS(Data_Signups!$B:$B,Data_Signups!$A:$A,$A16)</f>
        <v>441</v>
      </c>
      <c r="C16" s="23" t="n">
        <f aca="false">IF(SUMIFS(Data_Signups!$D:$D,Data_Signups!$A:$A,$A16)=0,"n/a",SUMIFS(Data_Signups!$C:$C,Data_Signups!$A:$A,$A16))</f>
        <v>66</v>
      </c>
      <c r="D16" s="29" t="n">
        <f aca="false">SUMIFS(Data_Cohort!$C:$C,Data_Cohort!$A:$A,$A16,Data_Cohort!$B:$B,0)/MAX(1,SUMIFS(Data_Months!$B:$B,Data_Months!$A:$A,EDATE($A16,0)))/1000000000</f>
        <v>1.132861639</v>
      </c>
    </row>
    <row r="18" customFormat="false" ht="15" hidden="false" customHeight="false" outlineLevel="0" collapsed="false">
      <c r="A18" s="2" t="s">
        <v>111</v>
      </c>
    </row>
    <row r="19" customFormat="false" ht="15" hidden="false" customHeight="false" outlineLevel="0" collapsed="false">
      <c r="A19" s="8" t="s">
        <v>96</v>
      </c>
      <c r="B19" s="8" t="s">
        <v>97</v>
      </c>
      <c r="C19" s="8"/>
      <c r="D19" s="8" t="s">
        <v>99</v>
      </c>
      <c r="E19" s="8" t="s">
        <v>100</v>
      </c>
      <c r="F19" s="8" t="s">
        <v>101</v>
      </c>
      <c r="G19" s="8" t="s">
        <v>102</v>
      </c>
      <c r="H19" s="8" t="s">
        <v>103</v>
      </c>
      <c r="I19" s="8" t="s">
        <v>104</v>
      </c>
      <c r="J19" s="8" t="s">
        <v>105</v>
      </c>
      <c r="K19" s="8" t="s">
        <v>106</v>
      </c>
      <c r="L19" s="8" t="s">
        <v>107</v>
      </c>
      <c r="M19" s="8" t="s">
        <v>108</v>
      </c>
      <c r="N19" s="8" t="s">
        <v>109</v>
      </c>
      <c r="O19" s="8" t="s">
        <v>110</v>
      </c>
    </row>
    <row r="20" customFormat="false" ht="15" hidden="false" customHeight="false" outlineLevel="0" collapsed="false">
      <c r="A20" s="28" t="n">
        <f aca="false">A5</f>
        <v>46082</v>
      </c>
      <c r="B20" s="23" t="n">
        <f aca="false">B5</f>
        <v>0</v>
      </c>
      <c r="D20" s="25" t="str">
        <f aca="false">IF($B20=0,"",SUMIFS(Data_Cohort!$D:$D,Data_Cohort!$A:$A,$A20,Data_Cohort!$B:$B,0)/$B20)</f>
        <v/>
      </c>
      <c r="E20" s="25" t="str">
        <f aca="false">IF($B20=0,"",SUMIFS(Data_Cohort!$D:$D,Data_Cohort!$A:$A,$A20,Data_Cohort!$B:$B,1)/$B20)</f>
        <v/>
      </c>
      <c r="F20" s="25" t="str">
        <f aca="false">IF($B20=0,"",SUMIFS(Data_Cohort!$D:$D,Data_Cohort!$A:$A,$A20,Data_Cohort!$B:$B,2)/$B20)</f>
        <v/>
      </c>
      <c r="G20" s="25" t="str">
        <f aca="false">IF($B20=0,"",SUMIFS(Data_Cohort!$D:$D,Data_Cohort!$A:$A,$A20,Data_Cohort!$B:$B,3)/$B20)</f>
        <v/>
      </c>
      <c r="H20" s="25" t="str">
        <f aca="false">IF($B20=0,"",SUMIFS(Data_Cohort!$D:$D,Data_Cohort!$A:$A,$A20,Data_Cohort!$B:$B,4)/$B20)</f>
        <v/>
      </c>
      <c r="I20" s="25" t="str">
        <f aca="false">IF($B20=0,"",SUMIFS(Data_Cohort!$D:$D,Data_Cohort!$A:$A,$A20,Data_Cohort!$B:$B,5)/$B20)</f>
        <v/>
      </c>
      <c r="J20" s="25" t="str">
        <f aca="false">IF($B20=0,"",SUMIFS(Data_Cohort!$D:$D,Data_Cohort!$A:$A,$A20,Data_Cohort!$B:$B,6)/$B20)</f>
        <v/>
      </c>
      <c r="K20" s="25" t="str">
        <f aca="false">IF($B20=0,"",SUMIFS(Data_Cohort!$D:$D,Data_Cohort!$A:$A,$A20,Data_Cohort!$B:$B,7)/$B20)</f>
        <v/>
      </c>
      <c r="L20" s="25" t="str">
        <f aca="false">IF($B20=0,"",SUMIFS(Data_Cohort!$D:$D,Data_Cohort!$A:$A,$A20,Data_Cohort!$B:$B,8)/$B20)</f>
        <v/>
      </c>
      <c r="M20" s="25" t="str">
        <f aca="false">IF($B20=0,"",SUMIFS(Data_Cohort!$D:$D,Data_Cohort!$A:$A,$A20,Data_Cohort!$B:$B,9)/$B20)</f>
        <v/>
      </c>
      <c r="N20" s="25" t="str">
        <f aca="false">IF($B20=0,"",SUMIFS(Data_Cohort!$D:$D,Data_Cohort!$A:$A,$A20,Data_Cohort!$B:$B,10)/$B20)</f>
        <v/>
      </c>
      <c r="O20" s="25" t="str">
        <f aca="false">IF($B20=0,"",SUMIFS(Data_Cohort!$D:$D,Data_Cohort!$A:$A,$A20,Data_Cohort!$B:$B,11)/$B20)</f>
        <v/>
      </c>
    </row>
    <row r="21" customFormat="false" ht="15" hidden="false" customHeight="false" outlineLevel="0" collapsed="false">
      <c r="A21" s="28" t="n">
        <f aca="false">A6</f>
        <v>46113</v>
      </c>
      <c r="B21" s="23" t="n">
        <f aca="false">B6</f>
        <v>0</v>
      </c>
      <c r="D21" s="25" t="str">
        <f aca="false">IF($B21=0,"",SUMIFS(Data_Cohort!$D:$D,Data_Cohort!$A:$A,$A21,Data_Cohort!$B:$B,0)/$B21)</f>
        <v/>
      </c>
      <c r="E21" s="25" t="str">
        <f aca="false">IF($B21=0,"",SUMIFS(Data_Cohort!$D:$D,Data_Cohort!$A:$A,$A21,Data_Cohort!$B:$B,1)/$B21)</f>
        <v/>
      </c>
      <c r="F21" s="25" t="str">
        <f aca="false">IF($B21=0,"",SUMIFS(Data_Cohort!$D:$D,Data_Cohort!$A:$A,$A21,Data_Cohort!$B:$B,2)/$B21)</f>
        <v/>
      </c>
      <c r="G21" s="25" t="str">
        <f aca="false">IF($B21=0,"",SUMIFS(Data_Cohort!$D:$D,Data_Cohort!$A:$A,$A21,Data_Cohort!$B:$B,3)/$B21)</f>
        <v/>
      </c>
      <c r="H21" s="25" t="str">
        <f aca="false">IF($B21=0,"",SUMIFS(Data_Cohort!$D:$D,Data_Cohort!$A:$A,$A21,Data_Cohort!$B:$B,4)/$B21)</f>
        <v/>
      </c>
      <c r="I21" s="25" t="str">
        <f aca="false">IF($B21=0,"",SUMIFS(Data_Cohort!$D:$D,Data_Cohort!$A:$A,$A21,Data_Cohort!$B:$B,5)/$B21)</f>
        <v/>
      </c>
      <c r="J21" s="25" t="str">
        <f aca="false">IF($B21=0,"",SUMIFS(Data_Cohort!$D:$D,Data_Cohort!$A:$A,$A21,Data_Cohort!$B:$B,6)/$B21)</f>
        <v/>
      </c>
      <c r="K21" s="25" t="str">
        <f aca="false">IF($B21=0,"",SUMIFS(Data_Cohort!$D:$D,Data_Cohort!$A:$A,$A21,Data_Cohort!$B:$B,7)/$B21)</f>
        <v/>
      </c>
      <c r="L21" s="25" t="str">
        <f aca="false">IF($B21=0,"",SUMIFS(Data_Cohort!$D:$D,Data_Cohort!$A:$A,$A21,Data_Cohort!$B:$B,8)/$B21)</f>
        <v/>
      </c>
      <c r="M21" s="25" t="str">
        <f aca="false">IF($B21=0,"",SUMIFS(Data_Cohort!$D:$D,Data_Cohort!$A:$A,$A21,Data_Cohort!$B:$B,9)/$B21)</f>
        <v/>
      </c>
      <c r="N21" s="25" t="str">
        <f aca="false">IF($B21=0,"",SUMIFS(Data_Cohort!$D:$D,Data_Cohort!$A:$A,$A21,Data_Cohort!$B:$B,10)/$B21)</f>
        <v/>
      </c>
    </row>
    <row r="22" customFormat="false" ht="15" hidden="false" customHeight="false" outlineLevel="0" collapsed="false">
      <c r="A22" s="28" t="n">
        <f aca="false">A7</f>
        <v>46143</v>
      </c>
      <c r="B22" s="23" t="n">
        <f aca="false">B7</f>
        <v>0</v>
      </c>
      <c r="D22" s="25" t="str">
        <f aca="false">IF($B22=0,"",SUMIFS(Data_Cohort!$D:$D,Data_Cohort!$A:$A,$A22,Data_Cohort!$B:$B,0)/$B22)</f>
        <v/>
      </c>
      <c r="E22" s="25" t="str">
        <f aca="false">IF($B22=0,"",SUMIFS(Data_Cohort!$D:$D,Data_Cohort!$A:$A,$A22,Data_Cohort!$B:$B,1)/$B22)</f>
        <v/>
      </c>
      <c r="F22" s="25" t="str">
        <f aca="false">IF($B22=0,"",SUMIFS(Data_Cohort!$D:$D,Data_Cohort!$A:$A,$A22,Data_Cohort!$B:$B,2)/$B22)</f>
        <v/>
      </c>
      <c r="G22" s="25" t="str">
        <f aca="false">IF($B22=0,"",SUMIFS(Data_Cohort!$D:$D,Data_Cohort!$A:$A,$A22,Data_Cohort!$B:$B,3)/$B22)</f>
        <v/>
      </c>
      <c r="H22" s="25" t="str">
        <f aca="false">IF($B22=0,"",SUMIFS(Data_Cohort!$D:$D,Data_Cohort!$A:$A,$A22,Data_Cohort!$B:$B,4)/$B22)</f>
        <v/>
      </c>
      <c r="I22" s="25" t="str">
        <f aca="false">IF($B22=0,"",SUMIFS(Data_Cohort!$D:$D,Data_Cohort!$A:$A,$A22,Data_Cohort!$B:$B,5)/$B22)</f>
        <v/>
      </c>
      <c r="J22" s="25" t="str">
        <f aca="false">IF($B22=0,"",SUMIFS(Data_Cohort!$D:$D,Data_Cohort!$A:$A,$A22,Data_Cohort!$B:$B,6)/$B22)</f>
        <v/>
      </c>
      <c r="K22" s="25" t="str">
        <f aca="false">IF($B22=0,"",SUMIFS(Data_Cohort!$D:$D,Data_Cohort!$A:$A,$A22,Data_Cohort!$B:$B,7)/$B22)</f>
        <v/>
      </c>
      <c r="L22" s="25" t="str">
        <f aca="false">IF($B22=0,"",SUMIFS(Data_Cohort!$D:$D,Data_Cohort!$A:$A,$A22,Data_Cohort!$B:$B,8)/$B22)</f>
        <v/>
      </c>
      <c r="M22" s="25" t="str">
        <f aca="false">IF($B22=0,"",SUMIFS(Data_Cohort!$D:$D,Data_Cohort!$A:$A,$A22,Data_Cohort!$B:$B,9)/$B22)</f>
        <v/>
      </c>
    </row>
    <row r="23" customFormat="false" ht="15" hidden="false" customHeight="false" outlineLevel="0" collapsed="false">
      <c r="A23" s="28" t="n">
        <f aca="false">A8</f>
        <v>46174</v>
      </c>
      <c r="B23" s="23" t="n">
        <f aca="false">B8</f>
        <v>0</v>
      </c>
      <c r="D23" s="25" t="str">
        <f aca="false">IF($B23=0,"",SUMIFS(Data_Cohort!$D:$D,Data_Cohort!$A:$A,$A23,Data_Cohort!$B:$B,0)/$B23)</f>
        <v/>
      </c>
      <c r="E23" s="25" t="str">
        <f aca="false">IF($B23=0,"",SUMIFS(Data_Cohort!$D:$D,Data_Cohort!$A:$A,$A23,Data_Cohort!$B:$B,1)/$B23)</f>
        <v/>
      </c>
      <c r="F23" s="25" t="str">
        <f aca="false">IF($B23=0,"",SUMIFS(Data_Cohort!$D:$D,Data_Cohort!$A:$A,$A23,Data_Cohort!$B:$B,2)/$B23)</f>
        <v/>
      </c>
      <c r="G23" s="25" t="str">
        <f aca="false">IF($B23=0,"",SUMIFS(Data_Cohort!$D:$D,Data_Cohort!$A:$A,$A23,Data_Cohort!$B:$B,3)/$B23)</f>
        <v/>
      </c>
      <c r="H23" s="25" t="str">
        <f aca="false">IF($B23=0,"",SUMIFS(Data_Cohort!$D:$D,Data_Cohort!$A:$A,$A23,Data_Cohort!$B:$B,4)/$B23)</f>
        <v/>
      </c>
      <c r="I23" s="25" t="str">
        <f aca="false">IF($B23=0,"",SUMIFS(Data_Cohort!$D:$D,Data_Cohort!$A:$A,$A23,Data_Cohort!$B:$B,5)/$B23)</f>
        <v/>
      </c>
      <c r="J23" s="25" t="str">
        <f aca="false">IF($B23=0,"",SUMIFS(Data_Cohort!$D:$D,Data_Cohort!$A:$A,$A23,Data_Cohort!$B:$B,6)/$B23)</f>
        <v/>
      </c>
      <c r="K23" s="25" t="str">
        <f aca="false">IF($B23=0,"",SUMIFS(Data_Cohort!$D:$D,Data_Cohort!$A:$A,$A23,Data_Cohort!$B:$B,7)/$B23)</f>
        <v/>
      </c>
      <c r="L23" s="25" t="str">
        <f aca="false">IF($B23=0,"",SUMIFS(Data_Cohort!$D:$D,Data_Cohort!$A:$A,$A23,Data_Cohort!$B:$B,8)/$B23)</f>
        <v/>
      </c>
    </row>
    <row r="24" customFormat="false" ht="15" hidden="false" customHeight="false" outlineLevel="0" collapsed="false">
      <c r="A24" s="28" t="n">
        <f aca="false">A9</f>
        <v>46204</v>
      </c>
      <c r="B24" s="23" t="n">
        <f aca="false">B9</f>
        <v>0</v>
      </c>
      <c r="D24" s="25" t="str">
        <f aca="false">IF($B24=0,"",SUMIFS(Data_Cohort!$D:$D,Data_Cohort!$A:$A,$A24,Data_Cohort!$B:$B,0)/$B24)</f>
        <v/>
      </c>
      <c r="E24" s="25" t="str">
        <f aca="false">IF($B24=0,"",SUMIFS(Data_Cohort!$D:$D,Data_Cohort!$A:$A,$A24,Data_Cohort!$B:$B,1)/$B24)</f>
        <v/>
      </c>
      <c r="F24" s="25" t="str">
        <f aca="false">IF($B24=0,"",SUMIFS(Data_Cohort!$D:$D,Data_Cohort!$A:$A,$A24,Data_Cohort!$B:$B,2)/$B24)</f>
        <v/>
      </c>
      <c r="G24" s="25" t="str">
        <f aca="false">IF($B24=0,"",SUMIFS(Data_Cohort!$D:$D,Data_Cohort!$A:$A,$A24,Data_Cohort!$B:$B,3)/$B24)</f>
        <v/>
      </c>
      <c r="H24" s="25" t="str">
        <f aca="false">IF($B24=0,"",SUMIFS(Data_Cohort!$D:$D,Data_Cohort!$A:$A,$A24,Data_Cohort!$B:$B,4)/$B24)</f>
        <v/>
      </c>
      <c r="I24" s="25" t="str">
        <f aca="false">IF($B24=0,"",SUMIFS(Data_Cohort!$D:$D,Data_Cohort!$A:$A,$A24,Data_Cohort!$B:$B,5)/$B24)</f>
        <v/>
      </c>
      <c r="J24" s="25" t="str">
        <f aca="false">IF($B24=0,"",SUMIFS(Data_Cohort!$D:$D,Data_Cohort!$A:$A,$A24,Data_Cohort!$B:$B,6)/$B24)</f>
        <v/>
      </c>
      <c r="K24" s="25" t="str">
        <f aca="false">IF($B24=0,"",SUMIFS(Data_Cohort!$D:$D,Data_Cohort!$A:$A,$A24,Data_Cohort!$B:$B,7)/$B24)</f>
        <v/>
      </c>
    </row>
    <row r="25" customFormat="false" ht="15" hidden="false" customHeight="false" outlineLevel="0" collapsed="false">
      <c r="A25" s="28" t="n">
        <f aca="false">A10</f>
        <v>46235</v>
      </c>
      <c r="B25" s="23" t="n">
        <f aca="false">B10</f>
        <v>0</v>
      </c>
      <c r="D25" s="25" t="str">
        <f aca="false">IF($B25=0,"",SUMIFS(Data_Cohort!$D:$D,Data_Cohort!$A:$A,$A25,Data_Cohort!$B:$B,0)/$B25)</f>
        <v/>
      </c>
      <c r="E25" s="25" t="str">
        <f aca="false">IF($B25=0,"",SUMIFS(Data_Cohort!$D:$D,Data_Cohort!$A:$A,$A25,Data_Cohort!$B:$B,1)/$B25)</f>
        <v/>
      </c>
      <c r="F25" s="25" t="str">
        <f aca="false">IF($B25=0,"",SUMIFS(Data_Cohort!$D:$D,Data_Cohort!$A:$A,$A25,Data_Cohort!$B:$B,2)/$B25)</f>
        <v/>
      </c>
      <c r="G25" s="25" t="str">
        <f aca="false">IF($B25=0,"",SUMIFS(Data_Cohort!$D:$D,Data_Cohort!$A:$A,$A25,Data_Cohort!$B:$B,3)/$B25)</f>
        <v/>
      </c>
      <c r="H25" s="25" t="str">
        <f aca="false">IF($B25=0,"",SUMIFS(Data_Cohort!$D:$D,Data_Cohort!$A:$A,$A25,Data_Cohort!$B:$B,4)/$B25)</f>
        <v/>
      </c>
      <c r="I25" s="25" t="str">
        <f aca="false">IF($B25=0,"",SUMIFS(Data_Cohort!$D:$D,Data_Cohort!$A:$A,$A25,Data_Cohort!$B:$B,5)/$B25)</f>
        <v/>
      </c>
      <c r="J25" s="25" t="str">
        <f aca="false">IF($B25=0,"",SUMIFS(Data_Cohort!$D:$D,Data_Cohort!$A:$A,$A25,Data_Cohort!$B:$B,6)/$B25)</f>
        <v/>
      </c>
    </row>
    <row r="26" customFormat="false" ht="15" hidden="false" customHeight="false" outlineLevel="0" collapsed="false">
      <c r="A26" s="28" t="n">
        <f aca="false">A11</f>
        <v>46266</v>
      </c>
      <c r="B26" s="23" t="n">
        <f aca="false">B11</f>
        <v>204</v>
      </c>
      <c r="D26" s="25" t="n">
        <f aca="false">IF($B26=0,"",SUMIFS(Data_Cohort!$D:$D,Data_Cohort!$A:$A,$A26,Data_Cohort!$B:$B,0)/$B26)</f>
        <v>1</v>
      </c>
      <c r="E26" s="25" t="n">
        <f aca="false">IF($B26=0,"",SUMIFS(Data_Cohort!$D:$D,Data_Cohort!$A:$A,$A26,Data_Cohort!$B:$B,1)/$B26)</f>
        <v>0.397058823529412</v>
      </c>
      <c r="F26" s="25" t="n">
        <f aca="false">IF($B26=0,"",SUMIFS(Data_Cohort!$D:$D,Data_Cohort!$A:$A,$A26,Data_Cohort!$B:$B,2)/$B26)</f>
        <v>0.122549019607843</v>
      </c>
      <c r="G26" s="25" t="n">
        <f aca="false">IF($B26=0,"",SUMIFS(Data_Cohort!$D:$D,Data_Cohort!$A:$A,$A26,Data_Cohort!$B:$B,3)/$B26)</f>
        <v>0.122549019607843</v>
      </c>
      <c r="H26" s="25" t="n">
        <f aca="false">IF($B26=0,"",SUMIFS(Data_Cohort!$D:$D,Data_Cohort!$A:$A,$A26,Data_Cohort!$B:$B,4)/$B26)</f>
        <v>0.117647058823529</v>
      </c>
      <c r="I26" s="25" t="n">
        <f aca="false">IF($B26=0,"",SUMIFS(Data_Cohort!$D:$D,Data_Cohort!$A:$A,$A26,Data_Cohort!$B:$B,5)/$B26)</f>
        <v>0.102941176470588</v>
      </c>
    </row>
    <row r="27" customFormat="false" ht="15" hidden="false" customHeight="false" outlineLevel="0" collapsed="false">
      <c r="A27" s="28" t="n">
        <f aca="false">A12</f>
        <v>46296</v>
      </c>
      <c r="B27" s="23" t="n">
        <f aca="false">B12</f>
        <v>302</v>
      </c>
      <c r="D27" s="25" t="n">
        <f aca="false">IF($B27=0,"",SUMIFS(Data_Cohort!$D:$D,Data_Cohort!$A:$A,$A27,Data_Cohort!$B:$B,0)/$B27)</f>
        <v>1</v>
      </c>
      <c r="E27" s="25" t="n">
        <f aca="false">IF($B27=0,"",SUMIFS(Data_Cohort!$D:$D,Data_Cohort!$A:$A,$A27,Data_Cohort!$B:$B,1)/$B27)</f>
        <v>0.228476821192053</v>
      </c>
      <c r="F27" s="25" t="n">
        <f aca="false">IF($B27=0,"",SUMIFS(Data_Cohort!$D:$D,Data_Cohort!$A:$A,$A27,Data_Cohort!$B:$B,2)/$B27)</f>
        <v>0.125827814569536</v>
      </c>
      <c r="G27" s="25" t="n">
        <f aca="false">IF($B27=0,"",SUMIFS(Data_Cohort!$D:$D,Data_Cohort!$A:$A,$A27,Data_Cohort!$B:$B,3)/$B27)</f>
        <v>0.122516556291391</v>
      </c>
      <c r="H27" s="25" t="n">
        <f aca="false">IF($B27=0,"",SUMIFS(Data_Cohort!$D:$D,Data_Cohort!$A:$A,$A27,Data_Cohort!$B:$B,4)/$B27)</f>
        <v>0.115894039735099</v>
      </c>
    </row>
    <row r="28" customFormat="false" ht="15" hidden="false" customHeight="false" outlineLevel="0" collapsed="false">
      <c r="A28" s="28" t="n">
        <f aca="false">A13</f>
        <v>46327</v>
      </c>
      <c r="B28" s="23" t="n">
        <f aca="false">B13</f>
        <v>349</v>
      </c>
      <c r="D28" s="25" t="n">
        <f aca="false">IF($B28=0,"",SUMIFS(Data_Cohort!$D:$D,Data_Cohort!$A:$A,$A28,Data_Cohort!$B:$B,0)/$B28)</f>
        <v>1</v>
      </c>
      <c r="E28" s="25" t="n">
        <f aca="false">IF($B28=0,"",SUMIFS(Data_Cohort!$D:$D,Data_Cohort!$A:$A,$A28,Data_Cohort!$B:$B,1)/$B28)</f>
        <v>0.260744985673352</v>
      </c>
      <c r="F28" s="25" t="n">
        <f aca="false">IF($B28=0,"",SUMIFS(Data_Cohort!$D:$D,Data_Cohort!$A:$A,$A28,Data_Cohort!$B:$B,2)/$B28)</f>
        <v>0.128939828080229</v>
      </c>
      <c r="G28" s="25" t="n">
        <f aca="false">IF($B28=0,"",SUMIFS(Data_Cohort!$D:$D,Data_Cohort!$A:$A,$A28,Data_Cohort!$B:$B,3)/$B28)</f>
        <v>0.114613180515759</v>
      </c>
    </row>
    <row r="29" customFormat="false" ht="15" hidden="false" customHeight="false" outlineLevel="0" collapsed="false">
      <c r="A29" s="28" t="n">
        <f aca="false">A14</f>
        <v>46357</v>
      </c>
      <c r="B29" s="23" t="n">
        <f aca="false">B14</f>
        <v>335</v>
      </c>
      <c r="D29" s="25" t="n">
        <f aca="false">IF($B29=0,"",SUMIFS(Data_Cohort!$D:$D,Data_Cohort!$A:$A,$A29,Data_Cohort!$B:$B,0)/$B29)</f>
        <v>1</v>
      </c>
      <c r="E29" s="25" t="n">
        <f aca="false">IF($B29=0,"",SUMIFS(Data_Cohort!$D:$D,Data_Cohort!$A:$A,$A29,Data_Cohort!$B:$B,1)/$B29)</f>
        <v>0.229850746268657</v>
      </c>
      <c r="F29" s="25" t="n">
        <f aca="false">IF($B29=0,"",SUMIFS(Data_Cohort!$D:$D,Data_Cohort!$A:$A,$A29,Data_Cohort!$B:$B,2)/$B29)</f>
        <v>0.116417910447761</v>
      </c>
    </row>
    <row r="30" customFormat="false" ht="15" hidden="false" customHeight="false" outlineLevel="0" collapsed="false">
      <c r="A30" s="28" t="n">
        <f aca="false">A15</f>
        <v>46388</v>
      </c>
      <c r="B30" s="23" t="n">
        <f aca="false">B15</f>
        <v>385</v>
      </c>
      <c r="D30" s="25" t="n">
        <f aca="false">IF($B30=0,"",SUMIFS(Data_Cohort!$D:$D,Data_Cohort!$A:$A,$A30,Data_Cohort!$B:$B,0)/$B30)</f>
        <v>1</v>
      </c>
      <c r="E30" s="25" t="n">
        <f aca="false">IF($B30=0,"",SUMIFS(Data_Cohort!$D:$D,Data_Cohort!$A:$A,$A30,Data_Cohort!$B:$B,1)/$B30)</f>
        <v>0.246753246753247</v>
      </c>
    </row>
    <row r="31" customFormat="false" ht="15" hidden="false" customHeight="false" outlineLevel="0" collapsed="false">
      <c r="A31" s="28" t="n">
        <f aca="false">A16</f>
        <v>46419</v>
      </c>
      <c r="B31" s="23" t="n">
        <f aca="false">B16</f>
        <v>441</v>
      </c>
      <c r="D31" s="25" t="n">
        <f aca="false">IF($B31=0,"",SUMIFS(Data_Cohort!$D:$D,Data_Cohort!$A:$A,$A31,Data_Cohort!$B:$B,0)/$B31)</f>
        <v>1</v>
      </c>
    </row>
    <row r="33" customFormat="false" ht="15" hidden="false" customHeight="false" outlineLevel="0" collapsed="false">
      <c r="A33" s="7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7" min="4" style="0" width="14"/>
    <col collapsed="false" customWidth="true" hidden="false" outlineLevel="0" max="19" min="8" style="0" width="11"/>
  </cols>
  <sheetData>
    <row r="1" customFormat="false" ht="17.35" hidden="false" customHeight="false" outlineLevel="0" collapsed="false">
      <c r="A1" s="1" t="str">
        <f aca="false">Data_Params!$B$14&amp;" | Enterprise: usage vs commitment"</f>
        <v>Example Co (synthetic data) | Enterprise: usage vs commitment</v>
      </c>
    </row>
    <row r="2" customFormat="false" ht="15" hidden="false" customHeight="false" outlineLevel="0" collapsed="false">
      <c r="A2" s="7" t="s">
        <v>113</v>
      </c>
    </row>
    <row r="4" customFormat="false" ht="23.85" hidden="false" customHeight="false" outlineLevel="0" collapsed="false">
      <c r="A4" s="8" t="s">
        <v>114</v>
      </c>
      <c r="B4" s="8" t="s">
        <v>115</v>
      </c>
      <c r="C4" s="8" t="s">
        <v>116</v>
      </c>
      <c r="D4" s="8" t="s">
        <v>117</v>
      </c>
      <c r="E4" s="8" t="s">
        <v>118</v>
      </c>
      <c r="F4" s="8" t="s">
        <v>119</v>
      </c>
      <c r="G4" s="8" t="s">
        <v>120</v>
      </c>
      <c r="H4" s="9" t="n">
        <f aca="false">EDATE(Data_Params!$B$3,0)</f>
        <v>46082</v>
      </c>
      <c r="I4" s="9" t="n">
        <f aca="false">EDATE(Data_Params!$B$3,1)</f>
        <v>46113</v>
      </c>
      <c r="J4" s="9" t="n">
        <f aca="false">EDATE(Data_Params!$B$3,2)</f>
        <v>46143</v>
      </c>
      <c r="K4" s="9" t="n">
        <f aca="false">EDATE(Data_Params!$B$3,3)</f>
        <v>46174</v>
      </c>
      <c r="L4" s="9" t="n">
        <f aca="false">EDATE(Data_Params!$B$3,4)</f>
        <v>46204</v>
      </c>
      <c r="M4" s="9" t="n">
        <f aca="false">EDATE(Data_Params!$B$3,5)</f>
        <v>46235</v>
      </c>
      <c r="N4" s="9" t="n">
        <f aca="false">EDATE(Data_Params!$B$3,6)</f>
        <v>46266</v>
      </c>
      <c r="O4" s="9" t="n">
        <f aca="false">EDATE(Data_Params!$B$3,7)</f>
        <v>46296</v>
      </c>
      <c r="P4" s="9" t="n">
        <f aca="false">EDATE(Data_Params!$B$3,8)</f>
        <v>46327</v>
      </c>
      <c r="Q4" s="9" t="n">
        <f aca="false">EDATE(Data_Params!$B$3,9)</f>
        <v>46357</v>
      </c>
      <c r="R4" s="9" t="n">
        <f aca="false">EDATE(Data_Params!$B$3,10)</f>
        <v>46388</v>
      </c>
      <c r="S4" s="9" t="n">
        <f aca="false">EDATE(Data_Params!$B$3,11)</f>
        <v>46419</v>
      </c>
    </row>
    <row r="5" customFormat="false" ht="15" hidden="false" customHeight="false" outlineLevel="0" collapsed="false">
      <c r="A5" s="3" t="str">
        <f aca="false">IF(INDEX(Data_Contracts!$A:$A,1+1)="","",INDEX(Data_Contracts!$A:$A,1+1))</f>
        <v>Quanta Assist</v>
      </c>
      <c r="B5" s="30" t="n">
        <f aca="false">IF(INDEX(Data_Contracts!$C:$C,1+1)="","",INDEX(Data_Contracts!$C:$C,1+1))</f>
        <v>46296</v>
      </c>
      <c r="C5" s="30" t="str">
        <f aca="false">IF(INDEX(Data_Contracts!$D:$D,1+1)="","",INDEX(Data_Contracts!$D:$D,1+1))</f>
        <v/>
      </c>
      <c r="D5" s="31" t="n">
        <f aca="false">IF(INDEX(Data_Contracts!$E:$E,1+1)="","",INDEX(Data_Contracts!$E:$E,1+1))</f>
        <v>30000</v>
      </c>
      <c r="E5" s="26" t="n">
        <f aca="false">IF(INDEX(Data_Contracts!$F:$F,1+1)="","",INDEX(Data_Contracts!$F:$F,1+1))</f>
        <v>0.0357</v>
      </c>
      <c r="F5" s="25" t="n">
        <f aca="false">IF(OR($A5="",N($D5)=0),"",S5/$D5)</f>
        <v>1.38971563436468</v>
      </c>
      <c r="G5" s="31" t="n">
        <f aca="false">IF($A5="","",SUMIFS(Data_EntMonth!$F:$F,Data_EntMonth!$A:$A,$A5,Data_EntMonth!$B:$B,S$4))</f>
        <v>0</v>
      </c>
      <c r="H5" s="31" t="n">
        <f aca="false">IF($A5="","",SUMIFS(Data_EntMonth!$D:$D,Data_EntMonth!$A:$A,$A5,Data_EntMonth!$B:$B,H$4))</f>
        <v>0</v>
      </c>
      <c r="I5" s="31" t="n">
        <f aca="false">IF($A5="","",SUMIFS(Data_EntMonth!$D:$D,Data_EntMonth!$A:$A,$A5,Data_EntMonth!$B:$B,I$4))</f>
        <v>0</v>
      </c>
      <c r="J5" s="31" t="n">
        <f aca="false">IF($A5="","",SUMIFS(Data_EntMonth!$D:$D,Data_EntMonth!$A:$A,$A5,Data_EntMonth!$B:$B,J$4))</f>
        <v>0</v>
      </c>
      <c r="K5" s="31" t="n">
        <f aca="false">IF($A5="","",SUMIFS(Data_EntMonth!$D:$D,Data_EntMonth!$A:$A,$A5,Data_EntMonth!$B:$B,K$4))</f>
        <v>0</v>
      </c>
      <c r="L5" s="31" t="n">
        <f aca="false">IF($A5="","",SUMIFS(Data_EntMonth!$D:$D,Data_EntMonth!$A:$A,$A5,Data_EntMonth!$B:$B,L$4))</f>
        <v>0</v>
      </c>
      <c r="M5" s="31" t="n">
        <f aca="false">IF($A5="","",SUMIFS(Data_EntMonth!$D:$D,Data_EntMonth!$A:$A,$A5,Data_EntMonth!$B:$B,M$4))</f>
        <v>0</v>
      </c>
      <c r="N5" s="31" t="n">
        <f aca="false">IF($A5="","",SUMIFS(Data_EntMonth!$D:$D,Data_EntMonth!$A:$A,$A5,Data_EntMonth!$B:$B,N$4))</f>
        <v>0</v>
      </c>
      <c r="O5" s="31" t="n">
        <f aca="false">IF($A5="","",SUMIFS(Data_EntMonth!$D:$D,Data_EntMonth!$A:$A,$A5,Data_EntMonth!$B:$B,O$4))</f>
        <v>14978.1262248723</v>
      </c>
      <c r="P5" s="31" t="n">
        <f aca="false">IF($A5="","",SUMIFS(Data_EntMonth!$D:$D,Data_EntMonth!$A:$A,$A5,Data_EntMonth!$B:$B,P$4))</f>
        <v>34917.1914495054</v>
      </c>
      <c r="Q5" s="31" t="n">
        <f aca="false">IF($A5="","",SUMIFS(Data_EntMonth!$D:$D,Data_EntMonth!$A:$A,$A5,Data_EntMonth!$B:$B,Q$4))</f>
        <v>46802.8626265662</v>
      </c>
      <c r="R5" s="31" t="n">
        <f aca="false">IF($A5="","",SUMIFS(Data_EntMonth!$D:$D,Data_EntMonth!$A:$A,$A5,Data_EntMonth!$B:$B,R$4))</f>
        <v>45254.1279117417</v>
      </c>
      <c r="S5" s="31" t="n">
        <f aca="false">IF($A5="","",SUMIFS(Data_EntMonth!$D:$D,Data_EntMonth!$A:$A,$A5,Data_EntMonth!$B:$B,S$4))</f>
        <v>41691.4690309404</v>
      </c>
    </row>
    <row r="6" customFormat="false" ht="15" hidden="false" customHeight="false" outlineLevel="0" collapsed="false">
      <c r="A6" s="3" t="str">
        <f aca="false">IF(INDEX(Data_Contracts!$A:$A,2+1)="","",INDEX(Data_Contracts!$A:$A,2+1))</f>
        <v>Ledgerline Payments</v>
      </c>
      <c r="B6" s="30" t="n">
        <f aca="false">IF(INDEX(Data_Contracts!$C:$C,2+1)="","",INDEX(Data_Contracts!$C:$C,2+1))</f>
        <v>46310</v>
      </c>
      <c r="C6" s="30" t="str">
        <f aca="false">IF(INDEX(Data_Contracts!$D:$D,2+1)="","",INDEX(Data_Contracts!$D:$D,2+1))</f>
        <v/>
      </c>
      <c r="D6" s="31" t="n">
        <f aca="false">IF(INDEX(Data_Contracts!$E:$E,2+1)="","",INDEX(Data_Contracts!$E:$E,2+1))</f>
        <v>40000</v>
      </c>
      <c r="E6" s="26" t="n">
        <f aca="false">IF(INDEX(Data_Contracts!$F:$F,2+1)="","",INDEX(Data_Contracts!$F:$F,2+1))</f>
        <v>0.0336</v>
      </c>
      <c r="F6" s="25" t="n">
        <f aca="false">IF(OR($A6="",N($D6)=0),"",S6/$D6)</f>
        <v>1.06937024930484</v>
      </c>
      <c r="G6" s="31" t="n">
        <f aca="false">IF($A6="","",SUMIFS(Data_EntMonth!$F:$F,Data_EntMonth!$A:$A,$A6,Data_EntMonth!$B:$B,S$4))</f>
        <v>0</v>
      </c>
      <c r="H6" s="31" t="n">
        <f aca="false">IF($A6="","",SUMIFS(Data_EntMonth!$D:$D,Data_EntMonth!$A:$A,$A6,Data_EntMonth!$B:$B,H$4))</f>
        <v>0</v>
      </c>
      <c r="I6" s="31" t="n">
        <f aca="false">IF($A6="","",SUMIFS(Data_EntMonth!$D:$D,Data_EntMonth!$A:$A,$A6,Data_EntMonth!$B:$B,I$4))</f>
        <v>0</v>
      </c>
      <c r="J6" s="31" t="n">
        <f aca="false">IF($A6="","",SUMIFS(Data_EntMonth!$D:$D,Data_EntMonth!$A:$A,$A6,Data_EntMonth!$B:$B,J$4))</f>
        <v>0</v>
      </c>
      <c r="K6" s="31" t="n">
        <f aca="false">IF($A6="","",SUMIFS(Data_EntMonth!$D:$D,Data_EntMonth!$A:$A,$A6,Data_EntMonth!$B:$B,K$4))</f>
        <v>0</v>
      </c>
      <c r="L6" s="31" t="n">
        <f aca="false">IF($A6="","",SUMIFS(Data_EntMonth!$D:$D,Data_EntMonth!$A:$A,$A6,Data_EntMonth!$B:$B,L$4))</f>
        <v>0</v>
      </c>
      <c r="M6" s="31" t="n">
        <f aca="false">IF($A6="","",SUMIFS(Data_EntMonth!$D:$D,Data_EntMonth!$A:$A,$A6,Data_EntMonth!$B:$B,M$4))</f>
        <v>0</v>
      </c>
      <c r="N6" s="31" t="n">
        <f aca="false">IF($A6="","",SUMIFS(Data_EntMonth!$D:$D,Data_EntMonth!$A:$A,$A6,Data_EntMonth!$B:$B,N$4))</f>
        <v>0</v>
      </c>
      <c r="O6" s="31" t="n">
        <f aca="false">IF($A6="","",SUMIFS(Data_EntMonth!$D:$D,Data_EntMonth!$A:$A,$A6,Data_EntMonth!$B:$B,O$4))</f>
        <v>5537.865407424</v>
      </c>
      <c r="P6" s="31" t="n">
        <f aca="false">IF($A6="","",SUMIFS(Data_EntMonth!$D:$D,Data_EntMonth!$A:$A,$A6,Data_EntMonth!$B:$B,P$4))</f>
        <v>26079.2116111968</v>
      </c>
      <c r="Q6" s="31" t="n">
        <f aca="false">IF($A6="","",SUMIFS(Data_EntMonth!$D:$D,Data_EntMonth!$A:$A,$A6,Data_EntMonth!$B:$B,Q$4))</f>
        <v>46133.5003433136</v>
      </c>
      <c r="R6" s="31" t="n">
        <f aca="false">IF($A6="","",SUMIFS(Data_EntMonth!$D:$D,Data_EntMonth!$A:$A,$A6,Data_EntMonth!$B:$B,R$4))</f>
        <v>47608.0556311248</v>
      </c>
      <c r="S6" s="31" t="n">
        <f aca="false">IF($A6="","",SUMIFS(Data_EntMonth!$D:$D,Data_EntMonth!$A:$A,$A6,Data_EntMonth!$B:$B,S$4))</f>
        <v>42774.8099721936</v>
      </c>
    </row>
    <row r="7" customFormat="false" ht="15" hidden="false" customHeight="false" outlineLevel="0" collapsed="false">
      <c r="A7" s="3" t="str">
        <f aca="false">IF(INDEX(Data_Contracts!$A:$A,3+1)="","",INDEX(Data_Contracts!$A:$A,3+1))</f>
        <v>Northwind Insurance</v>
      </c>
      <c r="B7" s="30" t="n">
        <f aca="false">IF(INDEX(Data_Contracts!$C:$C,3+1)="","",INDEX(Data_Contracts!$C:$C,3+1))</f>
        <v>46327</v>
      </c>
      <c r="C7" s="30" t="str">
        <f aca="false">IF(INDEX(Data_Contracts!$D:$D,3+1)="","",INDEX(Data_Contracts!$D:$D,3+1))</f>
        <v/>
      </c>
      <c r="D7" s="31" t="n">
        <f aca="false">IF(INDEX(Data_Contracts!$E:$E,3+1)="","",INDEX(Data_Contracts!$E:$E,3+1))</f>
        <v>20000</v>
      </c>
      <c r="E7" s="26" t="n">
        <f aca="false">IF(INDEX(Data_Contracts!$F:$F,3+1)="","",INDEX(Data_Contracts!$F:$F,3+1))</f>
        <v>0.0357</v>
      </c>
      <c r="F7" s="25" t="n">
        <f aca="false">IF(OR($A7="",N($D7)=0),"",S7/$D7)</f>
        <v>0.45563303552319</v>
      </c>
      <c r="G7" s="31" t="n">
        <f aca="false">IF($A7="","",SUMIFS(Data_EntMonth!$F:$F,Data_EntMonth!$A:$A,$A7,Data_EntMonth!$B:$B,S$4))</f>
        <v>10887.3392895362</v>
      </c>
      <c r="H7" s="31" t="n">
        <f aca="false">IF($A7="","",SUMIFS(Data_EntMonth!$D:$D,Data_EntMonth!$A:$A,$A7,Data_EntMonth!$B:$B,H$4))</f>
        <v>0</v>
      </c>
      <c r="I7" s="31" t="n">
        <f aca="false">IF($A7="","",SUMIFS(Data_EntMonth!$D:$D,Data_EntMonth!$A:$A,$A7,Data_EntMonth!$B:$B,I$4))</f>
        <v>0</v>
      </c>
      <c r="J7" s="31" t="n">
        <f aca="false">IF($A7="","",SUMIFS(Data_EntMonth!$D:$D,Data_EntMonth!$A:$A,$A7,Data_EntMonth!$B:$B,J$4))</f>
        <v>0</v>
      </c>
      <c r="K7" s="31" t="n">
        <f aca="false">IF($A7="","",SUMIFS(Data_EntMonth!$D:$D,Data_EntMonth!$A:$A,$A7,Data_EntMonth!$B:$B,K$4))</f>
        <v>0</v>
      </c>
      <c r="L7" s="31" t="n">
        <f aca="false">IF($A7="","",SUMIFS(Data_EntMonth!$D:$D,Data_EntMonth!$A:$A,$A7,Data_EntMonth!$B:$B,L$4))</f>
        <v>0</v>
      </c>
      <c r="M7" s="31" t="n">
        <f aca="false">IF($A7="","",SUMIFS(Data_EntMonth!$D:$D,Data_EntMonth!$A:$A,$A7,Data_EntMonth!$B:$B,M$4))</f>
        <v>0</v>
      </c>
      <c r="N7" s="31" t="n">
        <f aca="false">IF($A7="","",SUMIFS(Data_EntMonth!$D:$D,Data_EntMonth!$A:$A,$A7,Data_EntMonth!$B:$B,N$4))</f>
        <v>0</v>
      </c>
      <c r="O7" s="31" t="n">
        <f aca="false">IF($A7="","",SUMIFS(Data_EntMonth!$D:$D,Data_EntMonth!$A:$A,$A7,Data_EntMonth!$B:$B,O$4))</f>
        <v>0</v>
      </c>
      <c r="P7" s="31" t="n">
        <f aca="false">IF($A7="","",SUMIFS(Data_EntMonth!$D:$D,Data_EntMonth!$A:$A,$A7,Data_EntMonth!$B:$B,P$4))</f>
        <v>3016.2670915461</v>
      </c>
      <c r="Q7" s="31" t="n">
        <f aca="false">IF($A7="","",SUMIFS(Data_EntMonth!$D:$D,Data_EntMonth!$A:$A,$A7,Data_EntMonth!$B:$B,Q$4))</f>
        <v>7777.3879521534</v>
      </c>
      <c r="R7" s="31" t="n">
        <f aca="false">IF($A7="","",SUMIFS(Data_EntMonth!$D:$D,Data_EntMonth!$A:$A,$A7,Data_EntMonth!$B:$B,R$4))</f>
        <v>9624.0228684285</v>
      </c>
      <c r="S7" s="31" t="n">
        <f aca="false">IF($A7="","",SUMIFS(Data_EntMonth!$D:$D,Data_EntMonth!$A:$A,$A7,Data_EntMonth!$B:$B,S$4))</f>
        <v>9112.6607104638</v>
      </c>
    </row>
    <row r="8" customFormat="false" ht="15" hidden="false" customHeight="false" outlineLevel="0" collapsed="false">
      <c r="A8" s="3" t="str">
        <f aca="false">IF(INDEX(Data_Contracts!$A:$A,4+1)="","",INDEX(Data_Contracts!$A:$A,4+1))</f>
        <v>Halcyon Games</v>
      </c>
      <c r="B8" s="30" t="n">
        <f aca="false">IF(INDEX(Data_Contracts!$C:$C,4+1)="","",INDEX(Data_Contracts!$C:$C,4+1))</f>
        <v>46341</v>
      </c>
      <c r="C8" s="30" t="str">
        <f aca="false">IF(INDEX(Data_Contracts!$D:$D,4+1)="","",INDEX(Data_Contracts!$D:$D,4+1))</f>
        <v/>
      </c>
      <c r="D8" s="31" t="n">
        <f aca="false">IF(INDEX(Data_Contracts!$E:$E,4+1)="","",INDEX(Data_Contracts!$E:$E,4+1))</f>
        <v>15000</v>
      </c>
      <c r="E8" s="26" t="n">
        <f aca="false">IF(INDEX(Data_Contracts!$F:$F,4+1)="","",INDEX(Data_Contracts!$F:$F,4+1))</f>
        <v>0.0378</v>
      </c>
      <c r="F8" s="25" t="n">
        <f aca="false">IF(OR($A8="",N($D8)=0),"",S8/$D8)</f>
        <v>1.0383228330048</v>
      </c>
      <c r="G8" s="31" t="n">
        <f aca="false">IF($A8="","",SUMIFS(Data_EntMonth!$F:$F,Data_EntMonth!$A:$A,$A8,Data_EntMonth!$B:$B,S$4))</f>
        <v>0</v>
      </c>
      <c r="H8" s="31" t="n">
        <f aca="false">IF($A8="","",SUMIFS(Data_EntMonth!$D:$D,Data_EntMonth!$A:$A,$A8,Data_EntMonth!$B:$B,H$4))</f>
        <v>0</v>
      </c>
      <c r="I8" s="31" t="n">
        <f aca="false">IF($A8="","",SUMIFS(Data_EntMonth!$D:$D,Data_EntMonth!$A:$A,$A8,Data_EntMonth!$B:$B,I$4))</f>
        <v>0</v>
      </c>
      <c r="J8" s="31" t="n">
        <f aca="false">IF($A8="","",SUMIFS(Data_EntMonth!$D:$D,Data_EntMonth!$A:$A,$A8,Data_EntMonth!$B:$B,J$4))</f>
        <v>0</v>
      </c>
      <c r="K8" s="31" t="n">
        <f aca="false">IF($A8="","",SUMIFS(Data_EntMonth!$D:$D,Data_EntMonth!$A:$A,$A8,Data_EntMonth!$B:$B,K$4))</f>
        <v>0</v>
      </c>
      <c r="L8" s="31" t="n">
        <f aca="false">IF($A8="","",SUMIFS(Data_EntMonth!$D:$D,Data_EntMonth!$A:$A,$A8,Data_EntMonth!$B:$B,L$4))</f>
        <v>0</v>
      </c>
      <c r="M8" s="31" t="n">
        <f aca="false">IF($A8="","",SUMIFS(Data_EntMonth!$D:$D,Data_EntMonth!$A:$A,$A8,Data_EntMonth!$B:$B,M$4))</f>
        <v>0</v>
      </c>
      <c r="N8" s="31" t="n">
        <f aca="false">IF($A8="","",SUMIFS(Data_EntMonth!$D:$D,Data_EntMonth!$A:$A,$A8,Data_EntMonth!$B:$B,N$4))</f>
        <v>0</v>
      </c>
      <c r="O8" s="31" t="n">
        <f aca="false">IF($A8="","",SUMIFS(Data_EntMonth!$D:$D,Data_EntMonth!$A:$A,$A8,Data_EntMonth!$B:$B,O$4))</f>
        <v>0</v>
      </c>
      <c r="P8" s="31" t="n">
        <f aca="false">IF($A8="","",SUMIFS(Data_EntMonth!$D:$D,Data_EntMonth!$A:$A,$A8,Data_EntMonth!$B:$B,P$4))</f>
        <v>1791.3357432306</v>
      </c>
      <c r="Q8" s="31" t="n">
        <f aca="false">IF($A8="","",SUMIFS(Data_EntMonth!$D:$D,Data_EntMonth!$A:$A,$A8,Data_EntMonth!$B:$B,Q$4))</f>
        <v>9731.6831071656</v>
      </c>
      <c r="R8" s="31" t="n">
        <f aca="false">IF($A8="","",SUMIFS(Data_EntMonth!$D:$D,Data_EntMonth!$A:$A,$A8,Data_EntMonth!$B:$B,R$4))</f>
        <v>16223.532533586</v>
      </c>
      <c r="S8" s="31" t="n">
        <f aca="false">IF($A8="","",SUMIFS(Data_EntMonth!$D:$D,Data_EntMonth!$A:$A,$A8,Data_EntMonth!$B:$B,S$4))</f>
        <v>15574.842495072</v>
      </c>
    </row>
    <row r="9" customFormat="false" ht="15" hidden="false" customHeight="false" outlineLevel="0" collapsed="false">
      <c r="A9" s="3" t="str">
        <f aca="false">IF(INDEX(Data_Contracts!$A:$A,5+1)="","",INDEX(Data_Contracts!$A:$A,5+1))</f>
        <v>Cobalt Ads</v>
      </c>
      <c r="B9" s="30" t="n">
        <f aca="false">IF(INDEX(Data_Contracts!$C:$C,5+1)="","",INDEX(Data_Contracts!$C:$C,5+1))</f>
        <v>46357</v>
      </c>
      <c r="C9" s="30" t="str">
        <f aca="false">IF(INDEX(Data_Contracts!$D:$D,5+1)="","",INDEX(Data_Contracts!$D:$D,5+1))</f>
        <v/>
      </c>
      <c r="D9" s="31" t="n">
        <f aca="false">IF(INDEX(Data_Contracts!$E:$E,5+1)="","",INDEX(Data_Contracts!$E:$E,5+1))</f>
        <v>25000</v>
      </c>
      <c r="E9" s="26" t="n">
        <f aca="false">IF(INDEX(Data_Contracts!$F:$F,5+1)="","",INDEX(Data_Contracts!$F:$F,5+1))</f>
        <v>0.0357</v>
      </c>
      <c r="F9" s="25" t="n">
        <f aca="false">IF(OR($A9="",N($D9)=0),"",S9/$D9)</f>
        <v>1.20297854504839</v>
      </c>
      <c r="G9" s="31" t="n">
        <f aca="false">IF($A9="","",SUMIFS(Data_EntMonth!$F:$F,Data_EntMonth!$A:$A,$A9,Data_EntMonth!$B:$B,S$4))</f>
        <v>0</v>
      </c>
      <c r="H9" s="31" t="n">
        <f aca="false">IF($A9="","",SUMIFS(Data_EntMonth!$D:$D,Data_EntMonth!$A:$A,$A9,Data_EntMonth!$B:$B,H$4))</f>
        <v>0</v>
      </c>
      <c r="I9" s="31" t="n">
        <f aca="false">IF($A9="","",SUMIFS(Data_EntMonth!$D:$D,Data_EntMonth!$A:$A,$A9,Data_EntMonth!$B:$B,I$4))</f>
        <v>0</v>
      </c>
      <c r="J9" s="31" t="n">
        <f aca="false">IF($A9="","",SUMIFS(Data_EntMonth!$D:$D,Data_EntMonth!$A:$A,$A9,Data_EntMonth!$B:$B,J$4))</f>
        <v>0</v>
      </c>
      <c r="K9" s="31" t="n">
        <f aca="false">IF($A9="","",SUMIFS(Data_EntMonth!$D:$D,Data_EntMonth!$A:$A,$A9,Data_EntMonth!$B:$B,K$4))</f>
        <v>0</v>
      </c>
      <c r="L9" s="31" t="n">
        <f aca="false">IF($A9="","",SUMIFS(Data_EntMonth!$D:$D,Data_EntMonth!$A:$A,$A9,Data_EntMonth!$B:$B,L$4))</f>
        <v>0</v>
      </c>
      <c r="M9" s="31" t="n">
        <f aca="false">IF($A9="","",SUMIFS(Data_EntMonth!$D:$D,Data_EntMonth!$A:$A,$A9,Data_EntMonth!$B:$B,M$4))</f>
        <v>0</v>
      </c>
      <c r="N9" s="31" t="n">
        <f aca="false">IF($A9="","",SUMIFS(Data_EntMonth!$D:$D,Data_EntMonth!$A:$A,$A9,Data_EntMonth!$B:$B,N$4))</f>
        <v>0</v>
      </c>
      <c r="O9" s="31" t="n">
        <f aca="false">IF($A9="","",SUMIFS(Data_EntMonth!$D:$D,Data_EntMonth!$A:$A,$A9,Data_EntMonth!$B:$B,O$4))</f>
        <v>0</v>
      </c>
      <c r="P9" s="31" t="n">
        <f aca="false">IF($A9="","",SUMIFS(Data_EntMonth!$D:$D,Data_EntMonth!$A:$A,$A9,Data_EntMonth!$B:$B,P$4))</f>
        <v>0</v>
      </c>
      <c r="Q9" s="31" t="n">
        <f aca="false">IF($A9="","",SUMIFS(Data_EntMonth!$D:$D,Data_EntMonth!$A:$A,$A9,Data_EntMonth!$B:$B,Q$4))</f>
        <v>10815.6671756805</v>
      </c>
      <c r="R9" s="31" t="n">
        <f aca="false">IF($A9="","",SUMIFS(Data_EntMonth!$D:$D,Data_EntMonth!$A:$A,$A9,Data_EntMonth!$B:$B,R$4))</f>
        <v>26351.8440435432</v>
      </c>
      <c r="S9" s="31" t="n">
        <f aca="false">IF($A9="","",SUMIFS(Data_EntMonth!$D:$D,Data_EntMonth!$A:$A,$A9,Data_EntMonth!$B:$B,S$4))</f>
        <v>30074.4636262098</v>
      </c>
    </row>
    <row r="10" customFormat="false" ht="15" hidden="false" customHeight="false" outlineLevel="0" collapsed="false">
      <c r="A10" s="3" t="str">
        <f aca="false">IF(INDEX(Data_Contracts!$A:$A,6+1)="","",INDEX(Data_Contracts!$A:$A,6+1))</f>
        <v>Meridian Legal</v>
      </c>
      <c r="B10" s="30" t="n">
        <f aca="false">IF(INDEX(Data_Contracts!$C:$C,6+1)="","",INDEX(Data_Contracts!$C:$C,6+1))</f>
        <v>46371</v>
      </c>
      <c r="C10" s="30" t="str">
        <f aca="false">IF(INDEX(Data_Contracts!$D:$D,6+1)="","",INDEX(Data_Contracts!$D:$D,6+1))</f>
        <v/>
      </c>
      <c r="D10" s="31" t="n">
        <f aca="false">IF(INDEX(Data_Contracts!$E:$E,6+1)="","",INDEX(Data_Contracts!$E:$E,6+1))</f>
        <v>12500</v>
      </c>
      <c r="E10" s="26" t="n">
        <f aca="false">IF(INDEX(Data_Contracts!$F:$F,6+1)="","",INDEX(Data_Contracts!$F:$F,6+1))</f>
        <v>0.0336</v>
      </c>
      <c r="F10" s="25" t="n">
        <f aca="false">IF(OR($A10="",N($D10)=0),"",S10/$D10)</f>
        <v>0.694024226942592</v>
      </c>
      <c r="G10" s="31" t="n">
        <f aca="false">IF($A10="","",SUMIFS(Data_EntMonth!$F:$F,Data_EntMonth!$A:$A,$A10,Data_EntMonth!$B:$B,S$4))</f>
        <v>3824.6971632176</v>
      </c>
      <c r="H10" s="31" t="n">
        <f aca="false">IF($A10="","",SUMIFS(Data_EntMonth!$D:$D,Data_EntMonth!$A:$A,$A10,Data_EntMonth!$B:$B,H$4))</f>
        <v>0</v>
      </c>
      <c r="I10" s="31" t="n">
        <f aca="false">IF($A10="","",SUMIFS(Data_EntMonth!$D:$D,Data_EntMonth!$A:$A,$A10,Data_EntMonth!$B:$B,I$4))</f>
        <v>0</v>
      </c>
      <c r="J10" s="31" t="n">
        <f aca="false">IF($A10="","",SUMIFS(Data_EntMonth!$D:$D,Data_EntMonth!$A:$A,$A10,Data_EntMonth!$B:$B,J$4))</f>
        <v>0</v>
      </c>
      <c r="K10" s="31" t="n">
        <f aca="false">IF($A10="","",SUMIFS(Data_EntMonth!$D:$D,Data_EntMonth!$A:$A,$A10,Data_EntMonth!$B:$B,K$4))</f>
        <v>0</v>
      </c>
      <c r="L10" s="31" t="n">
        <f aca="false">IF($A10="","",SUMIFS(Data_EntMonth!$D:$D,Data_EntMonth!$A:$A,$A10,Data_EntMonth!$B:$B,L$4))</f>
        <v>0</v>
      </c>
      <c r="M10" s="31" t="n">
        <f aca="false">IF($A10="","",SUMIFS(Data_EntMonth!$D:$D,Data_EntMonth!$A:$A,$A10,Data_EntMonth!$B:$B,M$4))</f>
        <v>0</v>
      </c>
      <c r="N10" s="31" t="n">
        <f aca="false">IF($A10="","",SUMIFS(Data_EntMonth!$D:$D,Data_EntMonth!$A:$A,$A10,Data_EntMonth!$B:$B,N$4))</f>
        <v>0</v>
      </c>
      <c r="O10" s="31" t="n">
        <f aca="false">IF($A10="","",SUMIFS(Data_EntMonth!$D:$D,Data_EntMonth!$A:$A,$A10,Data_EntMonth!$B:$B,O$4))</f>
        <v>0</v>
      </c>
      <c r="P10" s="31" t="n">
        <f aca="false">IF($A10="","",SUMIFS(Data_EntMonth!$D:$D,Data_EntMonth!$A:$A,$A10,Data_EntMonth!$B:$B,P$4))</f>
        <v>0</v>
      </c>
      <c r="Q10" s="31" t="n">
        <f aca="false">IF($A10="","",SUMIFS(Data_EntMonth!$D:$D,Data_EntMonth!$A:$A,$A10,Data_EntMonth!$B:$B,Q$4))</f>
        <v>1241.9567432832</v>
      </c>
      <c r="R10" s="31" t="n">
        <f aca="false">IF($A10="","",SUMIFS(Data_EntMonth!$D:$D,Data_EntMonth!$A:$A,$A10,Data_EntMonth!$B:$B,R$4))</f>
        <v>5834.676275064</v>
      </c>
      <c r="S10" s="31" t="n">
        <f aca="false">IF($A10="","",SUMIFS(Data_EntMonth!$D:$D,Data_EntMonth!$A:$A,$A10,Data_EntMonth!$B:$B,S$4))</f>
        <v>8675.3028367824</v>
      </c>
    </row>
    <row r="11" customFormat="false" ht="15" hidden="false" customHeight="false" outlineLevel="0" collapsed="false">
      <c r="A11" s="3" t="str">
        <f aca="false">IF(INDEX(Data_Contracts!$A:$A,7+1)="","",INDEX(Data_Contracts!$A:$A,7+1))</f>
        <v>Sable Research</v>
      </c>
      <c r="B11" s="30" t="n">
        <f aca="false">IF(INDEX(Data_Contracts!$C:$C,7+1)="","",INDEX(Data_Contracts!$C:$C,7+1))</f>
        <v>46388</v>
      </c>
      <c r="C11" s="30" t="str">
        <f aca="false">IF(INDEX(Data_Contracts!$D:$D,7+1)="","",INDEX(Data_Contracts!$D:$D,7+1))</f>
        <v/>
      </c>
      <c r="D11" s="31" t="n">
        <f aca="false">IF(INDEX(Data_Contracts!$E:$E,7+1)="","",INDEX(Data_Contracts!$E:$E,7+1))</f>
        <v>17500</v>
      </c>
      <c r="E11" s="26" t="n">
        <f aca="false">IF(INDEX(Data_Contracts!$F:$F,7+1)="","",INDEX(Data_Contracts!$F:$F,7+1))</f>
        <v>0.0357</v>
      </c>
      <c r="F11" s="25" t="n">
        <f aca="false">IF(OR($A11="",N($D11)=0),"",S11/$D11)</f>
        <v>0.70960706772708</v>
      </c>
      <c r="G11" s="31" t="n">
        <f aca="false">IF($A11="","",SUMIFS(Data_EntMonth!$F:$F,Data_EntMonth!$A:$A,$A11,Data_EntMonth!$B:$B,S$4))</f>
        <v>5081.8763147761</v>
      </c>
      <c r="H11" s="31" t="n">
        <f aca="false">IF($A11="","",SUMIFS(Data_EntMonth!$D:$D,Data_EntMonth!$A:$A,$A11,Data_EntMonth!$B:$B,H$4))</f>
        <v>0</v>
      </c>
      <c r="I11" s="31" t="n">
        <f aca="false">IF($A11="","",SUMIFS(Data_EntMonth!$D:$D,Data_EntMonth!$A:$A,$A11,Data_EntMonth!$B:$B,I$4))</f>
        <v>0</v>
      </c>
      <c r="J11" s="31" t="n">
        <f aca="false">IF($A11="","",SUMIFS(Data_EntMonth!$D:$D,Data_EntMonth!$A:$A,$A11,Data_EntMonth!$B:$B,J$4))</f>
        <v>0</v>
      </c>
      <c r="K11" s="31" t="n">
        <f aca="false">IF($A11="","",SUMIFS(Data_EntMonth!$D:$D,Data_EntMonth!$A:$A,$A11,Data_EntMonth!$B:$B,K$4))</f>
        <v>0</v>
      </c>
      <c r="L11" s="31" t="n">
        <f aca="false">IF($A11="","",SUMIFS(Data_EntMonth!$D:$D,Data_EntMonth!$A:$A,$A11,Data_EntMonth!$B:$B,L$4))</f>
        <v>0</v>
      </c>
      <c r="M11" s="31" t="n">
        <f aca="false">IF($A11="","",SUMIFS(Data_EntMonth!$D:$D,Data_EntMonth!$A:$A,$A11,Data_EntMonth!$B:$B,M$4))</f>
        <v>0</v>
      </c>
      <c r="N11" s="31" t="n">
        <f aca="false">IF($A11="","",SUMIFS(Data_EntMonth!$D:$D,Data_EntMonth!$A:$A,$A11,Data_EntMonth!$B:$B,N$4))</f>
        <v>0</v>
      </c>
      <c r="O11" s="31" t="n">
        <f aca="false">IF($A11="","",SUMIFS(Data_EntMonth!$D:$D,Data_EntMonth!$A:$A,$A11,Data_EntMonth!$B:$B,O$4))</f>
        <v>0</v>
      </c>
      <c r="P11" s="31" t="n">
        <f aca="false">IF($A11="","",SUMIFS(Data_EntMonth!$D:$D,Data_EntMonth!$A:$A,$A11,Data_EntMonth!$B:$B,P$4))</f>
        <v>0</v>
      </c>
      <c r="Q11" s="31" t="n">
        <f aca="false">IF($A11="","",SUMIFS(Data_EntMonth!$D:$D,Data_EntMonth!$A:$A,$A11,Data_EntMonth!$B:$B,Q$4))</f>
        <v>0</v>
      </c>
      <c r="R11" s="31" t="n">
        <f aca="false">IF($A11="","",SUMIFS(Data_EntMonth!$D:$D,Data_EntMonth!$A:$A,$A11,Data_EntMonth!$B:$B,R$4))</f>
        <v>5944.3051703553</v>
      </c>
      <c r="S11" s="31" t="n">
        <f aca="false">IF($A11="","",SUMIFS(Data_EntMonth!$D:$D,Data_EntMonth!$A:$A,$A11,Data_EntMonth!$B:$B,S$4))</f>
        <v>12418.1236852239</v>
      </c>
    </row>
    <row r="12" customFormat="false" ht="15" hidden="false" customHeight="false" outlineLevel="0" collapsed="false">
      <c r="A12" s="3" t="str">
        <f aca="false">IF(INDEX(Data_Contracts!$A:$A,8+1)="","",INDEX(Data_Contracts!$A:$A,8+1))</f>
        <v>Brightpath Logistics</v>
      </c>
      <c r="B12" s="30" t="n">
        <f aca="false">IF(INDEX(Data_Contracts!$C:$C,8+1)="","",INDEX(Data_Contracts!$C:$C,8+1))</f>
        <v>46419</v>
      </c>
      <c r="C12" s="30" t="str">
        <f aca="false">IF(INDEX(Data_Contracts!$D:$D,8+1)="","",INDEX(Data_Contracts!$D:$D,8+1))</f>
        <v/>
      </c>
      <c r="D12" s="31" t="n">
        <f aca="false">IF(INDEX(Data_Contracts!$E:$E,8+1)="","",INDEX(Data_Contracts!$E:$E,8+1))</f>
        <v>10000</v>
      </c>
      <c r="E12" s="26" t="n">
        <f aca="false">IF(INDEX(Data_Contracts!$F:$F,8+1)="","",INDEX(Data_Contracts!$F:$F,8+1))</f>
        <v>0.0378</v>
      </c>
      <c r="F12" s="25" t="n">
        <f aca="false">IF(OR($A12="",N($D12)=0),"",S12/$D12)</f>
        <v>0.2237854622472</v>
      </c>
      <c r="G12" s="31" t="n">
        <f aca="false">IF($A12="","",SUMIFS(Data_EntMonth!$F:$F,Data_EntMonth!$A:$A,$A12,Data_EntMonth!$B:$B,S$4))</f>
        <v>7762.145377528</v>
      </c>
      <c r="H12" s="31" t="n">
        <f aca="false">IF($A12="","",SUMIFS(Data_EntMonth!$D:$D,Data_EntMonth!$A:$A,$A12,Data_EntMonth!$B:$B,H$4))</f>
        <v>0</v>
      </c>
      <c r="I12" s="31" t="n">
        <f aca="false">IF($A12="","",SUMIFS(Data_EntMonth!$D:$D,Data_EntMonth!$A:$A,$A12,Data_EntMonth!$B:$B,I$4))</f>
        <v>0</v>
      </c>
      <c r="J12" s="31" t="n">
        <f aca="false">IF($A12="","",SUMIFS(Data_EntMonth!$D:$D,Data_EntMonth!$A:$A,$A12,Data_EntMonth!$B:$B,J$4))</f>
        <v>0</v>
      </c>
      <c r="K12" s="31" t="n">
        <f aca="false">IF($A12="","",SUMIFS(Data_EntMonth!$D:$D,Data_EntMonth!$A:$A,$A12,Data_EntMonth!$B:$B,K$4))</f>
        <v>0</v>
      </c>
      <c r="L12" s="31" t="n">
        <f aca="false">IF($A12="","",SUMIFS(Data_EntMonth!$D:$D,Data_EntMonth!$A:$A,$A12,Data_EntMonth!$B:$B,L$4))</f>
        <v>0</v>
      </c>
      <c r="M12" s="31" t="n">
        <f aca="false">IF($A12="","",SUMIFS(Data_EntMonth!$D:$D,Data_EntMonth!$A:$A,$A12,Data_EntMonth!$B:$B,M$4))</f>
        <v>0</v>
      </c>
      <c r="N12" s="31" t="n">
        <f aca="false">IF($A12="","",SUMIFS(Data_EntMonth!$D:$D,Data_EntMonth!$A:$A,$A12,Data_EntMonth!$B:$B,N$4))</f>
        <v>0</v>
      </c>
      <c r="O12" s="31" t="n">
        <f aca="false">IF($A12="","",SUMIFS(Data_EntMonth!$D:$D,Data_EntMonth!$A:$A,$A12,Data_EntMonth!$B:$B,O$4))</f>
        <v>0</v>
      </c>
      <c r="P12" s="31" t="n">
        <f aca="false">IF($A12="","",SUMIFS(Data_EntMonth!$D:$D,Data_EntMonth!$A:$A,$A12,Data_EntMonth!$B:$B,P$4))</f>
        <v>0</v>
      </c>
      <c r="Q12" s="31" t="n">
        <f aca="false">IF($A12="","",SUMIFS(Data_EntMonth!$D:$D,Data_EntMonth!$A:$A,$A12,Data_EntMonth!$B:$B,Q$4))</f>
        <v>0</v>
      </c>
      <c r="R12" s="31" t="n">
        <f aca="false">IF($A12="","",SUMIFS(Data_EntMonth!$D:$D,Data_EntMonth!$A:$A,$A12,Data_EntMonth!$B:$B,R$4))</f>
        <v>0</v>
      </c>
      <c r="S12" s="31" t="n">
        <f aca="false">IF($A12="","",SUMIFS(Data_EntMonth!$D:$D,Data_EntMonth!$A:$A,$A12,Data_EntMonth!$B:$B,S$4))</f>
        <v>2237.854622472</v>
      </c>
    </row>
    <row r="13" customFormat="false" ht="15" hidden="false" customHeight="false" outlineLevel="0" collapsed="false">
      <c r="A13" s="3" t="str">
        <f aca="false">IF(INDEX(Data_Contracts!$A:$A,9+1)="","",INDEX(Data_Contracts!$A:$A,9+1))</f>
        <v/>
      </c>
      <c r="B13" s="30" t="str">
        <f aca="false">IF(INDEX(Data_Contracts!$C:$C,9+1)="","",INDEX(Data_Contracts!$C:$C,9+1))</f>
        <v/>
      </c>
      <c r="C13" s="30" t="str">
        <f aca="false">IF(INDEX(Data_Contracts!$D:$D,9+1)="","",INDEX(Data_Contracts!$D:$D,9+1))</f>
        <v/>
      </c>
      <c r="D13" s="31" t="str">
        <f aca="false">IF(INDEX(Data_Contracts!$E:$E,9+1)="","",INDEX(Data_Contracts!$E:$E,9+1))</f>
        <v/>
      </c>
      <c r="E13" s="26" t="str">
        <f aca="false">IF(INDEX(Data_Contracts!$F:$F,9+1)="","",INDEX(Data_Contracts!$F:$F,9+1))</f>
        <v/>
      </c>
      <c r="F13" s="25" t="str">
        <f aca="false">IF(OR($A13="",N($D13)=0),"",S13/$D13)</f>
        <v/>
      </c>
      <c r="G13" s="31" t="str">
        <f aca="false">IF($A13="","",SUMIFS(Data_EntMonth!$F:$F,Data_EntMonth!$A:$A,$A13,Data_EntMonth!$B:$B,S$4))</f>
        <v/>
      </c>
      <c r="H13" s="31" t="str">
        <f aca="false">IF($A13="","",SUMIFS(Data_EntMonth!$D:$D,Data_EntMonth!$A:$A,$A13,Data_EntMonth!$B:$B,H$4))</f>
        <v/>
      </c>
      <c r="I13" s="31" t="str">
        <f aca="false">IF($A13="","",SUMIFS(Data_EntMonth!$D:$D,Data_EntMonth!$A:$A,$A13,Data_EntMonth!$B:$B,I$4))</f>
        <v/>
      </c>
      <c r="J13" s="31" t="str">
        <f aca="false">IF($A13="","",SUMIFS(Data_EntMonth!$D:$D,Data_EntMonth!$A:$A,$A13,Data_EntMonth!$B:$B,J$4))</f>
        <v/>
      </c>
      <c r="K13" s="31" t="str">
        <f aca="false">IF($A13="","",SUMIFS(Data_EntMonth!$D:$D,Data_EntMonth!$A:$A,$A13,Data_EntMonth!$B:$B,K$4))</f>
        <v/>
      </c>
      <c r="L13" s="31" t="str">
        <f aca="false">IF($A13="","",SUMIFS(Data_EntMonth!$D:$D,Data_EntMonth!$A:$A,$A13,Data_EntMonth!$B:$B,L$4))</f>
        <v/>
      </c>
      <c r="M13" s="31" t="str">
        <f aca="false">IF($A13="","",SUMIFS(Data_EntMonth!$D:$D,Data_EntMonth!$A:$A,$A13,Data_EntMonth!$B:$B,M$4))</f>
        <v/>
      </c>
      <c r="N13" s="31" t="str">
        <f aca="false">IF($A13="","",SUMIFS(Data_EntMonth!$D:$D,Data_EntMonth!$A:$A,$A13,Data_EntMonth!$B:$B,N$4))</f>
        <v/>
      </c>
      <c r="O13" s="31" t="str">
        <f aca="false">IF($A13="","",SUMIFS(Data_EntMonth!$D:$D,Data_EntMonth!$A:$A,$A13,Data_EntMonth!$B:$B,O$4))</f>
        <v/>
      </c>
      <c r="P13" s="31" t="str">
        <f aca="false">IF($A13="","",SUMIFS(Data_EntMonth!$D:$D,Data_EntMonth!$A:$A,$A13,Data_EntMonth!$B:$B,P$4))</f>
        <v/>
      </c>
      <c r="Q13" s="31" t="str">
        <f aca="false">IF($A13="","",SUMIFS(Data_EntMonth!$D:$D,Data_EntMonth!$A:$A,$A13,Data_EntMonth!$B:$B,Q$4))</f>
        <v/>
      </c>
      <c r="R13" s="31" t="str">
        <f aca="false">IF($A13="","",SUMIFS(Data_EntMonth!$D:$D,Data_EntMonth!$A:$A,$A13,Data_EntMonth!$B:$B,R$4))</f>
        <v/>
      </c>
      <c r="S13" s="31" t="str">
        <f aca="false">IF($A13="","",SUMIFS(Data_EntMonth!$D:$D,Data_EntMonth!$A:$A,$A13,Data_EntMonth!$B:$B,S$4))</f>
        <v/>
      </c>
    </row>
    <row r="14" customFormat="false" ht="15" hidden="false" customHeight="false" outlineLevel="0" collapsed="false">
      <c r="A14" s="3" t="str">
        <f aca="false">IF(INDEX(Data_Contracts!$A:$A,10+1)="","",INDEX(Data_Contracts!$A:$A,10+1))</f>
        <v/>
      </c>
      <c r="B14" s="30" t="str">
        <f aca="false">IF(INDEX(Data_Contracts!$C:$C,10+1)="","",INDEX(Data_Contracts!$C:$C,10+1))</f>
        <v/>
      </c>
      <c r="C14" s="30" t="str">
        <f aca="false">IF(INDEX(Data_Contracts!$D:$D,10+1)="","",INDEX(Data_Contracts!$D:$D,10+1))</f>
        <v/>
      </c>
      <c r="D14" s="31" t="str">
        <f aca="false">IF(INDEX(Data_Contracts!$E:$E,10+1)="","",INDEX(Data_Contracts!$E:$E,10+1))</f>
        <v/>
      </c>
      <c r="E14" s="26" t="str">
        <f aca="false">IF(INDEX(Data_Contracts!$F:$F,10+1)="","",INDEX(Data_Contracts!$F:$F,10+1))</f>
        <v/>
      </c>
      <c r="F14" s="25" t="str">
        <f aca="false">IF(OR($A14="",N($D14)=0),"",S14/$D14)</f>
        <v/>
      </c>
      <c r="G14" s="31" t="str">
        <f aca="false">IF($A14="","",SUMIFS(Data_EntMonth!$F:$F,Data_EntMonth!$A:$A,$A14,Data_EntMonth!$B:$B,S$4))</f>
        <v/>
      </c>
      <c r="H14" s="31" t="str">
        <f aca="false">IF($A14="","",SUMIFS(Data_EntMonth!$D:$D,Data_EntMonth!$A:$A,$A14,Data_EntMonth!$B:$B,H$4))</f>
        <v/>
      </c>
      <c r="I14" s="31" t="str">
        <f aca="false">IF($A14="","",SUMIFS(Data_EntMonth!$D:$D,Data_EntMonth!$A:$A,$A14,Data_EntMonth!$B:$B,I$4))</f>
        <v/>
      </c>
      <c r="J14" s="31" t="str">
        <f aca="false">IF($A14="","",SUMIFS(Data_EntMonth!$D:$D,Data_EntMonth!$A:$A,$A14,Data_EntMonth!$B:$B,J$4))</f>
        <v/>
      </c>
      <c r="K14" s="31" t="str">
        <f aca="false">IF($A14="","",SUMIFS(Data_EntMonth!$D:$D,Data_EntMonth!$A:$A,$A14,Data_EntMonth!$B:$B,K$4))</f>
        <v/>
      </c>
      <c r="L14" s="31" t="str">
        <f aca="false">IF($A14="","",SUMIFS(Data_EntMonth!$D:$D,Data_EntMonth!$A:$A,$A14,Data_EntMonth!$B:$B,L$4))</f>
        <v/>
      </c>
      <c r="M14" s="31" t="str">
        <f aca="false">IF($A14="","",SUMIFS(Data_EntMonth!$D:$D,Data_EntMonth!$A:$A,$A14,Data_EntMonth!$B:$B,M$4))</f>
        <v/>
      </c>
      <c r="N14" s="31" t="str">
        <f aca="false">IF($A14="","",SUMIFS(Data_EntMonth!$D:$D,Data_EntMonth!$A:$A,$A14,Data_EntMonth!$B:$B,N$4))</f>
        <v/>
      </c>
      <c r="O14" s="31" t="str">
        <f aca="false">IF($A14="","",SUMIFS(Data_EntMonth!$D:$D,Data_EntMonth!$A:$A,$A14,Data_EntMonth!$B:$B,O$4))</f>
        <v/>
      </c>
      <c r="P14" s="31" t="str">
        <f aca="false">IF($A14="","",SUMIFS(Data_EntMonth!$D:$D,Data_EntMonth!$A:$A,$A14,Data_EntMonth!$B:$B,P$4))</f>
        <v/>
      </c>
      <c r="Q14" s="31" t="str">
        <f aca="false">IF($A14="","",SUMIFS(Data_EntMonth!$D:$D,Data_EntMonth!$A:$A,$A14,Data_EntMonth!$B:$B,Q$4))</f>
        <v/>
      </c>
      <c r="R14" s="31" t="str">
        <f aca="false">IF($A14="","",SUMIFS(Data_EntMonth!$D:$D,Data_EntMonth!$A:$A,$A14,Data_EntMonth!$B:$B,R$4))</f>
        <v/>
      </c>
      <c r="S14" s="31" t="str">
        <f aca="false">IF($A14="","",SUMIFS(Data_EntMonth!$D:$D,Data_EntMonth!$A:$A,$A14,Data_EntMonth!$B:$B,S$4))</f>
        <v/>
      </c>
    </row>
    <row r="15" customFormat="false" ht="15" hidden="false" customHeight="false" outlineLevel="0" collapsed="false">
      <c r="A15" s="3" t="str">
        <f aca="false">IF(INDEX(Data_Contracts!$A:$A,11+1)="","",INDEX(Data_Contracts!$A:$A,11+1))</f>
        <v/>
      </c>
      <c r="B15" s="30" t="str">
        <f aca="false">IF(INDEX(Data_Contracts!$C:$C,11+1)="","",INDEX(Data_Contracts!$C:$C,11+1))</f>
        <v/>
      </c>
      <c r="C15" s="30" t="str">
        <f aca="false">IF(INDEX(Data_Contracts!$D:$D,11+1)="","",INDEX(Data_Contracts!$D:$D,11+1))</f>
        <v/>
      </c>
      <c r="D15" s="31" t="str">
        <f aca="false">IF(INDEX(Data_Contracts!$E:$E,11+1)="","",INDEX(Data_Contracts!$E:$E,11+1))</f>
        <v/>
      </c>
      <c r="E15" s="26" t="str">
        <f aca="false">IF(INDEX(Data_Contracts!$F:$F,11+1)="","",INDEX(Data_Contracts!$F:$F,11+1))</f>
        <v/>
      </c>
      <c r="F15" s="25" t="str">
        <f aca="false">IF(OR($A15="",N($D15)=0),"",S15/$D15)</f>
        <v/>
      </c>
      <c r="G15" s="31" t="str">
        <f aca="false">IF($A15="","",SUMIFS(Data_EntMonth!$F:$F,Data_EntMonth!$A:$A,$A15,Data_EntMonth!$B:$B,S$4))</f>
        <v/>
      </c>
      <c r="H15" s="31" t="str">
        <f aca="false">IF($A15="","",SUMIFS(Data_EntMonth!$D:$D,Data_EntMonth!$A:$A,$A15,Data_EntMonth!$B:$B,H$4))</f>
        <v/>
      </c>
      <c r="I15" s="31" t="str">
        <f aca="false">IF($A15="","",SUMIFS(Data_EntMonth!$D:$D,Data_EntMonth!$A:$A,$A15,Data_EntMonth!$B:$B,I$4))</f>
        <v/>
      </c>
      <c r="J15" s="31" t="str">
        <f aca="false">IF($A15="","",SUMIFS(Data_EntMonth!$D:$D,Data_EntMonth!$A:$A,$A15,Data_EntMonth!$B:$B,J$4))</f>
        <v/>
      </c>
      <c r="K15" s="31" t="str">
        <f aca="false">IF($A15="","",SUMIFS(Data_EntMonth!$D:$D,Data_EntMonth!$A:$A,$A15,Data_EntMonth!$B:$B,K$4))</f>
        <v/>
      </c>
      <c r="L15" s="31" t="str">
        <f aca="false">IF($A15="","",SUMIFS(Data_EntMonth!$D:$D,Data_EntMonth!$A:$A,$A15,Data_EntMonth!$B:$B,L$4))</f>
        <v/>
      </c>
      <c r="M15" s="31" t="str">
        <f aca="false">IF($A15="","",SUMIFS(Data_EntMonth!$D:$D,Data_EntMonth!$A:$A,$A15,Data_EntMonth!$B:$B,M$4))</f>
        <v/>
      </c>
      <c r="N15" s="31" t="str">
        <f aca="false">IF($A15="","",SUMIFS(Data_EntMonth!$D:$D,Data_EntMonth!$A:$A,$A15,Data_EntMonth!$B:$B,N$4))</f>
        <v/>
      </c>
      <c r="O15" s="31" t="str">
        <f aca="false">IF($A15="","",SUMIFS(Data_EntMonth!$D:$D,Data_EntMonth!$A:$A,$A15,Data_EntMonth!$B:$B,O$4))</f>
        <v/>
      </c>
      <c r="P15" s="31" t="str">
        <f aca="false">IF($A15="","",SUMIFS(Data_EntMonth!$D:$D,Data_EntMonth!$A:$A,$A15,Data_EntMonth!$B:$B,P$4))</f>
        <v/>
      </c>
      <c r="Q15" s="31" t="str">
        <f aca="false">IF($A15="","",SUMIFS(Data_EntMonth!$D:$D,Data_EntMonth!$A:$A,$A15,Data_EntMonth!$B:$B,Q$4))</f>
        <v/>
      </c>
      <c r="R15" s="31" t="str">
        <f aca="false">IF($A15="","",SUMIFS(Data_EntMonth!$D:$D,Data_EntMonth!$A:$A,$A15,Data_EntMonth!$B:$B,R$4))</f>
        <v/>
      </c>
      <c r="S15" s="31" t="str">
        <f aca="false">IF($A15="","",SUMIFS(Data_EntMonth!$D:$D,Data_EntMonth!$A:$A,$A15,Data_EntMonth!$B:$B,S$4))</f>
        <v/>
      </c>
    </row>
    <row r="16" customFormat="false" ht="15" hidden="false" customHeight="false" outlineLevel="0" collapsed="false">
      <c r="A16" s="3" t="str">
        <f aca="false">IF(INDEX(Data_Contracts!$A:$A,12+1)="","",INDEX(Data_Contracts!$A:$A,12+1))</f>
        <v/>
      </c>
      <c r="B16" s="30" t="str">
        <f aca="false">IF(INDEX(Data_Contracts!$C:$C,12+1)="","",INDEX(Data_Contracts!$C:$C,12+1))</f>
        <v/>
      </c>
      <c r="C16" s="30" t="str">
        <f aca="false">IF(INDEX(Data_Contracts!$D:$D,12+1)="","",INDEX(Data_Contracts!$D:$D,12+1))</f>
        <v/>
      </c>
      <c r="D16" s="31" t="str">
        <f aca="false">IF(INDEX(Data_Contracts!$E:$E,12+1)="","",INDEX(Data_Contracts!$E:$E,12+1))</f>
        <v/>
      </c>
      <c r="E16" s="26" t="str">
        <f aca="false">IF(INDEX(Data_Contracts!$F:$F,12+1)="","",INDEX(Data_Contracts!$F:$F,12+1))</f>
        <v/>
      </c>
      <c r="F16" s="25" t="str">
        <f aca="false">IF(OR($A16="",N($D16)=0),"",S16/$D16)</f>
        <v/>
      </c>
      <c r="G16" s="31" t="str">
        <f aca="false">IF($A16="","",SUMIFS(Data_EntMonth!$F:$F,Data_EntMonth!$A:$A,$A16,Data_EntMonth!$B:$B,S$4))</f>
        <v/>
      </c>
      <c r="H16" s="31" t="str">
        <f aca="false">IF($A16="","",SUMIFS(Data_EntMonth!$D:$D,Data_EntMonth!$A:$A,$A16,Data_EntMonth!$B:$B,H$4))</f>
        <v/>
      </c>
      <c r="I16" s="31" t="str">
        <f aca="false">IF($A16="","",SUMIFS(Data_EntMonth!$D:$D,Data_EntMonth!$A:$A,$A16,Data_EntMonth!$B:$B,I$4))</f>
        <v/>
      </c>
      <c r="J16" s="31" t="str">
        <f aca="false">IF($A16="","",SUMIFS(Data_EntMonth!$D:$D,Data_EntMonth!$A:$A,$A16,Data_EntMonth!$B:$B,J$4))</f>
        <v/>
      </c>
      <c r="K16" s="31" t="str">
        <f aca="false">IF($A16="","",SUMIFS(Data_EntMonth!$D:$D,Data_EntMonth!$A:$A,$A16,Data_EntMonth!$B:$B,K$4))</f>
        <v/>
      </c>
      <c r="L16" s="31" t="str">
        <f aca="false">IF($A16="","",SUMIFS(Data_EntMonth!$D:$D,Data_EntMonth!$A:$A,$A16,Data_EntMonth!$B:$B,L$4))</f>
        <v/>
      </c>
      <c r="M16" s="31" t="str">
        <f aca="false">IF($A16="","",SUMIFS(Data_EntMonth!$D:$D,Data_EntMonth!$A:$A,$A16,Data_EntMonth!$B:$B,M$4))</f>
        <v/>
      </c>
      <c r="N16" s="31" t="str">
        <f aca="false">IF($A16="","",SUMIFS(Data_EntMonth!$D:$D,Data_EntMonth!$A:$A,$A16,Data_EntMonth!$B:$B,N$4))</f>
        <v/>
      </c>
      <c r="O16" s="31" t="str">
        <f aca="false">IF($A16="","",SUMIFS(Data_EntMonth!$D:$D,Data_EntMonth!$A:$A,$A16,Data_EntMonth!$B:$B,O$4))</f>
        <v/>
      </c>
      <c r="P16" s="31" t="str">
        <f aca="false">IF($A16="","",SUMIFS(Data_EntMonth!$D:$D,Data_EntMonth!$A:$A,$A16,Data_EntMonth!$B:$B,P$4))</f>
        <v/>
      </c>
      <c r="Q16" s="31" t="str">
        <f aca="false">IF($A16="","",SUMIFS(Data_EntMonth!$D:$D,Data_EntMonth!$A:$A,$A16,Data_EntMonth!$B:$B,Q$4))</f>
        <v/>
      </c>
      <c r="R16" s="31" t="str">
        <f aca="false">IF($A16="","",SUMIFS(Data_EntMonth!$D:$D,Data_EntMonth!$A:$A,$A16,Data_EntMonth!$B:$B,R$4))</f>
        <v/>
      </c>
      <c r="S16" s="31" t="str">
        <f aca="false">IF($A16="","",SUMIFS(Data_EntMonth!$D:$D,Data_EntMonth!$A:$A,$A16,Data_EntMonth!$B:$B,S$4))</f>
        <v/>
      </c>
    </row>
    <row r="17" customFormat="false" ht="15" hidden="false" customHeight="false" outlineLevel="0" collapsed="false">
      <c r="A17" s="3" t="str">
        <f aca="false">IF(INDEX(Data_Contracts!$A:$A,13+1)="","",INDEX(Data_Contracts!$A:$A,13+1))</f>
        <v/>
      </c>
      <c r="B17" s="30" t="str">
        <f aca="false">IF(INDEX(Data_Contracts!$C:$C,13+1)="","",INDEX(Data_Contracts!$C:$C,13+1))</f>
        <v/>
      </c>
      <c r="C17" s="30" t="str">
        <f aca="false">IF(INDEX(Data_Contracts!$D:$D,13+1)="","",INDEX(Data_Contracts!$D:$D,13+1))</f>
        <v/>
      </c>
      <c r="D17" s="31" t="str">
        <f aca="false">IF(INDEX(Data_Contracts!$E:$E,13+1)="","",INDEX(Data_Contracts!$E:$E,13+1))</f>
        <v/>
      </c>
      <c r="E17" s="26" t="str">
        <f aca="false">IF(INDEX(Data_Contracts!$F:$F,13+1)="","",INDEX(Data_Contracts!$F:$F,13+1))</f>
        <v/>
      </c>
      <c r="F17" s="25" t="str">
        <f aca="false">IF(OR($A17="",N($D17)=0),"",S17/$D17)</f>
        <v/>
      </c>
      <c r="G17" s="31" t="str">
        <f aca="false">IF($A17="","",SUMIFS(Data_EntMonth!$F:$F,Data_EntMonth!$A:$A,$A17,Data_EntMonth!$B:$B,S$4))</f>
        <v/>
      </c>
      <c r="H17" s="31" t="str">
        <f aca="false">IF($A17="","",SUMIFS(Data_EntMonth!$D:$D,Data_EntMonth!$A:$A,$A17,Data_EntMonth!$B:$B,H$4))</f>
        <v/>
      </c>
      <c r="I17" s="31" t="str">
        <f aca="false">IF($A17="","",SUMIFS(Data_EntMonth!$D:$D,Data_EntMonth!$A:$A,$A17,Data_EntMonth!$B:$B,I$4))</f>
        <v/>
      </c>
      <c r="J17" s="31" t="str">
        <f aca="false">IF($A17="","",SUMIFS(Data_EntMonth!$D:$D,Data_EntMonth!$A:$A,$A17,Data_EntMonth!$B:$B,J$4))</f>
        <v/>
      </c>
      <c r="K17" s="31" t="str">
        <f aca="false">IF($A17="","",SUMIFS(Data_EntMonth!$D:$D,Data_EntMonth!$A:$A,$A17,Data_EntMonth!$B:$B,K$4))</f>
        <v/>
      </c>
      <c r="L17" s="31" t="str">
        <f aca="false">IF($A17="","",SUMIFS(Data_EntMonth!$D:$D,Data_EntMonth!$A:$A,$A17,Data_EntMonth!$B:$B,L$4))</f>
        <v/>
      </c>
      <c r="M17" s="31" t="str">
        <f aca="false">IF($A17="","",SUMIFS(Data_EntMonth!$D:$D,Data_EntMonth!$A:$A,$A17,Data_EntMonth!$B:$B,M$4))</f>
        <v/>
      </c>
      <c r="N17" s="31" t="str">
        <f aca="false">IF($A17="","",SUMIFS(Data_EntMonth!$D:$D,Data_EntMonth!$A:$A,$A17,Data_EntMonth!$B:$B,N$4))</f>
        <v/>
      </c>
      <c r="O17" s="31" t="str">
        <f aca="false">IF($A17="","",SUMIFS(Data_EntMonth!$D:$D,Data_EntMonth!$A:$A,$A17,Data_EntMonth!$B:$B,O$4))</f>
        <v/>
      </c>
      <c r="P17" s="31" t="str">
        <f aca="false">IF($A17="","",SUMIFS(Data_EntMonth!$D:$D,Data_EntMonth!$A:$A,$A17,Data_EntMonth!$B:$B,P$4))</f>
        <v/>
      </c>
      <c r="Q17" s="31" t="str">
        <f aca="false">IF($A17="","",SUMIFS(Data_EntMonth!$D:$D,Data_EntMonth!$A:$A,$A17,Data_EntMonth!$B:$B,Q$4))</f>
        <v/>
      </c>
      <c r="R17" s="31" t="str">
        <f aca="false">IF($A17="","",SUMIFS(Data_EntMonth!$D:$D,Data_EntMonth!$A:$A,$A17,Data_EntMonth!$B:$B,R$4))</f>
        <v/>
      </c>
      <c r="S17" s="31" t="str">
        <f aca="false">IF($A17="","",SUMIFS(Data_EntMonth!$D:$D,Data_EntMonth!$A:$A,$A17,Data_EntMonth!$B:$B,S$4))</f>
        <v/>
      </c>
    </row>
    <row r="18" customFormat="false" ht="15" hidden="false" customHeight="false" outlineLevel="0" collapsed="false">
      <c r="A18" s="3" t="str">
        <f aca="false">IF(INDEX(Data_Contracts!$A:$A,14+1)="","",INDEX(Data_Contracts!$A:$A,14+1))</f>
        <v/>
      </c>
      <c r="B18" s="30" t="str">
        <f aca="false">IF(INDEX(Data_Contracts!$C:$C,14+1)="","",INDEX(Data_Contracts!$C:$C,14+1))</f>
        <v/>
      </c>
      <c r="C18" s="30" t="str">
        <f aca="false">IF(INDEX(Data_Contracts!$D:$D,14+1)="","",INDEX(Data_Contracts!$D:$D,14+1))</f>
        <v/>
      </c>
      <c r="D18" s="31" t="str">
        <f aca="false">IF(INDEX(Data_Contracts!$E:$E,14+1)="","",INDEX(Data_Contracts!$E:$E,14+1))</f>
        <v/>
      </c>
      <c r="E18" s="26" t="str">
        <f aca="false">IF(INDEX(Data_Contracts!$F:$F,14+1)="","",INDEX(Data_Contracts!$F:$F,14+1))</f>
        <v/>
      </c>
      <c r="F18" s="25" t="str">
        <f aca="false">IF(OR($A18="",N($D18)=0),"",S18/$D18)</f>
        <v/>
      </c>
      <c r="G18" s="31" t="str">
        <f aca="false">IF($A18="","",SUMIFS(Data_EntMonth!$F:$F,Data_EntMonth!$A:$A,$A18,Data_EntMonth!$B:$B,S$4))</f>
        <v/>
      </c>
      <c r="H18" s="31" t="str">
        <f aca="false">IF($A18="","",SUMIFS(Data_EntMonth!$D:$D,Data_EntMonth!$A:$A,$A18,Data_EntMonth!$B:$B,H$4))</f>
        <v/>
      </c>
      <c r="I18" s="31" t="str">
        <f aca="false">IF($A18="","",SUMIFS(Data_EntMonth!$D:$D,Data_EntMonth!$A:$A,$A18,Data_EntMonth!$B:$B,I$4))</f>
        <v/>
      </c>
      <c r="J18" s="31" t="str">
        <f aca="false">IF($A18="","",SUMIFS(Data_EntMonth!$D:$D,Data_EntMonth!$A:$A,$A18,Data_EntMonth!$B:$B,J$4))</f>
        <v/>
      </c>
      <c r="K18" s="31" t="str">
        <f aca="false">IF($A18="","",SUMIFS(Data_EntMonth!$D:$D,Data_EntMonth!$A:$A,$A18,Data_EntMonth!$B:$B,K$4))</f>
        <v/>
      </c>
      <c r="L18" s="31" t="str">
        <f aca="false">IF($A18="","",SUMIFS(Data_EntMonth!$D:$D,Data_EntMonth!$A:$A,$A18,Data_EntMonth!$B:$B,L$4))</f>
        <v/>
      </c>
      <c r="M18" s="31" t="str">
        <f aca="false">IF($A18="","",SUMIFS(Data_EntMonth!$D:$D,Data_EntMonth!$A:$A,$A18,Data_EntMonth!$B:$B,M$4))</f>
        <v/>
      </c>
      <c r="N18" s="31" t="str">
        <f aca="false">IF($A18="","",SUMIFS(Data_EntMonth!$D:$D,Data_EntMonth!$A:$A,$A18,Data_EntMonth!$B:$B,N$4))</f>
        <v/>
      </c>
      <c r="O18" s="31" t="str">
        <f aca="false">IF($A18="","",SUMIFS(Data_EntMonth!$D:$D,Data_EntMonth!$A:$A,$A18,Data_EntMonth!$B:$B,O$4))</f>
        <v/>
      </c>
      <c r="P18" s="31" t="str">
        <f aca="false">IF($A18="","",SUMIFS(Data_EntMonth!$D:$D,Data_EntMonth!$A:$A,$A18,Data_EntMonth!$B:$B,P$4))</f>
        <v/>
      </c>
      <c r="Q18" s="31" t="str">
        <f aca="false">IF($A18="","",SUMIFS(Data_EntMonth!$D:$D,Data_EntMonth!$A:$A,$A18,Data_EntMonth!$B:$B,Q$4))</f>
        <v/>
      </c>
      <c r="R18" s="31" t="str">
        <f aca="false">IF($A18="","",SUMIFS(Data_EntMonth!$D:$D,Data_EntMonth!$A:$A,$A18,Data_EntMonth!$B:$B,R$4))</f>
        <v/>
      </c>
      <c r="S18" s="31" t="str">
        <f aca="false">IF($A18="","",SUMIFS(Data_EntMonth!$D:$D,Data_EntMonth!$A:$A,$A18,Data_EntMonth!$B:$B,S$4))</f>
        <v/>
      </c>
    </row>
    <row r="19" customFormat="false" ht="15" hidden="false" customHeight="false" outlineLevel="0" collapsed="false">
      <c r="A19" s="3" t="str">
        <f aca="false">IF(INDEX(Data_Contracts!$A:$A,15+1)="","",INDEX(Data_Contracts!$A:$A,15+1))</f>
        <v/>
      </c>
      <c r="B19" s="30" t="str">
        <f aca="false">IF(INDEX(Data_Contracts!$C:$C,15+1)="","",INDEX(Data_Contracts!$C:$C,15+1))</f>
        <v/>
      </c>
      <c r="C19" s="30" t="str">
        <f aca="false">IF(INDEX(Data_Contracts!$D:$D,15+1)="","",INDEX(Data_Contracts!$D:$D,15+1))</f>
        <v/>
      </c>
      <c r="D19" s="31" t="str">
        <f aca="false">IF(INDEX(Data_Contracts!$E:$E,15+1)="","",INDEX(Data_Contracts!$E:$E,15+1))</f>
        <v/>
      </c>
      <c r="E19" s="26" t="str">
        <f aca="false">IF(INDEX(Data_Contracts!$F:$F,15+1)="","",INDEX(Data_Contracts!$F:$F,15+1))</f>
        <v/>
      </c>
      <c r="F19" s="25" t="str">
        <f aca="false">IF(OR($A19="",N($D19)=0),"",S19/$D19)</f>
        <v/>
      </c>
      <c r="G19" s="31" t="str">
        <f aca="false">IF($A19="","",SUMIFS(Data_EntMonth!$F:$F,Data_EntMonth!$A:$A,$A19,Data_EntMonth!$B:$B,S$4))</f>
        <v/>
      </c>
      <c r="H19" s="31" t="str">
        <f aca="false">IF($A19="","",SUMIFS(Data_EntMonth!$D:$D,Data_EntMonth!$A:$A,$A19,Data_EntMonth!$B:$B,H$4))</f>
        <v/>
      </c>
      <c r="I19" s="31" t="str">
        <f aca="false">IF($A19="","",SUMIFS(Data_EntMonth!$D:$D,Data_EntMonth!$A:$A,$A19,Data_EntMonth!$B:$B,I$4))</f>
        <v/>
      </c>
      <c r="J19" s="31" t="str">
        <f aca="false">IF($A19="","",SUMIFS(Data_EntMonth!$D:$D,Data_EntMonth!$A:$A,$A19,Data_EntMonth!$B:$B,J$4))</f>
        <v/>
      </c>
      <c r="K19" s="31" t="str">
        <f aca="false">IF($A19="","",SUMIFS(Data_EntMonth!$D:$D,Data_EntMonth!$A:$A,$A19,Data_EntMonth!$B:$B,K$4))</f>
        <v/>
      </c>
      <c r="L19" s="31" t="str">
        <f aca="false">IF($A19="","",SUMIFS(Data_EntMonth!$D:$D,Data_EntMonth!$A:$A,$A19,Data_EntMonth!$B:$B,L$4))</f>
        <v/>
      </c>
      <c r="M19" s="31" t="str">
        <f aca="false">IF($A19="","",SUMIFS(Data_EntMonth!$D:$D,Data_EntMonth!$A:$A,$A19,Data_EntMonth!$B:$B,M$4))</f>
        <v/>
      </c>
      <c r="N19" s="31" t="str">
        <f aca="false">IF($A19="","",SUMIFS(Data_EntMonth!$D:$D,Data_EntMonth!$A:$A,$A19,Data_EntMonth!$B:$B,N$4))</f>
        <v/>
      </c>
      <c r="O19" s="31" t="str">
        <f aca="false">IF($A19="","",SUMIFS(Data_EntMonth!$D:$D,Data_EntMonth!$A:$A,$A19,Data_EntMonth!$B:$B,O$4))</f>
        <v/>
      </c>
      <c r="P19" s="31" t="str">
        <f aca="false">IF($A19="","",SUMIFS(Data_EntMonth!$D:$D,Data_EntMonth!$A:$A,$A19,Data_EntMonth!$B:$B,P$4))</f>
        <v/>
      </c>
      <c r="Q19" s="31" t="str">
        <f aca="false">IF($A19="","",SUMIFS(Data_EntMonth!$D:$D,Data_EntMonth!$A:$A,$A19,Data_EntMonth!$B:$B,Q$4))</f>
        <v/>
      </c>
      <c r="R19" s="31" t="str">
        <f aca="false">IF($A19="","",SUMIFS(Data_EntMonth!$D:$D,Data_EntMonth!$A:$A,$A19,Data_EntMonth!$B:$B,R$4))</f>
        <v/>
      </c>
      <c r="S19" s="31" t="str">
        <f aca="false">IF($A19="","",SUMIFS(Data_EntMonth!$D:$D,Data_EntMonth!$A:$A,$A19,Data_EntMonth!$B:$B,S$4))</f>
        <v/>
      </c>
    </row>
    <row r="20" customFormat="false" ht="15" hidden="false" customHeight="false" outlineLevel="0" collapsed="false">
      <c r="A20" s="3" t="str">
        <f aca="false">IF(INDEX(Data_Contracts!$A:$A,16+1)="","",INDEX(Data_Contracts!$A:$A,16+1))</f>
        <v/>
      </c>
      <c r="B20" s="30" t="str">
        <f aca="false">IF(INDEX(Data_Contracts!$C:$C,16+1)="","",INDEX(Data_Contracts!$C:$C,16+1))</f>
        <v/>
      </c>
      <c r="C20" s="30" t="str">
        <f aca="false">IF(INDEX(Data_Contracts!$D:$D,16+1)="","",INDEX(Data_Contracts!$D:$D,16+1))</f>
        <v/>
      </c>
      <c r="D20" s="31" t="str">
        <f aca="false">IF(INDEX(Data_Contracts!$E:$E,16+1)="","",INDEX(Data_Contracts!$E:$E,16+1))</f>
        <v/>
      </c>
      <c r="E20" s="26" t="str">
        <f aca="false">IF(INDEX(Data_Contracts!$F:$F,16+1)="","",INDEX(Data_Contracts!$F:$F,16+1))</f>
        <v/>
      </c>
      <c r="F20" s="25" t="str">
        <f aca="false">IF(OR($A20="",N($D20)=0),"",S20/$D20)</f>
        <v/>
      </c>
      <c r="G20" s="31" t="str">
        <f aca="false">IF($A20="","",SUMIFS(Data_EntMonth!$F:$F,Data_EntMonth!$A:$A,$A20,Data_EntMonth!$B:$B,S$4))</f>
        <v/>
      </c>
      <c r="H20" s="31" t="str">
        <f aca="false">IF($A20="","",SUMIFS(Data_EntMonth!$D:$D,Data_EntMonth!$A:$A,$A20,Data_EntMonth!$B:$B,H$4))</f>
        <v/>
      </c>
      <c r="I20" s="31" t="str">
        <f aca="false">IF($A20="","",SUMIFS(Data_EntMonth!$D:$D,Data_EntMonth!$A:$A,$A20,Data_EntMonth!$B:$B,I$4))</f>
        <v/>
      </c>
      <c r="J20" s="31" t="str">
        <f aca="false">IF($A20="","",SUMIFS(Data_EntMonth!$D:$D,Data_EntMonth!$A:$A,$A20,Data_EntMonth!$B:$B,J$4))</f>
        <v/>
      </c>
      <c r="K20" s="31" t="str">
        <f aca="false">IF($A20="","",SUMIFS(Data_EntMonth!$D:$D,Data_EntMonth!$A:$A,$A20,Data_EntMonth!$B:$B,K$4))</f>
        <v/>
      </c>
      <c r="L20" s="31" t="str">
        <f aca="false">IF($A20="","",SUMIFS(Data_EntMonth!$D:$D,Data_EntMonth!$A:$A,$A20,Data_EntMonth!$B:$B,L$4))</f>
        <v/>
      </c>
      <c r="M20" s="31" t="str">
        <f aca="false">IF($A20="","",SUMIFS(Data_EntMonth!$D:$D,Data_EntMonth!$A:$A,$A20,Data_EntMonth!$B:$B,M$4))</f>
        <v/>
      </c>
      <c r="N20" s="31" t="str">
        <f aca="false">IF($A20="","",SUMIFS(Data_EntMonth!$D:$D,Data_EntMonth!$A:$A,$A20,Data_EntMonth!$B:$B,N$4))</f>
        <v/>
      </c>
      <c r="O20" s="31" t="str">
        <f aca="false">IF($A20="","",SUMIFS(Data_EntMonth!$D:$D,Data_EntMonth!$A:$A,$A20,Data_EntMonth!$B:$B,O$4))</f>
        <v/>
      </c>
      <c r="P20" s="31" t="str">
        <f aca="false">IF($A20="","",SUMIFS(Data_EntMonth!$D:$D,Data_EntMonth!$A:$A,$A20,Data_EntMonth!$B:$B,P$4))</f>
        <v/>
      </c>
      <c r="Q20" s="31" t="str">
        <f aca="false">IF($A20="","",SUMIFS(Data_EntMonth!$D:$D,Data_EntMonth!$A:$A,$A20,Data_EntMonth!$B:$B,Q$4))</f>
        <v/>
      </c>
      <c r="R20" s="31" t="str">
        <f aca="false">IF($A20="","",SUMIFS(Data_EntMonth!$D:$D,Data_EntMonth!$A:$A,$A20,Data_EntMonth!$B:$B,R$4))</f>
        <v/>
      </c>
      <c r="S20" s="31" t="str">
        <f aca="false">IF($A20="","",SUMIFS(Data_EntMonth!$D:$D,Data_EntMonth!$A:$A,$A20,Data_EntMonth!$B:$B,S$4))</f>
        <v/>
      </c>
    </row>
    <row r="21" customFormat="false" ht="15" hidden="false" customHeight="false" outlineLevel="0" collapsed="false">
      <c r="A21" s="3" t="str">
        <f aca="false">IF(INDEX(Data_Contracts!$A:$A,17+1)="","",INDEX(Data_Contracts!$A:$A,17+1))</f>
        <v/>
      </c>
      <c r="B21" s="30" t="str">
        <f aca="false">IF(INDEX(Data_Contracts!$C:$C,17+1)="","",INDEX(Data_Contracts!$C:$C,17+1))</f>
        <v/>
      </c>
      <c r="C21" s="30" t="str">
        <f aca="false">IF(INDEX(Data_Contracts!$D:$D,17+1)="","",INDEX(Data_Contracts!$D:$D,17+1))</f>
        <v/>
      </c>
      <c r="D21" s="31" t="str">
        <f aca="false">IF(INDEX(Data_Contracts!$E:$E,17+1)="","",INDEX(Data_Contracts!$E:$E,17+1))</f>
        <v/>
      </c>
      <c r="E21" s="26" t="str">
        <f aca="false">IF(INDEX(Data_Contracts!$F:$F,17+1)="","",INDEX(Data_Contracts!$F:$F,17+1))</f>
        <v/>
      </c>
      <c r="F21" s="25" t="str">
        <f aca="false">IF(OR($A21="",N($D21)=0),"",S21/$D21)</f>
        <v/>
      </c>
      <c r="G21" s="31" t="str">
        <f aca="false">IF($A21="","",SUMIFS(Data_EntMonth!$F:$F,Data_EntMonth!$A:$A,$A21,Data_EntMonth!$B:$B,S$4))</f>
        <v/>
      </c>
      <c r="H21" s="31" t="str">
        <f aca="false">IF($A21="","",SUMIFS(Data_EntMonth!$D:$D,Data_EntMonth!$A:$A,$A21,Data_EntMonth!$B:$B,H$4))</f>
        <v/>
      </c>
      <c r="I21" s="31" t="str">
        <f aca="false">IF($A21="","",SUMIFS(Data_EntMonth!$D:$D,Data_EntMonth!$A:$A,$A21,Data_EntMonth!$B:$B,I$4))</f>
        <v/>
      </c>
      <c r="J21" s="31" t="str">
        <f aca="false">IF($A21="","",SUMIFS(Data_EntMonth!$D:$D,Data_EntMonth!$A:$A,$A21,Data_EntMonth!$B:$B,J$4))</f>
        <v/>
      </c>
      <c r="K21" s="31" t="str">
        <f aca="false">IF($A21="","",SUMIFS(Data_EntMonth!$D:$D,Data_EntMonth!$A:$A,$A21,Data_EntMonth!$B:$B,K$4))</f>
        <v/>
      </c>
      <c r="L21" s="31" t="str">
        <f aca="false">IF($A21="","",SUMIFS(Data_EntMonth!$D:$D,Data_EntMonth!$A:$A,$A21,Data_EntMonth!$B:$B,L$4))</f>
        <v/>
      </c>
      <c r="M21" s="31" t="str">
        <f aca="false">IF($A21="","",SUMIFS(Data_EntMonth!$D:$D,Data_EntMonth!$A:$A,$A21,Data_EntMonth!$B:$B,M$4))</f>
        <v/>
      </c>
      <c r="N21" s="31" t="str">
        <f aca="false">IF($A21="","",SUMIFS(Data_EntMonth!$D:$D,Data_EntMonth!$A:$A,$A21,Data_EntMonth!$B:$B,N$4))</f>
        <v/>
      </c>
      <c r="O21" s="31" t="str">
        <f aca="false">IF($A21="","",SUMIFS(Data_EntMonth!$D:$D,Data_EntMonth!$A:$A,$A21,Data_EntMonth!$B:$B,O$4))</f>
        <v/>
      </c>
      <c r="P21" s="31" t="str">
        <f aca="false">IF($A21="","",SUMIFS(Data_EntMonth!$D:$D,Data_EntMonth!$A:$A,$A21,Data_EntMonth!$B:$B,P$4))</f>
        <v/>
      </c>
      <c r="Q21" s="31" t="str">
        <f aca="false">IF($A21="","",SUMIFS(Data_EntMonth!$D:$D,Data_EntMonth!$A:$A,$A21,Data_EntMonth!$B:$B,Q$4))</f>
        <v/>
      </c>
      <c r="R21" s="31" t="str">
        <f aca="false">IF($A21="","",SUMIFS(Data_EntMonth!$D:$D,Data_EntMonth!$A:$A,$A21,Data_EntMonth!$B:$B,R$4))</f>
        <v/>
      </c>
      <c r="S21" s="31" t="str">
        <f aca="false">IF($A21="","",SUMIFS(Data_EntMonth!$D:$D,Data_EntMonth!$A:$A,$A21,Data_EntMonth!$B:$B,S$4))</f>
        <v/>
      </c>
    </row>
    <row r="22" customFormat="false" ht="15" hidden="false" customHeight="false" outlineLevel="0" collapsed="false">
      <c r="A22" s="3" t="str">
        <f aca="false">IF(INDEX(Data_Contracts!$A:$A,18+1)="","",INDEX(Data_Contracts!$A:$A,18+1))</f>
        <v/>
      </c>
      <c r="B22" s="30" t="str">
        <f aca="false">IF(INDEX(Data_Contracts!$C:$C,18+1)="","",INDEX(Data_Contracts!$C:$C,18+1))</f>
        <v/>
      </c>
      <c r="C22" s="30" t="str">
        <f aca="false">IF(INDEX(Data_Contracts!$D:$D,18+1)="","",INDEX(Data_Contracts!$D:$D,18+1))</f>
        <v/>
      </c>
      <c r="D22" s="31" t="str">
        <f aca="false">IF(INDEX(Data_Contracts!$E:$E,18+1)="","",INDEX(Data_Contracts!$E:$E,18+1))</f>
        <v/>
      </c>
      <c r="E22" s="26" t="str">
        <f aca="false">IF(INDEX(Data_Contracts!$F:$F,18+1)="","",INDEX(Data_Contracts!$F:$F,18+1))</f>
        <v/>
      </c>
      <c r="F22" s="25" t="str">
        <f aca="false">IF(OR($A22="",N($D22)=0),"",S22/$D22)</f>
        <v/>
      </c>
      <c r="G22" s="31" t="str">
        <f aca="false">IF($A22="","",SUMIFS(Data_EntMonth!$F:$F,Data_EntMonth!$A:$A,$A22,Data_EntMonth!$B:$B,S$4))</f>
        <v/>
      </c>
      <c r="H22" s="31" t="str">
        <f aca="false">IF($A22="","",SUMIFS(Data_EntMonth!$D:$D,Data_EntMonth!$A:$A,$A22,Data_EntMonth!$B:$B,H$4))</f>
        <v/>
      </c>
      <c r="I22" s="31" t="str">
        <f aca="false">IF($A22="","",SUMIFS(Data_EntMonth!$D:$D,Data_EntMonth!$A:$A,$A22,Data_EntMonth!$B:$B,I$4))</f>
        <v/>
      </c>
      <c r="J22" s="31" t="str">
        <f aca="false">IF($A22="","",SUMIFS(Data_EntMonth!$D:$D,Data_EntMonth!$A:$A,$A22,Data_EntMonth!$B:$B,J$4))</f>
        <v/>
      </c>
      <c r="K22" s="31" t="str">
        <f aca="false">IF($A22="","",SUMIFS(Data_EntMonth!$D:$D,Data_EntMonth!$A:$A,$A22,Data_EntMonth!$B:$B,K$4))</f>
        <v/>
      </c>
      <c r="L22" s="31" t="str">
        <f aca="false">IF($A22="","",SUMIFS(Data_EntMonth!$D:$D,Data_EntMonth!$A:$A,$A22,Data_EntMonth!$B:$B,L$4))</f>
        <v/>
      </c>
      <c r="M22" s="31" t="str">
        <f aca="false">IF($A22="","",SUMIFS(Data_EntMonth!$D:$D,Data_EntMonth!$A:$A,$A22,Data_EntMonth!$B:$B,M$4))</f>
        <v/>
      </c>
      <c r="N22" s="31" t="str">
        <f aca="false">IF($A22="","",SUMIFS(Data_EntMonth!$D:$D,Data_EntMonth!$A:$A,$A22,Data_EntMonth!$B:$B,N$4))</f>
        <v/>
      </c>
      <c r="O22" s="31" t="str">
        <f aca="false">IF($A22="","",SUMIFS(Data_EntMonth!$D:$D,Data_EntMonth!$A:$A,$A22,Data_EntMonth!$B:$B,O$4))</f>
        <v/>
      </c>
      <c r="P22" s="31" t="str">
        <f aca="false">IF($A22="","",SUMIFS(Data_EntMonth!$D:$D,Data_EntMonth!$A:$A,$A22,Data_EntMonth!$B:$B,P$4))</f>
        <v/>
      </c>
      <c r="Q22" s="31" t="str">
        <f aca="false">IF($A22="","",SUMIFS(Data_EntMonth!$D:$D,Data_EntMonth!$A:$A,$A22,Data_EntMonth!$B:$B,Q$4))</f>
        <v/>
      </c>
      <c r="R22" s="31" t="str">
        <f aca="false">IF($A22="","",SUMIFS(Data_EntMonth!$D:$D,Data_EntMonth!$A:$A,$A22,Data_EntMonth!$B:$B,R$4))</f>
        <v/>
      </c>
      <c r="S22" s="31" t="str">
        <f aca="false">IF($A22="","",SUMIFS(Data_EntMonth!$D:$D,Data_EntMonth!$A:$A,$A22,Data_EntMonth!$B:$B,S$4))</f>
        <v/>
      </c>
    </row>
    <row r="23" customFormat="false" ht="15" hidden="false" customHeight="false" outlineLevel="0" collapsed="false">
      <c r="A23" s="3" t="str">
        <f aca="false">IF(INDEX(Data_Contracts!$A:$A,19+1)="","",INDEX(Data_Contracts!$A:$A,19+1))</f>
        <v/>
      </c>
      <c r="B23" s="30" t="str">
        <f aca="false">IF(INDEX(Data_Contracts!$C:$C,19+1)="","",INDEX(Data_Contracts!$C:$C,19+1))</f>
        <v/>
      </c>
      <c r="C23" s="30" t="str">
        <f aca="false">IF(INDEX(Data_Contracts!$D:$D,19+1)="","",INDEX(Data_Contracts!$D:$D,19+1))</f>
        <v/>
      </c>
      <c r="D23" s="31" t="str">
        <f aca="false">IF(INDEX(Data_Contracts!$E:$E,19+1)="","",INDEX(Data_Contracts!$E:$E,19+1))</f>
        <v/>
      </c>
      <c r="E23" s="26" t="str">
        <f aca="false">IF(INDEX(Data_Contracts!$F:$F,19+1)="","",INDEX(Data_Contracts!$F:$F,19+1))</f>
        <v/>
      </c>
      <c r="F23" s="25" t="str">
        <f aca="false">IF(OR($A23="",N($D23)=0),"",S23/$D23)</f>
        <v/>
      </c>
      <c r="G23" s="31" t="str">
        <f aca="false">IF($A23="","",SUMIFS(Data_EntMonth!$F:$F,Data_EntMonth!$A:$A,$A23,Data_EntMonth!$B:$B,S$4))</f>
        <v/>
      </c>
      <c r="H23" s="31" t="str">
        <f aca="false">IF($A23="","",SUMIFS(Data_EntMonth!$D:$D,Data_EntMonth!$A:$A,$A23,Data_EntMonth!$B:$B,H$4))</f>
        <v/>
      </c>
      <c r="I23" s="31" t="str">
        <f aca="false">IF($A23="","",SUMIFS(Data_EntMonth!$D:$D,Data_EntMonth!$A:$A,$A23,Data_EntMonth!$B:$B,I$4))</f>
        <v/>
      </c>
      <c r="J23" s="31" t="str">
        <f aca="false">IF($A23="","",SUMIFS(Data_EntMonth!$D:$D,Data_EntMonth!$A:$A,$A23,Data_EntMonth!$B:$B,J$4))</f>
        <v/>
      </c>
      <c r="K23" s="31" t="str">
        <f aca="false">IF($A23="","",SUMIFS(Data_EntMonth!$D:$D,Data_EntMonth!$A:$A,$A23,Data_EntMonth!$B:$B,K$4))</f>
        <v/>
      </c>
      <c r="L23" s="31" t="str">
        <f aca="false">IF($A23="","",SUMIFS(Data_EntMonth!$D:$D,Data_EntMonth!$A:$A,$A23,Data_EntMonth!$B:$B,L$4))</f>
        <v/>
      </c>
      <c r="M23" s="31" t="str">
        <f aca="false">IF($A23="","",SUMIFS(Data_EntMonth!$D:$D,Data_EntMonth!$A:$A,$A23,Data_EntMonth!$B:$B,M$4))</f>
        <v/>
      </c>
      <c r="N23" s="31" t="str">
        <f aca="false">IF($A23="","",SUMIFS(Data_EntMonth!$D:$D,Data_EntMonth!$A:$A,$A23,Data_EntMonth!$B:$B,N$4))</f>
        <v/>
      </c>
      <c r="O23" s="31" t="str">
        <f aca="false">IF($A23="","",SUMIFS(Data_EntMonth!$D:$D,Data_EntMonth!$A:$A,$A23,Data_EntMonth!$B:$B,O$4))</f>
        <v/>
      </c>
      <c r="P23" s="31" t="str">
        <f aca="false">IF($A23="","",SUMIFS(Data_EntMonth!$D:$D,Data_EntMonth!$A:$A,$A23,Data_EntMonth!$B:$B,P$4))</f>
        <v/>
      </c>
      <c r="Q23" s="31" t="str">
        <f aca="false">IF($A23="","",SUMIFS(Data_EntMonth!$D:$D,Data_EntMonth!$A:$A,$A23,Data_EntMonth!$B:$B,Q$4))</f>
        <v/>
      </c>
      <c r="R23" s="31" t="str">
        <f aca="false">IF($A23="","",SUMIFS(Data_EntMonth!$D:$D,Data_EntMonth!$A:$A,$A23,Data_EntMonth!$B:$B,R$4))</f>
        <v/>
      </c>
      <c r="S23" s="31" t="str">
        <f aca="false">IF($A23="","",SUMIFS(Data_EntMonth!$D:$D,Data_EntMonth!$A:$A,$A23,Data_EntMonth!$B:$B,S$4))</f>
        <v/>
      </c>
    </row>
    <row r="24" customFormat="false" ht="15" hidden="false" customHeight="false" outlineLevel="0" collapsed="false">
      <c r="A24" s="3" t="str">
        <f aca="false">IF(INDEX(Data_Contracts!$A:$A,20+1)="","",INDEX(Data_Contracts!$A:$A,20+1))</f>
        <v/>
      </c>
      <c r="B24" s="30" t="str">
        <f aca="false">IF(INDEX(Data_Contracts!$C:$C,20+1)="","",INDEX(Data_Contracts!$C:$C,20+1))</f>
        <v/>
      </c>
      <c r="C24" s="30" t="str">
        <f aca="false">IF(INDEX(Data_Contracts!$D:$D,20+1)="","",INDEX(Data_Contracts!$D:$D,20+1))</f>
        <v/>
      </c>
      <c r="D24" s="31" t="str">
        <f aca="false">IF(INDEX(Data_Contracts!$E:$E,20+1)="","",INDEX(Data_Contracts!$E:$E,20+1))</f>
        <v/>
      </c>
      <c r="E24" s="26" t="str">
        <f aca="false">IF(INDEX(Data_Contracts!$F:$F,20+1)="","",INDEX(Data_Contracts!$F:$F,20+1))</f>
        <v/>
      </c>
      <c r="F24" s="25" t="str">
        <f aca="false">IF(OR($A24="",N($D24)=0),"",S24/$D24)</f>
        <v/>
      </c>
      <c r="G24" s="31" t="str">
        <f aca="false">IF($A24="","",SUMIFS(Data_EntMonth!$F:$F,Data_EntMonth!$A:$A,$A24,Data_EntMonth!$B:$B,S$4))</f>
        <v/>
      </c>
      <c r="H24" s="31" t="str">
        <f aca="false">IF($A24="","",SUMIFS(Data_EntMonth!$D:$D,Data_EntMonth!$A:$A,$A24,Data_EntMonth!$B:$B,H$4))</f>
        <v/>
      </c>
      <c r="I24" s="31" t="str">
        <f aca="false">IF($A24="","",SUMIFS(Data_EntMonth!$D:$D,Data_EntMonth!$A:$A,$A24,Data_EntMonth!$B:$B,I$4))</f>
        <v/>
      </c>
      <c r="J24" s="31" t="str">
        <f aca="false">IF($A24="","",SUMIFS(Data_EntMonth!$D:$D,Data_EntMonth!$A:$A,$A24,Data_EntMonth!$B:$B,J$4))</f>
        <v/>
      </c>
      <c r="K24" s="31" t="str">
        <f aca="false">IF($A24="","",SUMIFS(Data_EntMonth!$D:$D,Data_EntMonth!$A:$A,$A24,Data_EntMonth!$B:$B,K$4))</f>
        <v/>
      </c>
      <c r="L24" s="31" t="str">
        <f aca="false">IF($A24="","",SUMIFS(Data_EntMonth!$D:$D,Data_EntMonth!$A:$A,$A24,Data_EntMonth!$B:$B,L$4))</f>
        <v/>
      </c>
      <c r="M24" s="31" t="str">
        <f aca="false">IF($A24="","",SUMIFS(Data_EntMonth!$D:$D,Data_EntMonth!$A:$A,$A24,Data_EntMonth!$B:$B,M$4))</f>
        <v/>
      </c>
      <c r="N24" s="31" t="str">
        <f aca="false">IF($A24="","",SUMIFS(Data_EntMonth!$D:$D,Data_EntMonth!$A:$A,$A24,Data_EntMonth!$B:$B,N$4))</f>
        <v/>
      </c>
      <c r="O24" s="31" t="str">
        <f aca="false">IF($A24="","",SUMIFS(Data_EntMonth!$D:$D,Data_EntMonth!$A:$A,$A24,Data_EntMonth!$B:$B,O$4))</f>
        <v/>
      </c>
      <c r="P24" s="31" t="str">
        <f aca="false">IF($A24="","",SUMIFS(Data_EntMonth!$D:$D,Data_EntMonth!$A:$A,$A24,Data_EntMonth!$B:$B,P$4))</f>
        <v/>
      </c>
      <c r="Q24" s="31" t="str">
        <f aca="false">IF($A24="","",SUMIFS(Data_EntMonth!$D:$D,Data_EntMonth!$A:$A,$A24,Data_EntMonth!$B:$B,Q$4))</f>
        <v/>
      </c>
      <c r="R24" s="31" t="str">
        <f aca="false">IF($A24="","",SUMIFS(Data_EntMonth!$D:$D,Data_EntMonth!$A:$A,$A24,Data_EntMonth!$B:$B,R$4))</f>
        <v/>
      </c>
      <c r="S24" s="31" t="str">
        <f aca="false">IF($A24="","",SUMIFS(Data_EntMonth!$D:$D,Data_EntMonth!$A:$A,$A24,Data_EntMonth!$B:$B,S$4))</f>
        <v/>
      </c>
    </row>
    <row r="25" customFormat="false" ht="15" hidden="false" customHeight="false" outlineLevel="0" collapsed="false">
      <c r="A25" s="3" t="str">
        <f aca="false">IF(INDEX(Data_Contracts!$A:$A,21+1)="","",INDEX(Data_Contracts!$A:$A,21+1))</f>
        <v/>
      </c>
      <c r="B25" s="30" t="str">
        <f aca="false">IF(INDEX(Data_Contracts!$C:$C,21+1)="","",INDEX(Data_Contracts!$C:$C,21+1))</f>
        <v/>
      </c>
      <c r="C25" s="30" t="str">
        <f aca="false">IF(INDEX(Data_Contracts!$D:$D,21+1)="","",INDEX(Data_Contracts!$D:$D,21+1))</f>
        <v/>
      </c>
      <c r="D25" s="31" t="str">
        <f aca="false">IF(INDEX(Data_Contracts!$E:$E,21+1)="","",INDEX(Data_Contracts!$E:$E,21+1))</f>
        <v/>
      </c>
      <c r="E25" s="26" t="str">
        <f aca="false">IF(INDEX(Data_Contracts!$F:$F,21+1)="","",INDEX(Data_Contracts!$F:$F,21+1))</f>
        <v/>
      </c>
      <c r="F25" s="25" t="str">
        <f aca="false">IF(OR($A25="",N($D25)=0),"",S25/$D25)</f>
        <v/>
      </c>
      <c r="G25" s="31" t="str">
        <f aca="false">IF($A25="","",SUMIFS(Data_EntMonth!$F:$F,Data_EntMonth!$A:$A,$A25,Data_EntMonth!$B:$B,S$4))</f>
        <v/>
      </c>
      <c r="H25" s="31" t="str">
        <f aca="false">IF($A25="","",SUMIFS(Data_EntMonth!$D:$D,Data_EntMonth!$A:$A,$A25,Data_EntMonth!$B:$B,H$4))</f>
        <v/>
      </c>
      <c r="I25" s="31" t="str">
        <f aca="false">IF($A25="","",SUMIFS(Data_EntMonth!$D:$D,Data_EntMonth!$A:$A,$A25,Data_EntMonth!$B:$B,I$4))</f>
        <v/>
      </c>
      <c r="J25" s="31" t="str">
        <f aca="false">IF($A25="","",SUMIFS(Data_EntMonth!$D:$D,Data_EntMonth!$A:$A,$A25,Data_EntMonth!$B:$B,J$4))</f>
        <v/>
      </c>
      <c r="K25" s="31" t="str">
        <f aca="false">IF($A25="","",SUMIFS(Data_EntMonth!$D:$D,Data_EntMonth!$A:$A,$A25,Data_EntMonth!$B:$B,K$4))</f>
        <v/>
      </c>
      <c r="L25" s="31" t="str">
        <f aca="false">IF($A25="","",SUMIFS(Data_EntMonth!$D:$D,Data_EntMonth!$A:$A,$A25,Data_EntMonth!$B:$B,L$4))</f>
        <v/>
      </c>
      <c r="M25" s="31" t="str">
        <f aca="false">IF($A25="","",SUMIFS(Data_EntMonth!$D:$D,Data_EntMonth!$A:$A,$A25,Data_EntMonth!$B:$B,M$4))</f>
        <v/>
      </c>
      <c r="N25" s="31" t="str">
        <f aca="false">IF($A25="","",SUMIFS(Data_EntMonth!$D:$D,Data_EntMonth!$A:$A,$A25,Data_EntMonth!$B:$B,N$4))</f>
        <v/>
      </c>
      <c r="O25" s="31" t="str">
        <f aca="false">IF($A25="","",SUMIFS(Data_EntMonth!$D:$D,Data_EntMonth!$A:$A,$A25,Data_EntMonth!$B:$B,O$4))</f>
        <v/>
      </c>
      <c r="P25" s="31" t="str">
        <f aca="false">IF($A25="","",SUMIFS(Data_EntMonth!$D:$D,Data_EntMonth!$A:$A,$A25,Data_EntMonth!$B:$B,P$4))</f>
        <v/>
      </c>
      <c r="Q25" s="31" t="str">
        <f aca="false">IF($A25="","",SUMIFS(Data_EntMonth!$D:$D,Data_EntMonth!$A:$A,$A25,Data_EntMonth!$B:$B,Q$4))</f>
        <v/>
      </c>
      <c r="R25" s="31" t="str">
        <f aca="false">IF($A25="","",SUMIFS(Data_EntMonth!$D:$D,Data_EntMonth!$A:$A,$A25,Data_EntMonth!$B:$B,R$4))</f>
        <v/>
      </c>
      <c r="S25" s="31" t="str">
        <f aca="false">IF($A25="","",SUMIFS(Data_EntMonth!$D:$D,Data_EntMonth!$A:$A,$A25,Data_EntMonth!$B:$B,S$4))</f>
        <v/>
      </c>
    </row>
    <row r="26" customFormat="false" ht="15" hidden="false" customHeight="false" outlineLevel="0" collapsed="false">
      <c r="A26" s="3" t="str">
        <f aca="false">IF(INDEX(Data_Contracts!$A:$A,22+1)="","",INDEX(Data_Contracts!$A:$A,22+1))</f>
        <v/>
      </c>
      <c r="B26" s="30" t="str">
        <f aca="false">IF(INDEX(Data_Contracts!$C:$C,22+1)="","",INDEX(Data_Contracts!$C:$C,22+1))</f>
        <v/>
      </c>
      <c r="C26" s="30" t="str">
        <f aca="false">IF(INDEX(Data_Contracts!$D:$D,22+1)="","",INDEX(Data_Contracts!$D:$D,22+1))</f>
        <v/>
      </c>
      <c r="D26" s="31" t="str">
        <f aca="false">IF(INDEX(Data_Contracts!$E:$E,22+1)="","",INDEX(Data_Contracts!$E:$E,22+1))</f>
        <v/>
      </c>
      <c r="E26" s="26" t="str">
        <f aca="false">IF(INDEX(Data_Contracts!$F:$F,22+1)="","",INDEX(Data_Contracts!$F:$F,22+1))</f>
        <v/>
      </c>
      <c r="F26" s="25" t="str">
        <f aca="false">IF(OR($A26="",N($D26)=0),"",S26/$D26)</f>
        <v/>
      </c>
      <c r="G26" s="31" t="str">
        <f aca="false">IF($A26="","",SUMIFS(Data_EntMonth!$F:$F,Data_EntMonth!$A:$A,$A26,Data_EntMonth!$B:$B,S$4))</f>
        <v/>
      </c>
      <c r="H26" s="31" t="str">
        <f aca="false">IF($A26="","",SUMIFS(Data_EntMonth!$D:$D,Data_EntMonth!$A:$A,$A26,Data_EntMonth!$B:$B,H$4))</f>
        <v/>
      </c>
      <c r="I26" s="31" t="str">
        <f aca="false">IF($A26="","",SUMIFS(Data_EntMonth!$D:$D,Data_EntMonth!$A:$A,$A26,Data_EntMonth!$B:$B,I$4))</f>
        <v/>
      </c>
      <c r="J26" s="31" t="str">
        <f aca="false">IF($A26="","",SUMIFS(Data_EntMonth!$D:$D,Data_EntMonth!$A:$A,$A26,Data_EntMonth!$B:$B,J$4))</f>
        <v/>
      </c>
      <c r="K26" s="31" t="str">
        <f aca="false">IF($A26="","",SUMIFS(Data_EntMonth!$D:$D,Data_EntMonth!$A:$A,$A26,Data_EntMonth!$B:$B,K$4))</f>
        <v/>
      </c>
      <c r="L26" s="31" t="str">
        <f aca="false">IF($A26="","",SUMIFS(Data_EntMonth!$D:$D,Data_EntMonth!$A:$A,$A26,Data_EntMonth!$B:$B,L$4))</f>
        <v/>
      </c>
      <c r="M26" s="31" t="str">
        <f aca="false">IF($A26="","",SUMIFS(Data_EntMonth!$D:$D,Data_EntMonth!$A:$A,$A26,Data_EntMonth!$B:$B,M$4))</f>
        <v/>
      </c>
      <c r="N26" s="31" t="str">
        <f aca="false">IF($A26="","",SUMIFS(Data_EntMonth!$D:$D,Data_EntMonth!$A:$A,$A26,Data_EntMonth!$B:$B,N$4))</f>
        <v/>
      </c>
      <c r="O26" s="31" t="str">
        <f aca="false">IF($A26="","",SUMIFS(Data_EntMonth!$D:$D,Data_EntMonth!$A:$A,$A26,Data_EntMonth!$B:$B,O$4))</f>
        <v/>
      </c>
      <c r="P26" s="31" t="str">
        <f aca="false">IF($A26="","",SUMIFS(Data_EntMonth!$D:$D,Data_EntMonth!$A:$A,$A26,Data_EntMonth!$B:$B,P$4))</f>
        <v/>
      </c>
      <c r="Q26" s="31" t="str">
        <f aca="false">IF($A26="","",SUMIFS(Data_EntMonth!$D:$D,Data_EntMonth!$A:$A,$A26,Data_EntMonth!$B:$B,Q$4))</f>
        <v/>
      </c>
      <c r="R26" s="31" t="str">
        <f aca="false">IF($A26="","",SUMIFS(Data_EntMonth!$D:$D,Data_EntMonth!$A:$A,$A26,Data_EntMonth!$B:$B,R$4))</f>
        <v/>
      </c>
      <c r="S26" s="31" t="str">
        <f aca="false">IF($A26="","",SUMIFS(Data_EntMonth!$D:$D,Data_EntMonth!$A:$A,$A26,Data_EntMonth!$B:$B,S$4))</f>
        <v/>
      </c>
    </row>
    <row r="27" customFormat="false" ht="15" hidden="false" customHeight="false" outlineLevel="0" collapsed="false">
      <c r="A27" s="3" t="str">
        <f aca="false">IF(INDEX(Data_Contracts!$A:$A,23+1)="","",INDEX(Data_Contracts!$A:$A,23+1))</f>
        <v/>
      </c>
      <c r="B27" s="30" t="str">
        <f aca="false">IF(INDEX(Data_Contracts!$C:$C,23+1)="","",INDEX(Data_Contracts!$C:$C,23+1))</f>
        <v/>
      </c>
      <c r="C27" s="30" t="str">
        <f aca="false">IF(INDEX(Data_Contracts!$D:$D,23+1)="","",INDEX(Data_Contracts!$D:$D,23+1))</f>
        <v/>
      </c>
      <c r="D27" s="31" t="str">
        <f aca="false">IF(INDEX(Data_Contracts!$E:$E,23+1)="","",INDEX(Data_Contracts!$E:$E,23+1))</f>
        <v/>
      </c>
      <c r="E27" s="26" t="str">
        <f aca="false">IF(INDEX(Data_Contracts!$F:$F,23+1)="","",INDEX(Data_Contracts!$F:$F,23+1))</f>
        <v/>
      </c>
      <c r="F27" s="25" t="str">
        <f aca="false">IF(OR($A27="",N($D27)=0),"",S27/$D27)</f>
        <v/>
      </c>
      <c r="G27" s="31" t="str">
        <f aca="false">IF($A27="","",SUMIFS(Data_EntMonth!$F:$F,Data_EntMonth!$A:$A,$A27,Data_EntMonth!$B:$B,S$4))</f>
        <v/>
      </c>
      <c r="H27" s="31" t="str">
        <f aca="false">IF($A27="","",SUMIFS(Data_EntMonth!$D:$D,Data_EntMonth!$A:$A,$A27,Data_EntMonth!$B:$B,H$4))</f>
        <v/>
      </c>
      <c r="I27" s="31" t="str">
        <f aca="false">IF($A27="","",SUMIFS(Data_EntMonth!$D:$D,Data_EntMonth!$A:$A,$A27,Data_EntMonth!$B:$B,I$4))</f>
        <v/>
      </c>
      <c r="J27" s="31" t="str">
        <f aca="false">IF($A27="","",SUMIFS(Data_EntMonth!$D:$D,Data_EntMonth!$A:$A,$A27,Data_EntMonth!$B:$B,J$4))</f>
        <v/>
      </c>
      <c r="K27" s="31" t="str">
        <f aca="false">IF($A27="","",SUMIFS(Data_EntMonth!$D:$D,Data_EntMonth!$A:$A,$A27,Data_EntMonth!$B:$B,K$4))</f>
        <v/>
      </c>
      <c r="L27" s="31" t="str">
        <f aca="false">IF($A27="","",SUMIFS(Data_EntMonth!$D:$D,Data_EntMonth!$A:$A,$A27,Data_EntMonth!$B:$B,L$4))</f>
        <v/>
      </c>
      <c r="M27" s="31" t="str">
        <f aca="false">IF($A27="","",SUMIFS(Data_EntMonth!$D:$D,Data_EntMonth!$A:$A,$A27,Data_EntMonth!$B:$B,M$4))</f>
        <v/>
      </c>
      <c r="N27" s="31" t="str">
        <f aca="false">IF($A27="","",SUMIFS(Data_EntMonth!$D:$D,Data_EntMonth!$A:$A,$A27,Data_EntMonth!$B:$B,N$4))</f>
        <v/>
      </c>
      <c r="O27" s="31" t="str">
        <f aca="false">IF($A27="","",SUMIFS(Data_EntMonth!$D:$D,Data_EntMonth!$A:$A,$A27,Data_EntMonth!$B:$B,O$4))</f>
        <v/>
      </c>
      <c r="P27" s="31" t="str">
        <f aca="false">IF($A27="","",SUMIFS(Data_EntMonth!$D:$D,Data_EntMonth!$A:$A,$A27,Data_EntMonth!$B:$B,P$4))</f>
        <v/>
      </c>
      <c r="Q27" s="31" t="str">
        <f aca="false">IF($A27="","",SUMIFS(Data_EntMonth!$D:$D,Data_EntMonth!$A:$A,$A27,Data_EntMonth!$B:$B,Q$4))</f>
        <v/>
      </c>
      <c r="R27" s="31" t="str">
        <f aca="false">IF($A27="","",SUMIFS(Data_EntMonth!$D:$D,Data_EntMonth!$A:$A,$A27,Data_EntMonth!$B:$B,R$4))</f>
        <v/>
      </c>
      <c r="S27" s="31" t="str">
        <f aca="false">IF($A27="","",SUMIFS(Data_EntMonth!$D:$D,Data_EntMonth!$A:$A,$A27,Data_EntMonth!$B:$B,S$4))</f>
        <v/>
      </c>
    </row>
    <row r="28" customFormat="false" ht="15" hidden="false" customHeight="false" outlineLevel="0" collapsed="false">
      <c r="A28" s="3" t="str">
        <f aca="false">IF(INDEX(Data_Contracts!$A:$A,24+1)="","",INDEX(Data_Contracts!$A:$A,24+1))</f>
        <v/>
      </c>
      <c r="B28" s="30" t="str">
        <f aca="false">IF(INDEX(Data_Contracts!$C:$C,24+1)="","",INDEX(Data_Contracts!$C:$C,24+1))</f>
        <v/>
      </c>
      <c r="C28" s="30" t="str">
        <f aca="false">IF(INDEX(Data_Contracts!$D:$D,24+1)="","",INDEX(Data_Contracts!$D:$D,24+1))</f>
        <v/>
      </c>
      <c r="D28" s="31" t="str">
        <f aca="false">IF(INDEX(Data_Contracts!$E:$E,24+1)="","",INDEX(Data_Contracts!$E:$E,24+1))</f>
        <v/>
      </c>
      <c r="E28" s="26" t="str">
        <f aca="false">IF(INDEX(Data_Contracts!$F:$F,24+1)="","",INDEX(Data_Contracts!$F:$F,24+1))</f>
        <v/>
      </c>
      <c r="F28" s="25" t="str">
        <f aca="false">IF(OR($A28="",N($D28)=0),"",S28/$D28)</f>
        <v/>
      </c>
      <c r="G28" s="31" t="str">
        <f aca="false">IF($A28="","",SUMIFS(Data_EntMonth!$F:$F,Data_EntMonth!$A:$A,$A28,Data_EntMonth!$B:$B,S$4))</f>
        <v/>
      </c>
      <c r="H28" s="31" t="str">
        <f aca="false">IF($A28="","",SUMIFS(Data_EntMonth!$D:$D,Data_EntMonth!$A:$A,$A28,Data_EntMonth!$B:$B,H$4))</f>
        <v/>
      </c>
      <c r="I28" s="31" t="str">
        <f aca="false">IF($A28="","",SUMIFS(Data_EntMonth!$D:$D,Data_EntMonth!$A:$A,$A28,Data_EntMonth!$B:$B,I$4))</f>
        <v/>
      </c>
      <c r="J28" s="31" t="str">
        <f aca="false">IF($A28="","",SUMIFS(Data_EntMonth!$D:$D,Data_EntMonth!$A:$A,$A28,Data_EntMonth!$B:$B,J$4))</f>
        <v/>
      </c>
      <c r="K28" s="31" t="str">
        <f aca="false">IF($A28="","",SUMIFS(Data_EntMonth!$D:$D,Data_EntMonth!$A:$A,$A28,Data_EntMonth!$B:$B,K$4))</f>
        <v/>
      </c>
      <c r="L28" s="31" t="str">
        <f aca="false">IF($A28="","",SUMIFS(Data_EntMonth!$D:$D,Data_EntMonth!$A:$A,$A28,Data_EntMonth!$B:$B,L$4))</f>
        <v/>
      </c>
      <c r="M28" s="31" t="str">
        <f aca="false">IF($A28="","",SUMIFS(Data_EntMonth!$D:$D,Data_EntMonth!$A:$A,$A28,Data_EntMonth!$B:$B,M$4))</f>
        <v/>
      </c>
      <c r="N28" s="31" t="str">
        <f aca="false">IF($A28="","",SUMIFS(Data_EntMonth!$D:$D,Data_EntMonth!$A:$A,$A28,Data_EntMonth!$B:$B,N$4))</f>
        <v/>
      </c>
      <c r="O28" s="31" t="str">
        <f aca="false">IF($A28="","",SUMIFS(Data_EntMonth!$D:$D,Data_EntMonth!$A:$A,$A28,Data_EntMonth!$B:$B,O$4))</f>
        <v/>
      </c>
      <c r="P28" s="31" t="str">
        <f aca="false">IF($A28="","",SUMIFS(Data_EntMonth!$D:$D,Data_EntMonth!$A:$A,$A28,Data_EntMonth!$B:$B,P$4))</f>
        <v/>
      </c>
      <c r="Q28" s="31" t="str">
        <f aca="false">IF($A28="","",SUMIFS(Data_EntMonth!$D:$D,Data_EntMonth!$A:$A,$A28,Data_EntMonth!$B:$B,Q$4))</f>
        <v/>
      </c>
      <c r="R28" s="31" t="str">
        <f aca="false">IF($A28="","",SUMIFS(Data_EntMonth!$D:$D,Data_EntMonth!$A:$A,$A28,Data_EntMonth!$B:$B,R$4))</f>
        <v/>
      </c>
      <c r="S28" s="31" t="str">
        <f aca="false">IF($A28="","",SUMIFS(Data_EntMonth!$D:$D,Data_EntMonth!$A:$A,$A28,Data_EntMonth!$B:$B,S$4))</f>
        <v/>
      </c>
    </row>
    <row r="29" customFormat="false" ht="15" hidden="false" customHeight="false" outlineLevel="0" collapsed="false">
      <c r="A29" s="3" t="str">
        <f aca="false">IF(INDEX(Data_Contracts!$A:$A,25+1)="","",INDEX(Data_Contracts!$A:$A,25+1))</f>
        <v/>
      </c>
      <c r="B29" s="30" t="str">
        <f aca="false">IF(INDEX(Data_Contracts!$C:$C,25+1)="","",INDEX(Data_Contracts!$C:$C,25+1))</f>
        <v/>
      </c>
      <c r="C29" s="30" t="str">
        <f aca="false">IF(INDEX(Data_Contracts!$D:$D,25+1)="","",INDEX(Data_Contracts!$D:$D,25+1))</f>
        <v/>
      </c>
      <c r="D29" s="31" t="str">
        <f aca="false">IF(INDEX(Data_Contracts!$E:$E,25+1)="","",INDEX(Data_Contracts!$E:$E,25+1))</f>
        <v/>
      </c>
      <c r="E29" s="26" t="str">
        <f aca="false">IF(INDEX(Data_Contracts!$F:$F,25+1)="","",INDEX(Data_Contracts!$F:$F,25+1))</f>
        <v/>
      </c>
      <c r="F29" s="25" t="str">
        <f aca="false">IF(OR($A29="",N($D29)=0),"",S29/$D29)</f>
        <v/>
      </c>
      <c r="G29" s="31" t="str">
        <f aca="false">IF($A29="","",SUMIFS(Data_EntMonth!$F:$F,Data_EntMonth!$A:$A,$A29,Data_EntMonth!$B:$B,S$4))</f>
        <v/>
      </c>
      <c r="H29" s="31" t="str">
        <f aca="false">IF($A29="","",SUMIFS(Data_EntMonth!$D:$D,Data_EntMonth!$A:$A,$A29,Data_EntMonth!$B:$B,H$4))</f>
        <v/>
      </c>
      <c r="I29" s="31" t="str">
        <f aca="false">IF($A29="","",SUMIFS(Data_EntMonth!$D:$D,Data_EntMonth!$A:$A,$A29,Data_EntMonth!$B:$B,I$4))</f>
        <v/>
      </c>
      <c r="J29" s="31" t="str">
        <f aca="false">IF($A29="","",SUMIFS(Data_EntMonth!$D:$D,Data_EntMonth!$A:$A,$A29,Data_EntMonth!$B:$B,J$4))</f>
        <v/>
      </c>
      <c r="K29" s="31" t="str">
        <f aca="false">IF($A29="","",SUMIFS(Data_EntMonth!$D:$D,Data_EntMonth!$A:$A,$A29,Data_EntMonth!$B:$B,K$4))</f>
        <v/>
      </c>
      <c r="L29" s="31" t="str">
        <f aca="false">IF($A29="","",SUMIFS(Data_EntMonth!$D:$D,Data_EntMonth!$A:$A,$A29,Data_EntMonth!$B:$B,L$4))</f>
        <v/>
      </c>
      <c r="M29" s="31" t="str">
        <f aca="false">IF($A29="","",SUMIFS(Data_EntMonth!$D:$D,Data_EntMonth!$A:$A,$A29,Data_EntMonth!$B:$B,M$4))</f>
        <v/>
      </c>
      <c r="N29" s="31" t="str">
        <f aca="false">IF($A29="","",SUMIFS(Data_EntMonth!$D:$D,Data_EntMonth!$A:$A,$A29,Data_EntMonth!$B:$B,N$4))</f>
        <v/>
      </c>
      <c r="O29" s="31" t="str">
        <f aca="false">IF($A29="","",SUMIFS(Data_EntMonth!$D:$D,Data_EntMonth!$A:$A,$A29,Data_EntMonth!$B:$B,O$4))</f>
        <v/>
      </c>
      <c r="P29" s="31" t="str">
        <f aca="false">IF($A29="","",SUMIFS(Data_EntMonth!$D:$D,Data_EntMonth!$A:$A,$A29,Data_EntMonth!$B:$B,P$4))</f>
        <v/>
      </c>
      <c r="Q29" s="31" t="str">
        <f aca="false">IF($A29="","",SUMIFS(Data_EntMonth!$D:$D,Data_EntMonth!$A:$A,$A29,Data_EntMonth!$B:$B,Q$4))</f>
        <v/>
      </c>
      <c r="R29" s="31" t="str">
        <f aca="false">IF($A29="","",SUMIFS(Data_EntMonth!$D:$D,Data_EntMonth!$A:$A,$A29,Data_EntMonth!$B:$B,R$4))</f>
        <v/>
      </c>
      <c r="S29" s="31" t="str">
        <f aca="false">IF($A29="","",SUMIFS(Data_EntMonth!$D:$D,Data_EntMonth!$A:$A,$A29,Data_EntMonth!$B:$B,S$4))</f>
        <v/>
      </c>
    </row>
    <row r="30" customFormat="false" ht="15" hidden="false" customHeight="false" outlineLevel="0" collapsed="false">
      <c r="A30" s="3" t="str">
        <f aca="false">IF(INDEX(Data_Contracts!$A:$A,26+1)="","",INDEX(Data_Contracts!$A:$A,26+1))</f>
        <v/>
      </c>
      <c r="B30" s="30" t="str">
        <f aca="false">IF(INDEX(Data_Contracts!$C:$C,26+1)="","",INDEX(Data_Contracts!$C:$C,26+1))</f>
        <v/>
      </c>
      <c r="C30" s="30" t="str">
        <f aca="false">IF(INDEX(Data_Contracts!$D:$D,26+1)="","",INDEX(Data_Contracts!$D:$D,26+1))</f>
        <v/>
      </c>
      <c r="D30" s="31" t="str">
        <f aca="false">IF(INDEX(Data_Contracts!$E:$E,26+1)="","",INDEX(Data_Contracts!$E:$E,26+1))</f>
        <v/>
      </c>
      <c r="E30" s="26" t="str">
        <f aca="false">IF(INDEX(Data_Contracts!$F:$F,26+1)="","",INDEX(Data_Contracts!$F:$F,26+1))</f>
        <v/>
      </c>
      <c r="F30" s="25" t="str">
        <f aca="false">IF(OR($A30="",N($D30)=0),"",S30/$D30)</f>
        <v/>
      </c>
      <c r="G30" s="31" t="str">
        <f aca="false">IF($A30="","",SUMIFS(Data_EntMonth!$F:$F,Data_EntMonth!$A:$A,$A30,Data_EntMonth!$B:$B,S$4))</f>
        <v/>
      </c>
      <c r="H30" s="31" t="str">
        <f aca="false">IF($A30="","",SUMIFS(Data_EntMonth!$D:$D,Data_EntMonth!$A:$A,$A30,Data_EntMonth!$B:$B,H$4))</f>
        <v/>
      </c>
      <c r="I30" s="31" t="str">
        <f aca="false">IF($A30="","",SUMIFS(Data_EntMonth!$D:$D,Data_EntMonth!$A:$A,$A30,Data_EntMonth!$B:$B,I$4))</f>
        <v/>
      </c>
      <c r="J30" s="31" t="str">
        <f aca="false">IF($A30="","",SUMIFS(Data_EntMonth!$D:$D,Data_EntMonth!$A:$A,$A30,Data_EntMonth!$B:$B,J$4))</f>
        <v/>
      </c>
      <c r="K30" s="31" t="str">
        <f aca="false">IF($A30="","",SUMIFS(Data_EntMonth!$D:$D,Data_EntMonth!$A:$A,$A30,Data_EntMonth!$B:$B,K$4))</f>
        <v/>
      </c>
      <c r="L30" s="31" t="str">
        <f aca="false">IF($A30="","",SUMIFS(Data_EntMonth!$D:$D,Data_EntMonth!$A:$A,$A30,Data_EntMonth!$B:$B,L$4))</f>
        <v/>
      </c>
      <c r="M30" s="31" t="str">
        <f aca="false">IF($A30="","",SUMIFS(Data_EntMonth!$D:$D,Data_EntMonth!$A:$A,$A30,Data_EntMonth!$B:$B,M$4))</f>
        <v/>
      </c>
      <c r="N30" s="31" t="str">
        <f aca="false">IF($A30="","",SUMIFS(Data_EntMonth!$D:$D,Data_EntMonth!$A:$A,$A30,Data_EntMonth!$B:$B,N$4))</f>
        <v/>
      </c>
      <c r="O30" s="31" t="str">
        <f aca="false">IF($A30="","",SUMIFS(Data_EntMonth!$D:$D,Data_EntMonth!$A:$A,$A30,Data_EntMonth!$B:$B,O$4))</f>
        <v/>
      </c>
      <c r="P30" s="31" t="str">
        <f aca="false">IF($A30="","",SUMIFS(Data_EntMonth!$D:$D,Data_EntMonth!$A:$A,$A30,Data_EntMonth!$B:$B,P$4))</f>
        <v/>
      </c>
      <c r="Q30" s="31" t="str">
        <f aca="false">IF($A30="","",SUMIFS(Data_EntMonth!$D:$D,Data_EntMonth!$A:$A,$A30,Data_EntMonth!$B:$B,Q$4))</f>
        <v/>
      </c>
      <c r="R30" s="31" t="str">
        <f aca="false">IF($A30="","",SUMIFS(Data_EntMonth!$D:$D,Data_EntMonth!$A:$A,$A30,Data_EntMonth!$B:$B,R$4))</f>
        <v/>
      </c>
      <c r="S30" s="31" t="str">
        <f aca="false">IF($A30="","",SUMIFS(Data_EntMonth!$D:$D,Data_EntMonth!$A:$A,$A30,Data_EntMonth!$B:$B,S$4))</f>
        <v/>
      </c>
    </row>
    <row r="31" customFormat="false" ht="15" hidden="false" customHeight="false" outlineLevel="0" collapsed="false">
      <c r="A31" s="3" t="str">
        <f aca="false">IF(INDEX(Data_Contracts!$A:$A,27+1)="","",INDEX(Data_Contracts!$A:$A,27+1))</f>
        <v/>
      </c>
      <c r="B31" s="30" t="str">
        <f aca="false">IF(INDEX(Data_Contracts!$C:$C,27+1)="","",INDEX(Data_Contracts!$C:$C,27+1))</f>
        <v/>
      </c>
      <c r="C31" s="30" t="str">
        <f aca="false">IF(INDEX(Data_Contracts!$D:$D,27+1)="","",INDEX(Data_Contracts!$D:$D,27+1))</f>
        <v/>
      </c>
      <c r="D31" s="31" t="str">
        <f aca="false">IF(INDEX(Data_Contracts!$E:$E,27+1)="","",INDEX(Data_Contracts!$E:$E,27+1))</f>
        <v/>
      </c>
      <c r="E31" s="26" t="str">
        <f aca="false">IF(INDEX(Data_Contracts!$F:$F,27+1)="","",INDEX(Data_Contracts!$F:$F,27+1))</f>
        <v/>
      </c>
      <c r="F31" s="25" t="str">
        <f aca="false">IF(OR($A31="",N($D31)=0),"",S31/$D31)</f>
        <v/>
      </c>
      <c r="G31" s="31" t="str">
        <f aca="false">IF($A31="","",SUMIFS(Data_EntMonth!$F:$F,Data_EntMonth!$A:$A,$A31,Data_EntMonth!$B:$B,S$4))</f>
        <v/>
      </c>
      <c r="H31" s="31" t="str">
        <f aca="false">IF($A31="","",SUMIFS(Data_EntMonth!$D:$D,Data_EntMonth!$A:$A,$A31,Data_EntMonth!$B:$B,H$4))</f>
        <v/>
      </c>
      <c r="I31" s="31" t="str">
        <f aca="false">IF($A31="","",SUMIFS(Data_EntMonth!$D:$D,Data_EntMonth!$A:$A,$A31,Data_EntMonth!$B:$B,I$4))</f>
        <v/>
      </c>
      <c r="J31" s="31" t="str">
        <f aca="false">IF($A31="","",SUMIFS(Data_EntMonth!$D:$D,Data_EntMonth!$A:$A,$A31,Data_EntMonth!$B:$B,J$4))</f>
        <v/>
      </c>
      <c r="K31" s="31" t="str">
        <f aca="false">IF($A31="","",SUMIFS(Data_EntMonth!$D:$D,Data_EntMonth!$A:$A,$A31,Data_EntMonth!$B:$B,K$4))</f>
        <v/>
      </c>
      <c r="L31" s="31" t="str">
        <f aca="false">IF($A31="","",SUMIFS(Data_EntMonth!$D:$D,Data_EntMonth!$A:$A,$A31,Data_EntMonth!$B:$B,L$4))</f>
        <v/>
      </c>
      <c r="M31" s="31" t="str">
        <f aca="false">IF($A31="","",SUMIFS(Data_EntMonth!$D:$D,Data_EntMonth!$A:$A,$A31,Data_EntMonth!$B:$B,M$4))</f>
        <v/>
      </c>
      <c r="N31" s="31" t="str">
        <f aca="false">IF($A31="","",SUMIFS(Data_EntMonth!$D:$D,Data_EntMonth!$A:$A,$A31,Data_EntMonth!$B:$B,N$4))</f>
        <v/>
      </c>
      <c r="O31" s="31" t="str">
        <f aca="false">IF($A31="","",SUMIFS(Data_EntMonth!$D:$D,Data_EntMonth!$A:$A,$A31,Data_EntMonth!$B:$B,O$4))</f>
        <v/>
      </c>
      <c r="P31" s="31" t="str">
        <f aca="false">IF($A31="","",SUMIFS(Data_EntMonth!$D:$D,Data_EntMonth!$A:$A,$A31,Data_EntMonth!$B:$B,P$4))</f>
        <v/>
      </c>
      <c r="Q31" s="31" t="str">
        <f aca="false">IF($A31="","",SUMIFS(Data_EntMonth!$D:$D,Data_EntMonth!$A:$A,$A31,Data_EntMonth!$B:$B,Q$4))</f>
        <v/>
      </c>
      <c r="R31" s="31" t="str">
        <f aca="false">IF($A31="","",SUMIFS(Data_EntMonth!$D:$D,Data_EntMonth!$A:$A,$A31,Data_EntMonth!$B:$B,R$4))</f>
        <v/>
      </c>
      <c r="S31" s="31" t="str">
        <f aca="false">IF($A31="","",SUMIFS(Data_EntMonth!$D:$D,Data_EntMonth!$A:$A,$A31,Data_EntMonth!$B:$B,S$4))</f>
        <v/>
      </c>
    </row>
    <row r="32" customFormat="false" ht="15" hidden="false" customHeight="false" outlineLevel="0" collapsed="false">
      <c r="A32" s="3" t="str">
        <f aca="false">IF(INDEX(Data_Contracts!$A:$A,28+1)="","",INDEX(Data_Contracts!$A:$A,28+1))</f>
        <v/>
      </c>
      <c r="B32" s="30" t="str">
        <f aca="false">IF(INDEX(Data_Contracts!$C:$C,28+1)="","",INDEX(Data_Contracts!$C:$C,28+1))</f>
        <v/>
      </c>
      <c r="C32" s="30" t="str">
        <f aca="false">IF(INDEX(Data_Contracts!$D:$D,28+1)="","",INDEX(Data_Contracts!$D:$D,28+1))</f>
        <v/>
      </c>
      <c r="D32" s="31" t="str">
        <f aca="false">IF(INDEX(Data_Contracts!$E:$E,28+1)="","",INDEX(Data_Contracts!$E:$E,28+1))</f>
        <v/>
      </c>
      <c r="E32" s="26" t="str">
        <f aca="false">IF(INDEX(Data_Contracts!$F:$F,28+1)="","",INDEX(Data_Contracts!$F:$F,28+1))</f>
        <v/>
      </c>
      <c r="F32" s="25" t="str">
        <f aca="false">IF(OR($A32="",N($D32)=0),"",S32/$D32)</f>
        <v/>
      </c>
      <c r="G32" s="31" t="str">
        <f aca="false">IF($A32="","",SUMIFS(Data_EntMonth!$F:$F,Data_EntMonth!$A:$A,$A32,Data_EntMonth!$B:$B,S$4))</f>
        <v/>
      </c>
      <c r="H32" s="31" t="str">
        <f aca="false">IF($A32="","",SUMIFS(Data_EntMonth!$D:$D,Data_EntMonth!$A:$A,$A32,Data_EntMonth!$B:$B,H$4))</f>
        <v/>
      </c>
      <c r="I32" s="31" t="str">
        <f aca="false">IF($A32="","",SUMIFS(Data_EntMonth!$D:$D,Data_EntMonth!$A:$A,$A32,Data_EntMonth!$B:$B,I$4))</f>
        <v/>
      </c>
      <c r="J32" s="31" t="str">
        <f aca="false">IF($A32="","",SUMIFS(Data_EntMonth!$D:$D,Data_EntMonth!$A:$A,$A32,Data_EntMonth!$B:$B,J$4))</f>
        <v/>
      </c>
      <c r="K32" s="31" t="str">
        <f aca="false">IF($A32="","",SUMIFS(Data_EntMonth!$D:$D,Data_EntMonth!$A:$A,$A32,Data_EntMonth!$B:$B,K$4))</f>
        <v/>
      </c>
      <c r="L32" s="31" t="str">
        <f aca="false">IF($A32="","",SUMIFS(Data_EntMonth!$D:$D,Data_EntMonth!$A:$A,$A32,Data_EntMonth!$B:$B,L$4))</f>
        <v/>
      </c>
      <c r="M32" s="31" t="str">
        <f aca="false">IF($A32="","",SUMIFS(Data_EntMonth!$D:$D,Data_EntMonth!$A:$A,$A32,Data_EntMonth!$B:$B,M$4))</f>
        <v/>
      </c>
      <c r="N32" s="31" t="str">
        <f aca="false">IF($A32="","",SUMIFS(Data_EntMonth!$D:$D,Data_EntMonth!$A:$A,$A32,Data_EntMonth!$B:$B,N$4))</f>
        <v/>
      </c>
      <c r="O32" s="31" t="str">
        <f aca="false">IF($A32="","",SUMIFS(Data_EntMonth!$D:$D,Data_EntMonth!$A:$A,$A32,Data_EntMonth!$B:$B,O$4))</f>
        <v/>
      </c>
      <c r="P32" s="31" t="str">
        <f aca="false">IF($A32="","",SUMIFS(Data_EntMonth!$D:$D,Data_EntMonth!$A:$A,$A32,Data_EntMonth!$B:$B,P$4))</f>
        <v/>
      </c>
      <c r="Q32" s="31" t="str">
        <f aca="false">IF($A32="","",SUMIFS(Data_EntMonth!$D:$D,Data_EntMonth!$A:$A,$A32,Data_EntMonth!$B:$B,Q$4))</f>
        <v/>
      </c>
      <c r="R32" s="31" t="str">
        <f aca="false">IF($A32="","",SUMIFS(Data_EntMonth!$D:$D,Data_EntMonth!$A:$A,$A32,Data_EntMonth!$B:$B,R$4))</f>
        <v/>
      </c>
      <c r="S32" s="31" t="str">
        <f aca="false">IF($A32="","",SUMIFS(Data_EntMonth!$D:$D,Data_EntMonth!$A:$A,$A32,Data_EntMonth!$B:$B,S$4))</f>
        <v/>
      </c>
    </row>
    <row r="33" customFormat="false" ht="15" hidden="false" customHeight="false" outlineLevel="0" collapsed="false">
      <c r="A33" s="3" t="str">
        <f aca="false">IF(INDEX(Data_Contracts!$A:$A,29+1)="","",INDEX(Data_Contracts!$A:$A,29+1))</f>
        <v/>
      </c>
      <c r="B33" s="30" t="str">
        <f aca="false">IF(INDEX(Data_Contracts!$C:$C,29+1)="","",INDEX(Data_Contracts!$C:$C,29+1))</f>
        <v/>
      </c>
      <c r="C33" s="30" t="str">
        <f aca="false">IF(INDEX(Data_Contracts!$D:$D,29+1)="","",INDEX(Data_Contracts!$D:$D,29+1))</f>
        <v/>
      </c>
      <c r="D33" s="31" t="str">
        <f aca="false">IF(INDEX(Data_Contracts!$E:$E,29+1)="","",INDEX(Data_Contracts!$E:$E,29+1))</f>
        <v/>
      </c>
      <c r="E33" s="26" t="str">
        <f aca="false">IF(INDEX(Data_Contracts!$F:$F,29+1)="","",INDEX(Data_Contracts!$F:$F,29+1))</f>
        <v/>
      </c>
      <c r="F33" s="25" t="str">
        <f aca="false">IF(OR($A33="",N($D33)=0),"",S33/$D33)</f>
        <v/>
      </c>
      <c r="G33" s="31" t="str">
        <f aca="false">IF($A33="","",SUMIFS(Data_EntMonth!$F:$F,Data_EntMonth!$A:$A,$A33,Data_EntMonth!$B:$B,S$4))</f>
        <v/>
      </c>
      <c r="H33" s="31" t="str">
        <f aca="false">IF($A33="","",SUMIFS(Data_EntMonth!$D:$D,Data_EntMonth!$A:$A,$A33,Data_EntMonth!$B:$B,H$4))</f>
        <v/>
      </c>
      <c r="I33" s="31" t="str">
        <f aca="false">IF($A33="","",SUMIFS(Data_EntMonth!$D:$D,Data_EntMonth!$A:$A,$A33,Data_EntMonth!$B:$B,I$4))</f>
        <v/>
      </c>
      <c r="J33" s="31" t="str">
        <f aca="false">IF($A33="","",SUMIFS(Data_EntMonth!$D:$D,Data_EntMonth!$A:$A,$A33,Data_EntMonth!$B:$B,J$4))</f>
        <v/>
      </c>
      <c r="K33" s="31" t="str">
        <f aca="false">IF($A33="","",SUMIFS(Data_EntMonth!$D:$D,Data_EntMonth!$A:$A,$A33,Data_EntMonth!$B:$B,K$4))</f>
        <v/>
      </c>
      <c r="L33" s="31" t="str">
        <f aca="false">IF($A33="","",SUMIFS(Data_EntMonth!$D:$D,Data_EntMonth!$A:$A,$A33,Data_EntMonth!$B:$B,L$4))</f>
        <v/>
      </c>
      <c r="M33" s="31" t="str">
        <f aca="false">IF($A33="","",SUMIFS(Data_EntMonth!$D:$D,Data_EntMonth!$A:$A,$A33,Data_EntMonth!$B:$B,M$4))</f>
        <v/>
      </c>
      <c r="N33" s="31" t="str">
        <f aca="false">IF($A33="","",SUMIFS(Data_EntMonth!$D:$D,Data_EntMonth!$A:$A,$A33,Data_EntMonth!$B:$B,N$4))</f>
        <v/>
      </c>
      <c r="O33" s="31" t="str">
        <f aca="false">IF($A33="","",SUMIFS(Data_EntMonth!$D:$D,Data_EntMonth!$A:$A,$A33,Data_EntMonth!$B:$B,O$4))</f>
        <v/>
      </c>
      <c r="P33" s="31" t="str">
        <f aca="false">IF($A33="","",SUMIFS(Data_EntMonth!$D:$D,Data_EntMonth!$A:$A,$A33,Data_EntMonth!$B:$B,P$4))</f>
        <v/>
      </c>
      <c r="Q33" s="31" t="str">
        <f aca="false">IF($A33="","",SUMIFS(Data_EntMonth!$D:$D,Data_EntMonth!$A:$A,$A33,Data_EntMonth!$B:$B,Q$4))</f>
        <v/>
      </c>
      <c r="R33" s="31" t="str">
        <f aca="false">IF($A33="","",SUMIFS(Data_EntMonth!$D:$D,Data_EntMonth!$A:$A,$A33,Data_EntMonth!$B:$B,R$4))</f>
        <v/>
      </c>
      <c r="S33" s="31" t="str">
        <f aca="false">IF($A33="","",SUMIFS(Data_EntMonth!$D:$D,Data_EntMonth!$A:$A,$A33,Data_EntMonth!$B:$B,S$4))</f>
        <v/>
      </c>
    </row>
    <row r="34" customFormat="false" ht="15" hidden="false" customHeight="false" outlineLevel="0" collapsed="false">
      <c r="A34" s="3" t="str">
        <f aca="false">IF(INDEX(Data_Contracts!$A:$A,30+1)="","",INDEX(Data_Contracts!$A:$A,30+1))</f>
        <v/>
      </c>
      <c r="B34" s="30" t="str">
        <f aca="false">IF(INDEX(Data_Contracts!$C:$C,30+1)="","",INDEX(Data_Contracts!$C:$C,30+1))</f>
        <v/>
      </c>
      <c r="C34" s="30" t="str">
        <f aca="false">IF(INDEX(Data_Contracts!$D:$D,30+1)="","",INDEX(Data_Contracts!$D:$D,30+1))</f>
        <v/>
      </c>
      <c r="D34" s="31" t="str">
        <f aca="false">IF(INDEX(Data_Contracts!$E:$E,30+1)="","",INDEX(Data_Contracts!$E:$E,30+1))</f>
        <v/>
      </c>
      <c r="E34" s="26" t="str">
        <f aca="false">IF(INDEX(Data_Contracts!$F:$F,30+1)="","",INDEX(Data_Contracts!$F:$F,30+1))</f>
        <v/>
      </c>
      <c r="F34" s="25" t="str">
        <f aca="false">IF(OR($A34="",N($D34)=0),"",S34/$D34)</f>
        <v/>
      </c>
      <c r="G34" s="31" t="str">
        <f aca="false">IF($A34="","",SUMIFS(Data_EntMonth!$F:$F,Data_EntMonth!$A:$A,$A34,Data_EntMonth!$B:$B,S$4))</f>
        <v/>
      </c>
      <c r="H34" s="31" t="str">
        <f aca="false">IF($A34="","",SUMIFS(Data_EntMonth!$D:$D,Data_EntMonth!$A:$A,$A34,Data_EntMonth!$B:$B,H$4))</f>
        <v/>
      </c>
      <c r="I34" s="31" t="str">
        <f aca="false">IF($A34="","",SUMIFS(Data_EntMonth!$D:$D,Data_EntMonth!$A:$A,$A34,Data_EntMonth!$B:$B,I$4))</f>
        <v/>
      </c>
      <c r="J34" s="31" t="str">
        <f aca="false">IF($A34="","",SUMIFS(Data_EntMonth!$D:$D,Data_EntMonth!$A:$A,$A34,Data_EntMonth!$B:$B,J$4))</f>
        <v/>
      </c>
      <c r="K34" s="31" t="str">
        <f aca="false">IF($A34="","",SUMIFS(Data_EntMonth!$D:$D,Data_EntMonth!$A:$A,$A34,Data_EntMonth!$B:$B,K$4))</f>
        <v/>
      </c>
      <c r="L34" s="31" t="str">
        <f aca="false">IF($A34="","",SUMIFS(Data_EntMonth!$D:$D,Data_EntMonth!$A:$A,$A34,Data_EntMonth!$B:$B,L$4))</f>
        <v/>
      </c>
      <c r="M34" s="31" t="str">
        <f aca="false">IF($A34="","",SUMIFS(Data_EntMonth!$D:$D,Data_EntMonth!$A:$A,$A34,Data_EntMonth!$B:$B,M$4))</f>
        <v/>
      </c>
      <c r="N34" s="31" t="str">
        <f aca="false">IF($A34="","",SUMIFS(Data_EntMonth!$D:$D,Data_EntMonth!$A:$A,$A34,Data_EntMonth!$B:$B,N$4))</f>
        <v/>
      </c>
      <c r="O34" s="31" t="str">
        <f aca="false">IF($A34="","",SUMIFS(Data_EntMonth!$D:$D,Data_EntMonth!$A:$A,$A34,Data_EntMonth!$B:$B,O$4))</f>
        <v/>
      </c>
      <c r="P34" s="31" t="str">
        <f aca="false">IF($A34="","",SUMIFS(Data_EntMonth!$D:$D,Data_EntMonth!$A:$A,$A34,Data_EntMonth!$B:$B,P$4))</f>
        <v/>
      </c>
      <c r="Q34" s="31" t="str">
        <f aca="false">IF($A34="","",SUMIFS(Data_EntMonth!$D:$D,Data_EntMonth!$A:$A,$A34,Data_EntMonth!$B:$B,Q$4))</f>
        <v/>
      </c>
      <c r="R34" s="31" t="str">
        <f aca="false">IF($A34="","",SUMIFS(Data_EntMonth!$D:$D,Data_EntMonth!$A:$A,$A34,Data_EntMonth!$B:$B,R$4))</f>
        <v/>
      </c>
      <c r="S34" s="31" t="str">
        <f aca="false">IF($A34="","",SUMIFS(Data_EntMonth!$D:$D,Data_EntMonth!$A:$A,$A34,Data_EntMonth!$B:$B,S$4))</f>
        <v/>
      </c>
    </row>
    <row r="35" customFormat="false" ht="15" hidden="false" customHeight="false" outlineLevel="0" collapsed="false">
      <c r="A35" s="3" t="str">
        <f aca="false">IF(INDEX(Data_Contracts!$A:$A,31+1)="","",INDEX(Data_Contracts!$A:$A,31+1))</f>
        <v/>
      </c>
      <c r="B35" s="30" t="str">
        <f aca="false">IF(INDEX(Data_Contracts!$C:$C,31+1)="","",INDEX(Data_Contracts!$C:$C,31+1))</f>
        <v/>
      </c>
      <c r="C35" s="30" t="str">
        <f aca="false">IF(INDEX(Data_Contracts!$D:$D,31+1)="","",INDEX(Data_Contracts!$D:$D,31+1))</f>
        <v/>
      </c>
      <c r="D35" s="31" t="str">
        <f aca="false">IF(INDEX(Data_Contracts!$E:$E,31+1)="","",INDEX(Data_Contracts!$E:$E,31+1))</f>
        <v/>
      </c>
      <c r="E35" s="26" t="str">
        <f aca="false">IF(INDEX(Data_Contracts!$F:$F,31+1)="","",INDEX(Data_Contracts!$F:$F,31+1))</f>
        <v/>
      </c>
      <c r="F35" s="25" t="str">
        <f aca="false">IF(OR($A35="",N($D35)=0),"",S35/$D35)</f>
        <v/>
      </c>
      <c r="G35" s="31" t="str">
        <f aca="false">IF($A35="","",SUMIFS(Data_EntMonth!$F:$F,Data_EntMonth!$A:$A,$A35,Data_EntMonth!$B:$B,S$4))</f>
        <v/>
      </c>
      <c r="H35" s="31" t="str">
        <f aca="false">IF($A35="","",SUMIFS(Data_EntMonth!$D:$D,Data_EntMonth!$A:$A,$A35,Data_EntMonth!$B:$B,H$4))</f>
        <v/>
      </c>
      <c r="I35" s="31" t="str">
        <f aca="false">IF($A35="","",SUMIFS(Data_EntMonth!$D:$D,Data_EntMonth!$A:$A,$A35,Data_EntMonth!$B:$B,I$4))</f>
        <v/>
      </c>
      <c r="J35" s="31" t="str">
        <f aca="false">IF($A35="","",SUMIFS(Data_EntMonth!$D:$D,Data_EntMonth!$A:$A,$A35,Data_EntMonth!$B:$B,J$4))</f>
        <v/>
      </c>
      <c r="K35" s="31" t="str">
        <f aca="false">IF($A35="","",SUMIFS(Data_EntMonth!$D:$D,Data_EntMonth!$A:$A,$A35,Data_EntMonth!$B:$B,K$4))</f>
        <v/>
      </c>
      <c r="L35" s="31" t="str">
        <f aca="false">IF($A35="","",SUMIFS(Data_EntMonth!$D:$D,Data_EntMonth!$A:$A,$A35,Data_EntMonth!$B:$B,L$4))</f>
        <v/>
      </c>
      <c r="M35" s="31" t="str">
        <f aca="false">IF($A35="","",SUMIFS(Data_EntMonth!$D:$D,Data_EntMonth!$A:$A,$A35,Data_EntMonth!$B:$B,M$4))</f>
        <v/>
      </c>
      <c r="N35" s="31" t="str">
        <f aca="false">IF($A35="","",SUMIFS(Data_EntMonth!$D:$D,Data_EntMonth!$A:$A,$A35,Data_EntMonth!$B:$B,N$4))</f>
        <v/>
      </c>
      <c r="O35" s="31" t="str">
        <f aca="false">IF($A35="","",SUMIFS(Data_EntMonth!$D:$D,Data_EntMonth!$A:$A,$A35,Data_EntMonth!$B:$B,O$4))</f>
        <v/>
      </c>
      <c r="P35" s="31" t="str">
        <f aca="false">IF($A35="","",SUMIFS(Data_EntMonth!$D:$D,Data_EntMonth!$A:$A,$A35,Data_EntMonth!$B:$B,P$4))</f>
        <v/>
      </c>
      <c r="Q35" s="31" t="str">
        <f aca="false">IF($A35="","",SUMIFS(Data_EntMonth!$D:$D,Data_EntMonth!$A:$A,$A35,Data_EntMonth!$B:$B,Q$4))</f>
        <v/>
      </c>
      <c r="R35" s="31" t="str">
        <f aca="false">IF($A35="","",SUMIFS(Data_EntMonth!$D:$D,Data_EntMonth!$A:$A,$A35,Data_EntMonth!$B:$B,R$4))</f>
        <v/>
      </c>
      <c r="S35" s="31" t="str">
        <f aca="false">IF($A35="","",SUMIFS(Data_EntMonth!$D:$D,Data_EntMonth!$A:$A,$A35,Data_EntMonth!$B:$B,S$4))</f>
        <v/>
      </c>
    </row>
    <row r="36" customFormat="false" ht="15" hidden="false" customHeight="false" outlineLevel="0" collapsed="false">
      <c r="A36" s="3" t="str">
        <f aca="false">IF(INDEX(Data_Contracts!$A:$A,32+1)="","",INDEX(Data_Contracts!$A:$A,32+1))</f>
        <v/>
      </c>
      <c r="B36" s="30" t="str">
        <f aca="false">IF(INDEX(Data_Contracts!$C:$C,32+1)="","",INDEX(Data_Contracts!$C:$C,32+1))</f>
        <v/>
      </c>
      <c r="C36" s="30" t="str">
        <f aca="false">IF(INDEX(Data_Contracts!$D:$D,32+1)="","",INDEX(Data_Contracts!$D:$D,32+1))</f>
        <v/>
      </c>
      <c r="D36" s="31" t="str">
        <f aca="false">IF(INDEX(Data_Contracts!$E:$E,32+1)="","",INDEX(Data_Contracts!$E:$E,32+1))</f>
        <v/>
      </c>
      <c r="E36" s="26" t="str">
        <f aca="false">IF(INDEX(Data_Contracts!$F:$F,32+1)="","",INDEX(Data_Contracts!$F:$F,32+1))</f>
        <v/>
      </c>
      <c r="F36" s="25" t="str">
        <f aca="false">IF(OR($A36="",N($D36)=0),"",S36/$D36)</f>
        <v/>
      </c>
      <c r="G36" s="31" t="str">
        <f aca="false">IF($A36="","",SUMIFS(Data_EntMonth!$F:$F,Data_EntMonth!$A:$A,$A36,Data_EntMonth!$B:$B,S$4))</f>
        <v/>
      </c>
      <c r="H36" s="31" t="str">
        <f aca="false">IF($A36="","",SUMIFS(Data_EntMonth!$D:$D,Data_EntMonth!$A:$A,$A36,Data_EntMonth!$B:$B,H$4))</f>
        <v/>
      </c>
      <c r="I36" s="31" t="str">
        <f aca="false">IF($A36="","",SUMIFS(Data_EntMonth!$D:$D,Data_EntMonth!$A:$A,$A36,Data_EntMonth!$B:$B,I$4))</f>
        <v/>
      </c>
      <c r="J36" s="31" t="str">
        <f aca="false">IF($A36="","",SUMIFS(Data_EntMonth!$D:$D,Data_EntMonth!$A:$A,$A36,Data_EntMonth!$B:$B,J$4))</f>
        <v/>
      </c>
      <c r="K36" s="31" t="str">
        <f aca="false">IF($A36="","",SUMIFS(Data_EntMonth!$D:$D,Data_EntMonth!$A:$A,$A36,Data_EntMonth!$B:$B,K$4))</f>
        <v/>
      </c>
      <c r="L36" s="31" t="str">
        <f aca="false">IF($A36="","",SUMIFS(Data_EntMonth!$D:$D,Data_EntMonth!$A:$A,$A36,Data_EntMonth!$B:$B,L$4))</f>
        <v/>
      </c>
      <c r="M36" s="31" t="str">
        <f aca="false">IF($A36="","",SUMIFS(Data_EntMonth!$D:$D,Data_EntMonth!$A:$A,$A36,Data_EntMonth!$B:$B,M$4))</f>
        <v/>
      </c>
      <c r="N36" s="31" t="str">
        <f aca="false">IF($A36="","",SUMIFS(Data_EntMonth!$D:$D,Data_EntMonth!$A:$A,$A36,Data_EntMonth!$B:$B,N$4))</f>
        <v/>
      </c>
      <c r="O36" s="31" t="str">
        <f aca="false">IF($A36="","",SUMIFS(Data_EntMonth!$D:$D,Data_EntMonth!$A:$A,$A36,Data_EntMonth!$B:$B,O$4))</f>
        <v/>
      </c>
      <c r="P36" s="31" t="str">
        <f aca="false">IF($A36="","",SUMIFS(Data_EntMonth!$D:$D,Data_EntMonth!$A:$A,$A36,Data_EntMonth!$B:$B,P$4))</f>
        <v/>
      </c>
      <c r="Q36" s="31" t="str">
        <f aca="false">IF($A36="","",SUMIFS(Data_EntMonth!$D:$D,Data_EntMonth!$A:$A,$A36,Data_EntMonth!$B:$B,Q$4))</f>
        <v/>
      </c>
      <c r="R36" s="31" t="str">
        <f aca="false">IF($A36="","",SUMIFS(Data_EntMonth!$D:$D,Data_EntMonth!$A:$A,$A36,Data_EntMonth!$B:$B,R$4))</f>
        <v/>
      </c>
      <c r="S36" s="31" t="str">
        <f aca="false">IF($A36="","",SUMIFS(Data_EntMonth!$D:$D,Data_EntMonth!$A:$A,$A36,Data_EntMonth!$B:$B,S$4))</f>
        <v/>
      </c>
    </row>
    <row r="37" customFormat="false" ht="15" hidden="false" customHeight="false" outlineLevel="0" collapsed="false">
      <c r="A37" s="3" t="str">
        <f aca="false">IF(INDEX(Data_Contracts!$A:$A,33+1)="","",INDEX(Data_Contracts!$A:$A,33+1))</f>
        <v/>
      </c>
      <c r="B37" s="30" t="str">
        <f aca="false">IF(INDEX(Data_Contracts!$C:$C,33+1)="","",INDEX(Data_Contracts!$C:$C,33+1))</f>
        <v/>
      </c>
      <c r="C37" s="30" t="str">
        <f aca="false">IF(INDEX(Data_Contracts!$D:$D,33+1)="","",INDEX(Data_Contracts!$D:$D,33+1))</f>
        <v/>
      </c>
      <c r="D37" s="31" t="str">
        <f aca="false">IF(INDEX(Data_Contracts!$E:$E,33+1)="","",INDEX(Data_Contracts!$E:$E,33+1))</f>
        <v/>
      </c>
      <c r="E37" s="26" t="str">
        <f aca="false">IF(INDEX(Data_Contracts!$F:$F,33+1)="","",INDEX(Data_Contracts!$F:$F,33+1))</f>
        <v/>
      </c>
      <c r="F37" s="25" t="str">
        <f aca="false">IF(OR($A37="",N($D37)=0),"",S37/$D37)</f>
        <v/>
      </c>
      <c r="G37" s="31" t="str">
        <f aca="false">IF($A37="","",SUMIFS(Data_EntMonth!$F:$F,Data_EntMonth!$A:$A,$A37,Data_EntMonth!$B:$B,S$4))</f>
        <v/>
      </c>
      <c r="H37" s="31" t="str">
        <f aca="false">IF($A37="","",SUMIFS(Data_EntMonth!$D:$D,Data_EntMonth!$A:$A,$A37,Data_EntMonth!$B:$B,H$4))</f>
        <v/>
      </c>
      <c r="I37" s="31" t="str">
        <f aca="false">IF($A37="","",SUMIFS(Data_EntMonth!$D:$D,Data_EntMonth!$A:$A,$A37,Data_EntMonth!$B:$B,I$4))</f>
        <v/>
      </c>
      <c r="J37" s="31" t="str">
        <f aca="false">IF($A37="","",SUMIFS(Data_EntMonth!$D:$D,Data_EntMonth!$A:$A,$A37,Data_EntMonth!$B:$B,J$4))</f>
        <v/>
      </c>
      <c r="K37" s="31" t="str">
        <f aca="false">IF($A37="","",SUMIFS(Data_EntMonth!$D:$D,Data_EntMonth!$A:$A,$A37,Data_EntMonth!$B:$B,K$4))</f>
        <v/>
      </c>
      <c r="L37" s="31" t="str">
        <f aca="false">IF($A37="","",SUMIFS(Data_EntMonth!$D:$D,Data_EntMonth!$A:$A,$A37,Data_EntMonth!$B:$B,L$4))</f>
        <v/>
      </c>
      <c r="M37" s="31" t="str">
        <f aca="false">IF($A37="","",SUMIFS(Data_EntMonth!$D:$D,Data_EntMonth!$A:$A,$A37,Data_EntMonth!$B:$B,M$4))</f>
        <v/>
      </c>
      <c r="N37" s="31" t="str">
        <f aca="false">IF($A37="","",SUMIFS(Data_EntMonth!$D:$D,Data_EntMonth!$A:$A,$A37,Data_EntMonth!$B:$B,N$4))</f>
        <v/>
      </c>
      <c r="O37" s="31" t="str">
        <f aca="false">IF($A37="","",SUMIFS(Data_EntMonth!$D:$D,Data_EntMonth!$A:$A,$A37,Data_EntMonth!$B:$B,O$4))</f>
        <v/>
      </c>
      <c r="P37" s="31" t="str">
        <f aca="false">IF($A37="","",SUMIFS(Data_EntMonth!$D:$D,Data_EntMonth!$A:$A,$A37,Data_EntMonth!$B:$B,P$4))</f>
        <v/>
      </c>
      <c r="Q37" s="31" t="str">
        <f aca="false">IF($A37="","",SUMIFS(Data_EntMonth!$D:$D,Data_EntMonth!$A:$A,$A37,Data_EntMonth!$B:$B,Q$4))</f>
        <v/>
      </c>
      <c r="R37" s="31" t="str">
        <f aca="false">IF($A37="","",SUMIFS(Data_EntMonth!$D:$D,Data_EntMonth!$A:$A,$A37,Data_EntMonth!$B:$B,R$4))</f>
        <v/>
      </c>
      <c r="S37" s="31" t="str">
        <f aca="false">IF($A37="","",SUMIFS(Data_EntMonth!$D:$D,Data_EntMonth!$A:$A,$A37,Data_EntMonth!$B:$B,S$4))</f>
        <v/>
      </c>
    </row>
    <row r="38" customFormat="false" ht="15" hidden="false" customHeight="false" outlineLevel="0" collapsed="false">
      <c r="A38" s="3" t="str">
        <f aca="false">IF(INDEX(Data_Contracts!$A:$A,34+1)="","",INDEX(Data_Contracts!$A:$A,34+1))</f>
        <v/>
      </c>
      <c r="B38" s="30" t="str">
        <f aca="false">IF(INDEX(Data_Contracts!$C:$C,34+1)="","",INDEX(Data_Contracts!$C:$C,34+1))</f>
        <v/>
      </c>
      <c r="C38" s="30" t="str">
        <f aca="false">IF(INDEX(Data_Contracts!$D:$D,34+1)="","",INDEX(Data_Contracts!$D:$D,34+1))</f>
        <v/>
      </c>
      <c r="D38" s="31" t="str">
        <f aca="false">IF(INDEX(Data_Contracts!$E:$E,34+1)="","",INDEX(Data_Contracts!$E:$E,34+1))</f>
        <v/>
      </c>
      <c r="E38" s="26" t="str">
        <f aca="false">IF(INDEX(Data_Contracts!$F:$F,34+1)="","",INDEX(Data_Contracts!$F:$F,34+1))</f>
        <v/>
      </c>
      <c r="F38" s="25" t="str">
        <f aca="false">IF(OR($A38="",N($D38)=0),"",S38/$D38)</f>
        <v/>
      </c>
      <c r="G38" s="31" t="str">
        <f aca="false">IF($A38="","",SUMIFS(Data_EntMonth!$F:$F,Data_EntMonth!$A:$A,$A38,Data_EntMonth!$B:$B,S$4))</f>
        <v/>
      </c>
      <c r="H38" s="31" t="str">
        <f aca="false">IF($A38="","",SUMIFS(Data_EntMonth!$D:$D,Data_EntMonth!$A:$A,$A38,Data_EntMonth!$B:$B,H$4))</f>
        <v/>
      </c>
      <c r="I38" s="31" t="str">
        <f aca="false">IF($A38="","",SUMIFS(Data_EntMonth!$D:$D,Data_EntMonth!$A:$A,$A38,Data_EntMonth!$B:$B,I$4))</f>
        <v/>
      </c>
      <c r="J38" s="31" t="str">
        <f aca="false">IF($A38="","",SUMIFS(Data_EntMonth!$D:$D,Data_EntMonth!$A:$A,$A38,Data_EntMonth!$B:$B,J$4))</f>
        <v/>
      </c>
      <c r="K38" s="31" t="str">
        <f aca="false">IF($A38="","",SUMIFS(Data_EntMonth!$D:$D,Data_EntMonth!$A:$A,$A38,Data_EntMonth!$B:$B,K$4))</f>
        <v/>
      </c>
      <c r="L38" s="31" t="str">
        <f aca="false">IF($A38="","",SUMIFS(Data_EntMonth!$D:$D,Data_EntMonth!$A:$A,$A38,Data_EntMonth!$B:$B,L$4))</f>
        <v/>
      </c>
      <c r="M38" s="31" t="str">
        <f aca="false">IF($A38="","",SUMIFS(Data_EntMonth!$D:$D,Data_EntMonth!$A:$A,$A38,Data_EntMonth!$B:$B,M$4))</f>
        <v/>
      </c>
      <c r="N38" s="31" t="str">
        <f aca="false">IF($A38="","",SUMIFS(Data_EntMonth!$D:$D,Data_EntMonth!$A:$A,$A38,Data_EntMonth!$B:$B,N$4))</f>
        <v/>
      </c>
      <c r="O38" s="31" t="str">
        <f aca="false">IF($A38="","",SUMIFS(Data_EntMonth!$D:$D,Data_EntMonth!$A:$A,$A38,Data_EntMonth!$B:$B,O$4))</f>
        <v/>
      </c>
      <c r="P38" s="31" t="str">
        <f aca="false">IF($A38="","",SUMIFS(Data_EntMonth!$D:$D,Data_EntMonth!$A:$A,$A38,Data_EntMonth!$B:$B,P$4))</f>
        <v/>
      </c>
      <c r="Q38" s="31" t="str">
        <f aca="false">IF($A38="","",SUMIFS(Data_EntMonth!$D:$D,Data_EntMonth!$A:$A,$A38,Data_EntMonth!$B:$B,Q$4))</f>
        <v/>
      </c>
      <c r="R38" s="31" t="str">
        <f aca="false">IF($A38="","",SUMIFS(Data_EntMonth!$D:$D,Data_EntMonth!$A:$A,$A38,Data_EntMonth!$B:$B,R$4))</f>
        <v/>
      </c>
      <c r="S38" s="31" t="str">
        <f aca="false">IF($A38="","",SUMIFS(Data_EntMonth!$D:$D,Data_EntMonth!$A:$A,$A38,Data_EntMonth!$B:$B,S$4))</f>
        <v/>
      </c>
    </row>
    <row r="39" customFormat="false" ht="15" hidden="false" customHeight="false" outlineLevel="0" collapsed="false">
      <c r="A39" s="3" t="str">
        <f aca="false">IF(INDEX(Data_Contracts!$A:$A,35+1)="","",INDEX(Data_Contracts!$A:$A,35+1))</f>
        <v/>
      </c>
      <c r="B39" s="30" t="str">
        <f aca="false">IF(INDEX(Data_Contracts!$C:$C,35+1)="","",INDEX(Data_Contracts!$C:$C,35+1))</f>
        <v/>
      </c>
      <c r="C39" s="30" t="str">
        <f aca="false">IF(INDEX(Data_Contracts!$D:$D,35+1)="","",INDEX(Data_Contracts!$D:$D,35+1))</f>
        <v/>
      </c>
      <c r="D39" s="31" t="str">
        <f aca="false">IF(INDEX(Data_Contracts!$E:$E,35+1)="","",INDEX(Data_Contracts!$E:$E,35+1))</f>
        <v/>
      </c>
      <c r="E39" s="26" t="str">
        <f aca="false">IF(INDEX(Data_Contracts!$F:$F,35+1)="","",INDEX(Data_Contracts!$F:$F,35+1))</f>
        <v/>
      </c>
      <c r="F39" s="25" t="str">
        <f aca="false">IF(OR($A39="",N($D39)=0),"",S39/$D39)</f>
        <v/>
      </c>
      <c r="G39" s="31" t="str">
        <f aca="false">IF($A39="","",SUMIFS(Data_EntMonth!$F:$F,Data_EntMonth!$A:$A,$A39,Data_EntMonth!$B:$B,S$4))</f>
        <v/>
      </c>
      <c r="H39" s="31" t="str">
        <f aca="false">IF($A39="","",SUMIFS(Data_EntMonth!$D:$D,Data_EntMonth!$A:$A,$A39,Data_EntMonth!$B:$B,H$4))</f>
        <v/>
      </c>
      <c r="I39" s="31" t="str">
        <f aca="false">IF($A39="","",SUMIFS(Data_EntMonth!$D:$D,Data_EntMonth!$A:$A,$A39,Data_EntMonth!$B:$B,I$4))</f>
        <v/>
      </c>
      <c r="J39" s="31" t="str">
        <f aca="false">IF($A39="","",SUMIFS(Data_EntMonth!$D:$D,Data_EntMonth!$A:$A,$A39,Data_EntMonth!$B:$B,J$4))</f>
        <v/>
      </c>
      <c r="K39" s="31" t="str">
        <f aca="false">IF($A39="","",SUMIFS(Data_EntMonth!$D:$D,Data_EntMonth!$A:$A,$A39,Data_EntMonth!$B:$B,K$4))</f>
        <v/>
      </c>
      <c r="L39" s="31" t="str">
        <f aca="false">IF($A39="","",SUMIFS(Data_EntMonth!$D:$D,Data_EntMonth!$A:$A,$A39,Data_EntMonth!$B:$B,L$4))</f>
        <v/>
      </c>
      <c r="M39" s="31" t="str">
        <f aca="false">IF($A39="","",SUMIFS(Data_EntMonth!$D:$D,Data_EntMonth!$A:$A,$A39,Data_EntMonth!$B:$B,M$4))</f>
        <v/>
      </c>
      <c r="N39" s="31" t="str">
        <f aca="false">IF($A39="","",SUMIFS(Data_EntMonth!$D:$D,Data_EntMonth!$A:$A,$A39,Data_EntMonth!$B:$B,N$4))</f>
        <v/>
      </c>
      <c r="O39" s="31" t="str">
        <f aca="false">IF($A39="","",SUMIFS(Data_EntMonth!$D:$D,Data_EntMonth!$A:$A,$A39,Data_EntMonth!$B:$B,O$4))</f>
        <v/>
      </c>
      <c r="P39" s="31" t="str">
        <f aca="false">IF($A39="","",SUMIFS(Data_EntMonth!$D:$D,Data_EntMonth!$A:$A,$A39,Data_EntMonth!$B:$B,P$4))</f>
        <v/>
      </c>
      <c r="Q39" s="31" t="str">
        <f aca="false">IF($A39="","",SUMIFS(Data_EntMonth!$D:$D,Data_EntMonth!$A:$A,$A39,Data_EntMonth!$B:$B,Q$4))</f>
        <v/>
      </c>
      <c r="R39" s="31" t="str">
        <f aca="false">IF($A39="","",SUMIFS(Data_EntMonth!$D:$D,Data_EntMonth!$A:$A,$A39,Data_EntMonth!$B:$B,R$4))</f>
        <v/>
      </c>
      <c r="S39" s="31" t="str">
        <f aca="false">IF($A39="","",SUMIFS(Data_EntMonth!$D:$D,Data_EntMonth!$A:$A,$A39,Data_EntMonth!$B:$B,S$4))</f>
        <v/>
      </c>
    </row>
    <row r="40" customFormat="false" ht="15" hidden="false" customHeight="false" outlineLevel="0" collapsed="false">
      <c r="A40" s="3" t="str">
        <f aca="false">IF(INDEX(Data_Contracts!$A:$A,36+1)="","",INDEX(Data_Contracts!$A:$A,36+1))</f>
        <v/>
      </c>
      <c r="B40" s="30" t="str">
        <f aca="false">IF(INDEX(Data_Contracts!$C:$C,36+1)="","",INDEX(Data_Contracts!$C:$C,36+1))</f>
        <v/>
      </c>
      <c r="C40" s="30" t="str">
        <f aca="false">IF(INDEX(Data_Contracts!$D:$D,36+1)="","",INDEX(Data_Contracts!$D:$D,36+1))</f>
        <v/>
      </c>
      <c r="D40" s="31" t="str">
        <f aca="false">IF(INDEX(Data_Contracts!$E:$E,36+1)="","",INDEX(Data_Contracts!$E:$E,36+1))</f>
        <v/>
      </c>
      <c r="E40" s="26" t="str">
        <f aca="false">IF(INDEX(Data_Contracts!$F:$F,36+1)="","",INDEX(Data_Contracts!$F:$F,36+1))</f>
        <v/>
      </c>
      <c r="F40" s="25" t="str">
        <f aca="false">IF(OR($A40="",N($D40)=0),"",S40/$D40)</f>
        <v/>
      </c>
      <c r="G40" s="31" t="str">
        <f aca="false">IF($A40="","",SUMIFS(Data_EntMonth!$F:$F,Data_EntMonth!$A:$A,$A40,Data_EntMonth!$B:$B,S$4))</f>
        <v/>
      </c>
      <c r="H40" s="31" t="str">
        <f aca="false">IF($A40="","",SUMIFS(Data_EntMonth!$D:$D,Data_EntMonth!$A:$A,$A40,Data_EntMonth!$B:$B,H$4))</f>
        <v/>
      </c>
      <c r="I40" s="31" t="str">
        <f aca="false">IF($A40="","",SUMIFS(Data_EntMonth!$D:$D,Data_EntMonth!$A:$A,$A40,Data_EntMonth!$B:$B,I$4))</f>
        <v/>
      </c>
      <c r="J40" s="31" t="str">
        <f aca="false">IF($A40="","",SUMIFS(Data_EntMonth!$D:$D,Data_EntMonth!$A:$A,$A40,Data_EntMonth!$B:$B,J$4))</f>
        <v/>
      </c>
      <c r="K40" s="31" t="str">
        <f aca="false">IF($A40="","",SUMIFS(Data_EntMonth!$D:$D,Data_EntMonth!$A:$A,$A40,Data_EntMonth!$B:$B,K$4))</f>
        <v/>
      </c>
      <c r="L40" s="31" t="str">
        <f aca="false">IF($A40="","",SUMIFS(Data_EntMonth!$D:$D,Data_EntMonth!$A:$A,$A40,Data_EntMonth!$B:$B,L$4))</f>
        <v/>
      </c>
      <c r="M40" s="31" t="str">
        <f aca="false">IF($A40="","",SUMIFS(Data_EntMonth!$D:$D,Data_EntMonth!$A:$A,$A40,Data_EntMonth!$B:$B,M$4))</f>
        <v/>
      </c>
      <c r="N40" s="31" t="str">
        <f aca="false">IF($A40="","",SUMIFS(Data_EntMonth!$D:$D,Data_EntMonth!$A:$A,$A40,Data_EntMonth!$B:$B,N$4))</f>
        <v/>
      </c>
      <c r="O40" s="31" t="str">
        <f aca="false">IF($A40="","",SUMIFS(Data_EntMonth!$D:$D,Data_EntMonth!$A:$A,$A40,Data_EntMonth!$B:$B,O$4))</f>
        <v/>
      </c>
      <c r="P40" s="31" t="str">
        <f aca="false">IF($A40="","",SUMIFS(Data_EntMonth!$D:$D,Data_EntMonth!$A:$A,$A40,Data_EntMonth!$B:$B,P$4))</f>
        <v/>
      </c>
      <c r="Q40" s="31" t="str">
        <f aca="false">IF($A40="","",SUMIFS(Data_EntMonth!$D:$D,Data_EntMonth!$A:$A,$A40,Data_EntMonth!$B:$B,Q$4))</f>
        <v/>
      </c>
      <c r="R40" s="31" t="str">
        <f aca="false">IF($A40="","",SUMIFS(Data_EntMonth!$D:$D,Data_EntMonth!$A:$A,$A40,Data_EntMonth!$B:$B,R$4))</f>
        <v/>
      </c>
      <c r="S40" s="31" t="str">
        <f aca="false">IF($A40="","",SUMIFS(Data_EntMonth!$D:$D,Data_EntMonth!$A:$A,$A40,Data_EntMonth!$B:$B,S$4))</f>
        <v/>
      </c>
    </row>
    <row r="41" customFormat="false" ht="15" hidden="false" customHeight="false" outlineLevel="0" collapsed="false">
      <c r="A41" s="3" t="str">
        <f aca="false">IF(INDEX(Data_Contracts!$A:$A,37+1)="","",INDEX(Data_Contracts!$A:$A,37+1))</f>
        <v/>
      </c>
      <c r="B41" s="30" t="str">
        <f aca="false">IF(INDEX(Data_Contracts!$C:$C,37+1)="","",INDEX(Data_Contracts!$C:$C,37+1))</f>
        <v/>
      </c>
      <c r="C41" s="30" t="str">
        <f aca="false">IF(INDEX(Data_Contracts!$D:$D,37+1)="","",INDEX(Data_Contracts!$D:$D,37+1))</f>
        <v/>
      </c>
      <c r="D41" s="31" t="str">
        <f aca="false">IF(INDEX(Data_Contracts!$E:$E,37+1)="","",INDEX(Data_Contracts!$E:$E,37+1))</f>
        <v/>
      </c>
      <c r="E41" s="26" t="str">
        <f aca="false">IF(INDEX(Data_Contracts!$F:$F,37+1)="","",INDEX(Data_Contracts!$F:$F,37+1))</f>
        <v/>
      </c>
      <c r="F41" s="25" t="str">
        <f aca="false">IF(OR($A41="",N($D41)=0),"",S41/$D41)</f>
        <v/>
      </c>
      <c r="G41" s="31" t="str">
        <f aca="false">IF($A41="","",SUMIFS(Data_EntMonth!$F:$F,Data_EntMonth!$A:$A,$A41,Data_EntMonth!$B:$B,S$4))</f>
        <v/>
      </c>
      <c r="H41" s="31" t="str">
        <f aca="false">IF($A41="","",SUMIFS(Data_EntMonth!$D:$D,Data_EntMonth!$A:$A,$A41,Data_EntMonth!$B:$B,H$4))</f>
        <v/>
      </c>
      <c r="I41" s="31" t="str">
        <f aca="false">IF($A41="","",SUMIFS(Data_EntMonth!$D:$D,Data_EntMonth!$A:$A,$A41,Data_EntMonth!$B:$B,I$4))</f>
        <v/>
      </c>
      <c r="J41" s="31" t="str">
        <f aca="false">IF($A41="","",SUMIFS(Data_EntMonth!$D:$D,Data_EntMonth!$A:$A,$A41,Data_EntMonth!$B:$B,J$4))</f>
        <v/>
      </c>
      <c r="K41" s="31" t="str">
        <f aca="false">IF($A41="","",SUMIFS(Data_EntMonth!$D:$D,Data_EntMonth!$A:$A,$A41,Data_EntMonth!$B:$B,K$4))</f>
        <v/>
      </c>
      <c r="L41" s="31" t="str">
        <f aca="false">IF($A41="","",SUMIFS(Data_EntMonth!$D:$D,Data_EntMonth!$A:$A,$A41,Data_EntMonth!$B:$B,L$4))</f>
        <v/>
      </c>
      <c r="M41" s="31" t="str">
        <f aca="false">IF($A41="","",SUMIFS(Data_EntMonth!$D:$D,Data_EntMonth!$A:$A,$A41,Data_EntMonth!$B:$B,M$4))</f>
        <v/>
      </c>
      <c r="N41" s="31" t="str">
        <f aca="false">IF($A41="","",SUMIFS(Data_EntMonth!$D:$D,Data_EntMonth!$A:$A,$A41,Data_EntMonth!$B:$B,N$4))</f>
        <v/>
      </c>
      <c r="O41" s="31" t="str">
        <f aca="false">IF($A41="","",SUMIFS(Data_EntMonth!$D:$D,Data_EntMonth!$A:$A,$A41,Data_EntMonth!$B:$B,O$4))</f>
        <v/>
      </c>
      <c r="P41" s="31" t="str">
        <f aca="false">IF($A41="","",SUMIFS(Data_EntMonth!$D:$D,Data_EntMonth!$A:$A,$A41,Data_EntMonth!$B:$B,P$4))</f>
        <v/>
      </c>
      <c r="Q41" s="31" t="str">
        <f aca="false">IF($A41="","",SUMIFS(Data_EntMonth!$D:$D,Data_EntMonth!$A:$A,$A41,Data_EntMonth!$B:$B,Q$4))</f>
        <v/>
      </c>
      <c r="R41" s="31" t="str">
        <f aca="false">IF($A41="","",SUMIFS(Data_EntMonth!$D:$D,Data_EntMonth!$A:$A,$A41,Data_EntMonth!$B:$B,R$4))</f>
        <v/>
      </c>
      <c r="S41" s="31" t="str">
        <f aca="false">IF($A41="","",SUMIFS(Data_EntMonth!$D:$D,Data_EntMonth!$A:$A,$A41,Data_EntMonth!$B:$B,S$4))</f>
        <v/>
      </c>
    </row>
    <row r="42" customFormat="false" ht="15" hidden="false" customHeight="false" outlineLevel="0" collapsed="false">
      <c r="A42" s="3" t="str">
        <f aca="false">IF(INDEX(Data_Contracts!$A:$A,38+1)="","",INDEX(Data_Contracts!$A:$A,38+1))</f>
        <v/>
      </c>
      <c r="B42" s="30" t="str">
        <f aca="false">IF(INDEX(Data_Contracts!$C:$C,38+1)="","",INDEX(Data_Contracts!$C:$C,38+1))</f>
        <v/>
      </c>
      <c r="C42" s="30" t="str">
        <f aca="false">IF(INDEX(Data_Contracts!$D:$D,38+1)="","",INDEX(Data_Contracts!$D:$D,38+1))</f>
        <v/>
      </c>
      <c r="D42" s="31" t="str">
        <f aca="false">IF(INDEX(Data_Contracts!$E:$E,38+1)="","",INDEX(Data_Contracts!$E:$E,38+1))</f>
        <v/>
      </c>
      <c r="E42" s="26" t="str">
        <f aca="false">IF(INDEX(Data_Contracts!$F:$F,38+1)="","",INDEX(Data_Contracts!$F:$F,38+1))</f>
        <v/>
      </c>
      <c r="F42" s="25" t="str">
        <f aca="false">IF(OR($A42="",N($D42)=0),"",S42/$D42)</f>
        <v/>
      </c>
      <c r="G42" s="31" t="str">
        <f aca="false">IF($A42="","",SUMIFS(Data_EntMonth!$F:$F,Data_EntMonth!$A:$A,$A42,Data_EntMonth!$B:$B,S$4))</f>
        <v/>
      </c>
      <c r="H42" s="31" t="str">
        <f aca="false">IF($A42="","",SUMIFS(Data_EntMonth!$D:$D,Data_EntMonth!$A:$A,$A42,Data_EntMonth!$B:$B,H$4))</f>
        <v/>
      </c>
      <c r="I42" s="31" t="str">
        <f aca="false">IF($A42="","",SUMIFS(Data_EntMonth!$D:$D,Data_EntMonth!$A:$A,$A42,Data_EntMonth!$B:$B,I$4))</f>
        <v/>
      </c>
      <c r="J42" s="31" t="str">
        <f aca="false">IF($A42="","",SUMIFS(Data_EntMonth!$D:$D,Data_EntMonth!$A:$A,$A42,Data_EntMonth!$B:$B,J$4))</f>
        <v/>
      </c>
      <c r="K42" s="31" t="str">
        <f aca="false">IF($A42="","",SUMIFS(Data_EntMonth!$D:$D,Data_EntMonth!$A:$A,$A42,Data_EntMonth!$B:$B,K$4))</f>
        <v/>
      </c>
      <c r="L42" s="31" t="str">
        <f aca="false">IF($A42="","",SUMIFS(Data_EntMonth!$D:$D,Data_EntMonth!$A:$A,$A42,Data_EntMonth!$B:$B,L$4))</f>
        <v/>
      </c>
      <c r="M42" s="31" t="str">
        <f aca="false">IF($A42="","",SUMIFS(Data_EntMonth!$D:$D,Data_EntMonth!$A:$A,$A42,Data_EntMonth!$B:$B,M$4))</f>
        <v/>
      </c>
      <c r="N42" s="31" t="str">
        <f aca="false">IF($A42="","",SUMIFS(Data_EntMonth!$D:$D,Data_EntMonth!$A:$A,$A42,Data_EntMonth!$B:$B,N$4))</f>
        <v/>
      </c>
      <c r="O42" s="31" t="str">
        <f aca="false">IF($A42="","",SUMIFS(Data_EntMonth!$D:$D,Data_EntMonth!$A:$A,$A42,Data_EntMonth!$B:$B,O$4))</f>
        <v/>
      </c>
      <c r="P42" s="31" t="str">
        <f aca="false">IF($A42="","",SUMIFS(Data_EntMonth!$D:$D,Data_EntMonth!$A:$A,$A42,Data_EntMonth!$B:$B,P$4))</f>
        <v/>
      </c>
      <c r="Q42" s="31" t="str">
        <f aca="false">IF($A42="","",SUMIFS(Data_EntMonth!$D:$D,Data_EntMonth!$A:$A,$A42,Data_EntMonth!$B:$B,Q$4))</f>
        <v/>
      </c>
      <c r="R42" s="31" t="str">
        <f aca="false">IF($A42="","",SUMIFS(Data_EntMonth!$D:$D,Data_EntMonth!$A:$A,$A42,Data_EntMonth!$B:$B,R$4))</f>
        <v/>
      </c>
      <c r="S42" s="31" t="str">
        <f aca="false">IF($A42="","",SUMIFS(Data_EntMonth!$D:$D,Data_EntMonth!$A:$A,$A42,Data_EntMonth!$B:$B,S$4))</f>
        <v/>
      </c>
    </row>
    <row r="43" customFormat="false" ht="15" hidden="false" customHeight="false" outlineLevel="0" collapsed="false">
      <c r="A43" s="3" t="str">
        <f aca="false">IF(INDEX(Data_Contracts!$A:$A,39+1)="","",INDEX(Data_Contracts!$A:$A,39+1))</f>
        <v/>
      </c>
      <c r="B43" s="30" t="str">
        <f aca="false">IF(INDEX(Data_Contracts!$C:$C,39+1)="","",INDEX(Data_Contracts!$C:$C,39+1))</f>
        <v/>
      </c>
      <c r="C43" s="30" t="str">
        <f aca="false">IF(INDEX(Data_Contracts!$D:$D,39+1)="","",INDEX(Data_Contracts!$D:$D,39+1))</f>
        <v/>
      </c>
      <c r="D43" s="31" t="str">
        <f aca="false">IF(INDEX(Data_Contracts!$E:$E,39+1)="","",INDEX(Data_Contracts!$E:$E,39+1))</f>
        <v/>
      </c>
      <c r="E43" s="26" t="str">
        <f aca="false">IF(INDEX(Data_Contracts!$F:$F,39+1)="","",INDEX(Data_Contracts!$F:$F,39+1))</f>
        <v/>
      </c>
      <c r="F43" s="25" t="str">
        <f aca="false">IF(OR($A43="",N($D43)=0),"",S43/$D43)</f>
        <v/>
      </c>
      <c r="G43" s="31" t="str">
        <f aca="false">IF($A43="","",SUMIFS(Data_EntMonth!$F:$F,Data_EntMonth!$A:$A,$A43,Data_EntMonth!$B:$B,S$4))</f>
        <v/>
      </c>
      <c r="H43" s="31" t="str">
        <f aca="false">IF($A43="","",SUMIFS(Data_EntMonth!$D:$D,Data_EntMonth!$A:$A,$A43,Data_EntMonth!$B:$B,H$4))</f>
        <v/>
      </c>
      <c r="I43" s="31" t="str">
        <f aca="false">IF($A43="","",SUMIFS(Data_EntMonth!$D:$D,Data_EntMonth!$A:$A,$A43,Data_EntMonth!$B:$B,I$4))</f>
        <v/>
      </c>
      <c r="J43" s="31" t="str">
        <f aca="false">IF($A43="","",SUMIFS(Data_EntMonth!$D:$D,Data_EntMonth!$A:$A,$A43,Data_EntMonth!$B:$B,J$4))</f>
        <v/>
      </c>
      <c r="K43" s="31" t="str">
        <f aca="false">IF($A43="","",SUMIFS(Data_EntMonth!$D:$D,Data_EntMonth!$A:$A,$A43,Data_EntMonth!$B:$B,K$4))</f>
        <v/>
      </c>
      <c r="L43" s="31" t="str">
        <f aca="false">IF($A43="","",SUMIFS(Data_EntMonth!$D:$D,Data_EntMonth!$A:$A,$A43,Data_EntMonth!$B:$B,L$4))</f>
        <v/>
      </c>
      <c r="M43" s="31" t="str">
        <f aca="false">IF($A43="","",SUMIFS(Data_EntMonth!$D:$D,Data_EntMonth!$A:$A,$A43,Data_EntMonth!$B:$B,M$4))</f>
        <v/>
      </c>
      <c r="N43" s="31" t="str">
        <f aca="false">IF($A43="","",SUMIFS(Data_EntMonth!$D:$D,Data_EntMonth!$A:$A,$A43,Data_EntMonth!$B:$B,N$4))</f>
        <v/>
      </c>
      <c r="O43" s="31" t="str">
        <f aca="false">IF($A43="","",SUMIFS(Data_EntMonth!$D:$D,Data_EntMonth!$A:$A,$A43,Data_EntMonth!$B:$B,O$4))</f>
        <v/>
      </c>
      <c r="P43" s="31" t="str">
        <f aca="false">IF($A43="","",SUMIFS(Data_EntMonth!$D:$D,Data_EntMonth!$A:$A,$A43,Data_EntMonth!$B:$B,P$4))</f>
        <v/>
      </c>
      <c r="Q43" s="31" t="str">
        <f aca="false">IF($A43="","",SUMIFS(Data_EntMonth!$D:$D,Data_EntMonth!$A:$A,$A43,Data_EntMonth!$B:$B,Q$4))</f>
        <v/>
      </c>
      <c r="R43" s="31" t="str">
        <f aca="false">IF($A43="","",SUMIFS(Data_EntMonth!$D:$D,Data_EntMonth!$A:$A,$A43,Data_EntMonth!$B:$B,R$4))</f>
        <v/>
      </c>
      <c r="S43" s="31" t="str">
        <f aca="false">IF($A43="","",SUMIFS(Data_EntMonth!$D:$D,Data_EntMonth!$A:$A,$A43,Data_EntMonth!$B:$B,S$4))</f>
        <v/>
      </c>
    </row>
    <row r="44" customFormat="false" ht="15" hidden="false" customHeight="false" outlineLevel="0" collapsed="false">
      <c r="A44" s="3" t="str">
        <f aca="false">IF(INDEX(Data_Contracts!$A:$A,40+1)="","",INDEX(Data_Contracts!$A:$A,40+1))</f>
        <v/>
      </c>
      <c r="B44" s="30" t="str">
        <f aca="false">IF(INDEX(Data_Contracts!$C:$C,40+1)="","",INDEX(Data_Contracts!$C:$C,40+1))</f>
        <v/>
      </c>
      <c r="C44" s="30" t="str">
        <f aca="false">IF(INDEX(Data_Contracts!$D:$D,40+1)="","",INDEX(Data_Contracts!$D:$D,40+1))</f>
        <v/>
      </c>
      <c r="D44" s="31" t="str">
        <f aca="false">IF(INDEX(Data_Contracts!$E:$E,40+1)="","",INDEX(Data_Contracts!$E:$E,40+1))</f>
        <v/>
      </c>
      <c r="E44" s="26" t="str">
        <f aca="false">IF(INDEX(Data_Contracts!$F:$F,40+1)="","",INDEX(Data_Contracts!$F:$F,40+1))</f>
        <v/>
      </c>
      <c r="F44" s="25" t="str">
        <f aca="false">IF(OR($A44="",N($D44)=0),"",S44/$D44)</f>
        <v/>
      </c>
      <c r="G44" s="31" t="str">
        <f aca="false">IF($A44="","",SUMIFS(Data_EntMonth!$F:$F,Data_EntMonth!$A:$A,$A44,Data_EntMonth!$B:$B,S$4))</f>
        <v/>
      </c>
      <c r="H44" s="31" t="str">
        <f aca="false">IF($A44="","",SUMIFS(Data_EntMonth!$D:$D,Data_EntMonth!$A:$A,$A44,Data_EntMonth!$B:$B,H$4))</f>
        <v/>
      </c>
      <c r="I44" s="31" t="str">
        <f aca="false">IF($A44="","",SUMIFS(Data_EntMonth!$D:$D,Data_EntMonth!$A:$A,$A44,Data_EntMonth!$B:$B,I$4))</f>
        <v/>
      </c>
      <c r="J44" s="31" t="str">
        <f aca="false">IF($A44="","",SUMIFS(Data_EntMonth!$D:$D,Data_EntMonth!$A:$A,$A44,Data_EntMonth!$B:$B,J$4))</f>
        <v/>
      </c>
      <c r="K44" s="31" t="str">
        <f aca="false">IF($A44="","",SUMIFS(Data_EntMonth!$D:$D,Data_EntMonth!$A:$A,$A44,Data_EntMonth!$B:$B,K$4))</f>
        <v/>
      </c>
      <c r="L44" s="31" t="str">
        <f aca="false">IF($A44="","",SUMIFS(Data_EntMonth!$D:$D,Data_EntMonth!$A:$A,$A44,Data_EntMonth!$B:$B,L$4))</f>
        <v/>
      </c>
      <c r="M44" s="31" t="str">
        <f aca="false">IF($A44="","",SUMIFS(Data_EntMonth!$D:$D,Data_EntMonth!$A:$A,$A44,Data_EntMonth!$B:$B,M$4))</f>
        <v/>
      </c>
      <c r="N44" s="31" t="str">
        <f aca="false">IF($A44="","",SUMIFS(Data_EntMonth!$D:$D,Data_EntMonth!$A:$A,$A44,Data_EntMonth!$B:$B,N$4))</f>
        <v/>
      </c>
      <c r="O44" s="31" t="str">
        <f aca="false">IF($A44="","",SUMIFS(Data_EntMonth!$D:$D,Data_EntMonth!$A:$A,$A44,Data_EntMonth!$B:$B,O$4))</f>
        <v/>
      </c>
      <c r="P44" s="31" t="str">
        <f aca="false">IF($A44="","",SUMIFS(Data_EntMonth!$D:$D,Data_EntMonth!$A:$A,$A44,Data_EntMonth!$B:$B,P$4))</f>
        <v/>
      </c>
      <c r="Q44" s="31" t="str">
        <f aca="false">IF($A44="","",SUMIFS(Data_EntMonth!$D:$D,Data_EntMonth!$A:$A,$A44,Data_EntMonth!$B:$B,Q$4))</f>
        <v/>
      </c>
      <c r="R44" s="31" t="str">
        <f aca="false">IF($A44="","",SUMIFS(Data_EntMonth!$D:$D,Data_EntMonth!$A:$A,$A44,Data_EntMonth!$B:$B,R$4))</f>
        <v/>
      </c>
      <c r="S44" s="31" t="str">
        <f aca="false">IF($A44="","",SUMIFS(Data_EntMonth!$D:$D,Data_EntMonth!$A:$A,$A44,Data_EntMonth!$B:$B,S$4))</f>
        <v/>
      </c>
    </row>
    <row r="45" customFormat="false" ht="15" hidden="false" customHeight="false" outlineLevel="0" collapsed="false">
      <c r="A45" s="2" t="s">
        <v>87</v>
      </c>
      <c r="D45" s="32" t="n">
        <f aca="false">SUM(D5:D44)</f>
        <v>170000</v>
      </c>
      <c r="G45" s="32" t="n">
        <f aca="false">SUM(G5:G44)</f>
        <v>27556.0581450579</v>
      </c>
      <c r="H45" s="32" t="n">
        <f aca="false">SUM(H5:H44)</f>
        <v>0</v>
      </c>
      <c r="I45" s="32" t="n">
        <f aca="false">SUM(I5:I44)</f>
        <v>0</v>
      </c>
      <c r="J45" s="32" t="n">
        <f aca="false">SUM(J5:J44)</f>
        <v>0</v>
      </c>
      <c r="K45" s="32" t="n">
        <f aca="false">SUM(K5:K44)</f>
        <v>0</v>
      </c>
      <c r="L45" s="32" t="n">
        <f aca="false">SUM(L5:L44)</f>
        <v>0</v>
      </c>
      <c r="M45" s="32" t="n">
        <f aca="false">SUM(M5:M44)</f>
        <v>0</v>
      </c>
      <c r="N45" s="32" t="n">
        <f aca="false">SUM(N5:N44)</f>
        <v>0</v>
      </c>
      <c r="O45" s="32" t="n">
        <f aca="false">SUM(O5:O44)</f>
        <v>20515.9916322963</v>
      </c>
      <c r="P45" s="32" t="n">
        <f aca="false">SUM(P5:P44)</f>
        <v>65804.0058954789</v>
      </c>
      <c r="Q45" s="32" t="n">
        <f aca="false">SUM(Q5:Q44)</f>
        <v>122503.057948163</v>
      </c>
      <c r="R45" s="32" t="n">
        <f aca="false">SUM(R5:R44)</f>
        <v>156840.564433844</v>
      </c>
      <c r="S45" s="32" t="n">
        <f aca="false">SUM(S5:S44)</f>
        <v>162559.526979358</v>
      </c>
    </row>
    <row r="48" customFormat="false" ht="15" hidden="false" customHeight="false" outlineLevel="0" collapsed="false">
      <c r="A48" s="19" t="s">
        <v>121</v>
      </c>
      <c r="B48" s="20"/>
      <c r="C48" s="20"/>
      <c r="D48" s="20"/>
      <c r="E48" s="20"/>
      <c r="F48" s="20"/>
      <c r="G48" s="20"/>
      <c r="H48" s="20"/>
    </row>
    <row r="49" customFormat="false" ht="35.05" hidden="false" customHeight="false" outlineLevel="0" collapsed="false">
      <c r="A49" s="8" t="s">
        <v>122</v>
      </c>
      <c r="B49" s="8" t="s">
        <v>114</v>
      </c>
      <c r="C49" s="8" t="s">
        <v>123</v>
      </c>
      <c r="D49" s="8" t="s">
        <v>124</v>
      </c>
      <c r="E49" s="8" t="s">
        <v>125</v>
      </c>
      <c r="F49" s="8" t="s">
        <v>126</v>
      </c>
      <c r="G49" s="8" t="s">
        <v>127</v>
      </c>
      <c r="H49" s="8" t="s">
        <v>128</v>
      </c>
    </row>
    <row r="50" customFormat="false" ht="15" hidden="false" customHeight="false" outlineLevel="0" collapsed="false">
      <c r="A50" s="3" t="str">
        <f aca="false">IF(INDEX(Data_Pipeline!$A:$A,1+1)="","",INDEX(Data_Pipeline!$A:$A,1+1))</f>
        <v>D-101</v>
      </c>
      <c r="B50" s="3" t="str">
        <f aca="false">IF(INDEX(Data_Pipeline!$B:$B,1+1)="","",INDEX(Data_Pipeline!$B:$B,1+1))</f>
        <v>Vantage Health Claims</v>
      </c>
      <c r="C50" s="3" t="str">
        <f aca="false">IF(INDEX(Data_Pipeline!$C:$C,1+1)="","",INDEX(Data_Pipeline!$C:$C,1+1))</f>
        <v>Contract sent</v>
      </c>
      <c r="D50" s="25" t="n">
        <f aca="false">IF(INDEX(Data_Pipeline!$D:$D,1+1)="","",INDEX(Data_Pipeline!$D:$D,1+1))</f>
        <v>0.7</v>
      </c>
      <c r="E50" s="31" t="n">
        <f aca="false">IF(INDEX(Data_Pipeline!$E:$E,1+1)="","",INDEX(Data_Pipeline!$E:$E,1+1))</f>
        <v>22500</v>
      </c>
      <c r="F50" s="30" t="n">
        <f aca="false">IF(INDEX(Data_Pipeline!$F:$F,1+1)="","",INDEX(Data_Pipeline!$F:$F,1+1))</f>
        <v>46461</v>
      </c>
      <c r="G50" s="31" t="n">
        <f aca="false">IF($A50="","",D50*E50)</f>
        <v>15750</v>
      </c>
      <c r="H50" s="3" t="str">
        <f aca="false">IF(INDEX(Data_Pipeline!$H:$H,1+1)="","",INDEX(Data_Pipeline!$H:$H,1+1))</f>
        <v>doc_classification</v>
      </c>
    </row>
    <row r="51" customFormat="false" ht="15" hidden="false" customHeight="false" outlineLevel="0" collapsed="false">
      <c r="A51" s="3" t="str">
        <f aca="false">IF(INDEX(Data_Pipeline!$A:$A,2+1)="","",INDEX(Data_Pipeline!$A:$A,2+1))</f>
        <v>D-102</v>
      </c>
      <c r="B51" s="3" t="str">
        <f aca="false">IF(INDEX(Data_Pipeline!$B:$B,2+1)="","",INDEX(Data_Pipeline!$B:$B,2+1))</f>
        <v>Orbit Marketplace</v>
      </c>
      <c r="C51" s="3" t="str">
        <f aca="false">IF(INDEX(Data_Pipeline!$C:$C,2+1)="","",INDEX(Data_Pipeline!$C:$C,2+1))</f>
        <v>Negotiation</v>
      </c>
      <c r="D51" s="25" t="n">
        <f aca="false">IF(INDEX(Data_Pipeline!$D:$D,2+1)="","",INDEX(Data_Pipeline!$D:$D,2+1))</f>
        <v>0.5</v>
      </c>
      <c r="E51" s="31" t="n">
        <f aca="false">IF(INDEX(Data_Pipeline!$E:$E,2+1)="","",INDEX(Data_Pipeline!$E:$E,2+1))</f>
        <v>15000</v>
      </c>
      <c r="F51" s="30" t="n">
        <f aca="false">IF(INDEX(Data_Pipeline!$F:$F,2+1)="","",INDEX(Data_Pipeline!$F:$F,2+1))</f>
        <v>46478</v>
      </c>
      <c r="G51" s="31" t="n">
        <f aca="false">IF($A51="","",D51*E51)</f>
        <v>7500</v>
      </c>
      <c r="H51" s="3" t="str">
        <f aca="false">IF(INDEX(Data_Pipeline!$H:$H,2+1)="","",INDEX(Data_Pipeline!$H:$H,2+1))</f>
        <v>moderation; data_enrichment</v>
      </c>
    </row>
    <row r="52" customFormat="false" ht="15" hidden="false" customHeight="false" outlineLevel="0" collapsed="false">
      <c r="A52" s="3" t="str">
        <f aca="false">IF(INDEX(Data_Pipeline!$A:$A,3+1)="","",INDEX(Data_Pipeline!$A:$A,3+1))</f>
        <v>D-104</v>
      </c>
      <c r="B52" s="3" t="str">
        <f aca="false">IF(INDEX(Data_Pipeline!$B:$B,3+1)="","",INDEX(Data_Pipeline!$B:$B,3+1))</f>
        <v>Atlas Support Cloud</v>
      </c>
      <c r="C52" s="3" t="str">
        <f aca="false">IF(INDEX(Data_Pipeline!$C:$C,3+1)="","",INDEX(Data_Pipeline!$C:$C,3+1))</f>
        <v>Technical evaluation</v>
      </c>
      <c r="D52" s="25" t="n">
        <f aca="false">IF(INDEX(Data_Pipeline!$D:$D,3+1)="","",INDEX(Data_Pipeline!$D:$D,3+1))</f>
        <v>0.3</v>
      </c>
      <c r="E52" s="31" t="n">
        <f aca="false">IF(INDEX(Data_Pipeline!$E:$E,3+1)="","",INDEX(Data_Pipeline!$E:$E,3+1))</f>
        <v>12500</v>
      </c>
      <c r="F52" s="30" t="n">
        <f aca="false">IF(INDEX(Data_Pipeline!$F:$F,3+1)="","",INDEX(Data_Pipeline!$F:$F,3+1))</f>
        <v>46492</v>
      </c>
      <c r="G52" s="31" t="n">
        <f aca="false">IF($A52="","",D52*E52)</f>
        <v>3750</v>
      </c>
      <c r="H52" s="3" t="str">
        <f aca="false">IF(INDEX(Data_Pipeline!$H:$H,3+1)="","",INDEX(Data_Pipeline!$H:$H,3+1))</f>
        <v>ticket_routing</v>
      </c>
    </row>
    <row r="53" customFormat="false" ht="15" hidden="false" customHeight="false" outlineLevel="0" collapsed="false">
      <c r="A53" s="3" t="str">
        <f aca="false">IF(INDEX(Data_Pipeline!$A:$A,4+1)="","",INDEX(Data_Pipeline!$A:$A,4+1))</f>
        <v>D-103</v>
      </c>
      <c r="B53" s="3" t="str">
        <f aca="false">IF(INDEX(Data_Pipeline!$B:$B,4+1)="","",INDEX(Data_Pipeline!$B:$B,4+1))</f>
        <v>Helix Bank</v>
      </c>
      <c r="C53" s="3" t="str">
        <f aca="false">IF(INDEX(Data_Pipeline!$C:$C,4+1)="","",INDEX(Data_Pipeline!$C:$C,4+1))</f>
        <v>Technical evaluation</v>
      </c>
      <c r="D53" s="25" t="n">
        <f aca="false">IF(INDEX(Data_Pipeline!$D:$D,4+1)="","",INDEX(Data_Pipeline!$D:$D,4+1))</f>
        <v>0.25</v>
      </c>
      <c r="E53" s="31" t="n">
        <f aca="false">IF(INDEX(Data_Pipeline!$E:$E,4+1)="","",INDEX(Data_Pipeline!$E:$E,4+1))</f>
        <v>45000</v>
      </c>
      <c r="F53" s="30" t="n">
        <f aca="false">IF(INDEX(Data_Pipeline!$F:$F,4+1)="","",INDEX(Data_Pipeline!$F:$F,4+1))</f>
        <v>46508</v>
      </c>
      <c r="G53" s="31" t="n">
        <f aca="false">IF($A53="","",D53*E53)</f>
        <v>11250</v>
      </c>
      <c r="H53" s="3" t="str">
        <f aca="false">IF(INDEX(Data_Pipeline!$H:$H,4+1)="","",INDEX(Data_Pipeline!$H:$H,4+1))</f>
        <v>fraud_triage</v>
      </c>
    </row>
    <row r="54" customFormat="false" ht="15" hidden="false" customHeight="false" outlineLevel="0" collapsed="false">
      <c r="A54" s="3" t="str">
        <f aca="false">IF(INDEX(Data_Pipeline!$A:$A,5+1)="","",INDEX(Data_Pipeline!$A:$A,5+1))</f>
        <v>D-105</v>
      </c>
      <c r="B54" s="3" t="str">
        <f aca="false">IF(INDEX(Data_Pipeline!$B:$B,5+1)="","",INDEX(Data_Pipeline!$B:$B,5+1))</f>
        <v>Kite Robotics</v>
      </c>
      <c r="C54" s="3" t="str">
        <f aca="false">IF(INDEX(Data_Pipeline!$C:$C,5+1)="","",INDEX(Data_Pipeline!$C:$C,5+1))</f>
        <v>Discovery</v>
      </c>
      <c r="D54" s="25" t="n">
        <f aca="false">IF(INDEX(Data_Pipeline!$D:$D,5+1)="","",INDEX(Data_Pipeline!$D:$D,5+1))</f>
        <v>0.1</v>
      </c>
      <c r="E54" s="31" t="n">
        <f aca="false">IF(INDEX(Data_Pipeline!$E:$E,5+1)="","",INDEX(Data_Pipeline!$E:$E,5+1))</f>
        <v>7500</v>
      </c>
      <c r="F54" s="30" t="n">
        <f aca="false">IF(INDEX(Data_Pipeline!$F:$F,5+1)="","",INDEX(Data_Pipeline!$F:$F,5+1))</f>
        <v>46522</v>
      </c>
      <c r="G54" s="31" t="n">
        <f aca="false">IF($A54="","",D54*E54)</f>
        <v>750</v>
      </c>
      <c r="H54" s="3" t="str">
        <f aca="false">IF(INDEX(Data_Pipeline!$H:$H,5+1)="","",INDEX(Data_Pipeline!$H:$H,5+1))</f>
        <v>model_routing</v>
      </c>
    </row>
    <row r="55" customFormat="false" ht="15" hidden="false" customHeight="false" outlineLevel="0" collapsed="false">
      <c r="A55" s="3" t="str">
        <f aca="false">IF(INDEX(Data_Pipeline!$A:$A,6+1)="","",INDEX(Data_Pipeline!$A:$A,6+1))</f>
        <v/>
      </c>
      <c r="B55" s="3" t="str">
        <f aca="false">IF(INDEX(Data_Pipeline!$B:$B,6+1)="","",INDEX(Data_Pipeline!$B:$B,6+1))</f>
        <v/>
      </c>
      <c r="C55" s="3" t="str">
        <f aca="false">IF(INDEX(Data_Pipeline!$C:$C,6+1)="","",INDEX(Data_Pipeline!$C:$C,6+1))</f>
        <v/>
      </c>
      <c r="D55" s="25" t="str">
        <f aca="false">IF(INDEX(Data_Pipeline!$D:$D,6+1)="","",INDEX(Data_Pipeline!$D:$D,6+1))</f>
        <v/>
      </c>
      <c r="E55" s="31" t="str">
        <f aca="false">IF(INDEX(Data_Pipeline!$E:$E,6+1)="","",INDEX(Data_Pipeline!$E:$E,6+1))</f>
        <v/>
      </c>
      <c r="F55" s="30" t="str">
        <f aca="false">IF(INDEX(Data_Pipeline!$F:$F,6+1)="","",INDEX(Data_Pipeline!$F:$F,6+1))</f>
        <v/>
      </c>
      <c r="G55" s="31" t="str">
        <f aca="false">IF($A55="","",D55*E55)</f>
        <v/>
      </c>
      <c r="H55" s="3" t="str">
        <f aca="false">IF(INDEX(Data_Pipeline!$H:$H,6+1)="","",INDEX(Data_Pipeline!$H:$H,6+1))</f>
        <v/>
      </c>
    </row>
    <row r="56" customFormat="false" ht="15" hidden="false" customHeight="false" outlineLevel="0" collapsed="false">
      <c r="A56" s="3" t="str">
        <f aca="false">IF(INDEX(Data_Pipeline!$A:$A,7+1)="","",INDEX(Data_Pipeline!$A:$A,7+1))</f>
        <v/>
      </c>
      <c r="B56" s="3" t="str">
        <f aca="false">IF(INDEX(Data_Pipeline!$B:$B,7+1)="","",INDEX(Data_Pipeline!$B:$B,7+1))</f>
        <v/>
      </c>
      <c r="C56" s="3" t="str">
        <f aca="false">IF(INDEX(Data_Pipeline!$C:$C,7+1)="","",INDEX(Data_Pipeline!$C:$C,7+1))</f>
        <v/>
      </c>
      <c r="D56" s="25" t="str">
        <f aca="false">IF(INDEX(Data_Pipeline!$D:$D,7+1)="","",INDEX(Data_Pipeline!$D:$D,7+1))</f>
        <v/>
      </c>
      <c r="E56" s="31" t="str">
        <f aca="false">IF(INDEX(Data_Pipeline!$E:$E,7+1)="","",INDEX(Data_Pipeline!$E:$E,7+1))</f>
        <v/>
      </c>
      <c r="F56" s="30" t="str">
        <f aca="false">IF(INDEX(Data_Pipeline!$F:$F,7+1)="","",INDEX(Data_Pipeline!$F:$F,7+1))</f>
        <v/>
      </c>
      <c r="G56" s="31" t="str">
        <f aca="false">IF($A56="","",D56*E56)</f>
        <v/>
      </c>
      <c r="H56" s="3" t="str">
        <f aca="false">IF(INDEX(Data_Pipeline!$H:$H,7+1)="","",INDEX(Data_Pipeline!$H:$H,7+1))</f>
        <v/>
      </c>
    </row>
    <row r="57" customFormat="false" ht="15" hidden="false" customHeight="false" outlineLevel="0" collapsed="false">
      <c r="A57" s="3" t="str">
        <f aca="false">IF(INDEX(Data_Pipeline!$A:$A,8+1)="","",INDEX(Data_Pipeline!$A:$A,8+1))</f>
        <v/>
      </c>
      <c r="B57" s="3" t="str">
        <f aca="false">IF(INDEX(Data_Pipeline!$B:$B,8+1)="","",INDEX(Data_Pipeline!$B:$B,8+1))</f>
        <v/>
      </c>
      <c r="C57" s="3" t="str">
        <f aca="false">IF(INDEX(Data_Pipeline!$C:$C,8+1)="","",INDEX(Data_Pipeline!$C:$C,8+1))</f>
        <v/>
      </c>
      <c r="D57" s="25" t="str">
        <f aca="false">IF(INDEX(Data_Pipeline!$D:$D,8+1)="","",INDEX(Data_Pipeline!$D:$D,8+1))</f>
        <v/>
      </c>
      <c r="E57" s="31" t="str">
        <f aca="false">IF(INDEX(Data_Pipeline!$E:$E,8+1)="","",INDEX(Data_Pipeline!$E:$E,8+1))</f>
        <v/>
      </c>
      <c r="F57" s="30" t="str">
        <f aca="false">IF(INDEX(Data_Pipeline!$F:$F,8+1)="","",INDEX(Data_Pipeline!$F:$F,8+1))</f>
        <v/>
      </c>
      <c r="G57" s="31" t="str">
        <f aca="false">IF($A57="","",D57*E57)</f>
        <v/>
      </c>
      <c r="H57" s="3" t="str">
        <f aca="false">IF(INDEX(Data_Pipeline!$H:$H,8+1)="","",INDEX(Data_Pipeline!$H:$H,8+1))</f>
        <v/>
      </c>
    </row>
    <row r="58" customFormat="false" ht="15" hidden="false" customHeight="false" outlineLevel="0" collapsed="false">
      <c r="A58" s="3" t="str">
        <f aca="false">IF(INDEX(Data_Pipeline!$A:$A,9+1)="","",INDEX(Data_Pipeline!$A:$A,9+1))</f>
        <v/>
      </c>
      <c r="B58" s="3" t="str">
        <f aca="false">IF(INDEX(Data_Pipeline!$B:$B,9+1)="","",INDEX(Data_Pipeline!$B:$B,9+1))</f>
        <v/>
      </c>
      <c r="C58" s="3" t="str">
        <f aca="false">IF(INDEX(Data_Pipeline!$C:$C,9+1)="","",INDEX(Data_Pipeline!$C:$C,9+1))</f>
        <v/>
      </c>
      <c r="D58" s="25" t="str">
        <f aca="false">IF(INDEX(Data_Pipeline!$D:$D,9+1)="","",INDEX(Data_Pipeline!$D:$D,9+1))</f>
        <v/>
      </c>
      <c r="E58" s="31" t="str">
        <f aca="false">IF(INDEX(Data_Pipeline!$E:$E,9+1)="","",INDEX(Data_Pipeline!$E:$E,9+1))</f>
        <v/>
      </c>
      <c r="F58" s="30" t="str">
        <f aca="false">IF(INDEX(Data_Pipeline!$F:$F,9+1)="","",INDEX(Data_Pipeline!$F:$F,9+1))</f>
        <v/>
      </c>
      <c r="G58" s="31" t="str">
        <f aca="false">IF($A58="","",D58*E58)</f>
        <v/>
      </c>
      <c r="H58" s="3" t="str">
        <f aca="false">IF(INDEX(Data_Pipeline!$H:$H,9+1)="","",INDEX(Data_Pipeline!$H:$H,9+1))</f>
        <v/>
      </c>
    </row>
    <row r="59" customFormat="false" ht="15" hidden="false" customHeight="false" outlineLevel="0" collapsed="false">
      <c r="A59" s="3" t="str">
        <f aca="false">IF(INDEX(Data_Pipeline!$A:$A,10+1)="","",INDEX(Data_Pipeline!$A:$A,10+1))</f>
        <v/>
      </c>
      <c r="B59" s="3" t="str">
        <f aca="false">IF(INDEX(Data_Pipeline!$B:$B,10+1)="","",INDEX(Data_Pipeline!$B:$B,10+1))</f>
        <v/>
      </c>
      <c r="C59" s="3" t="str">
        <f aca="false">IF(INDEX(Data_Pipeline!$C:$C,10+1)="","",INDEX(Data_Pipeline!$C:$C,10+1))</f>
        <v/>
      </c>
      <c r="D59" s="25" t="str">
        <f aca="false">IF(INDEX(Data_Pipeline!$D:$D,10+1)="","",INDEX(Data_Pipeline!$D:$D,10+1))</f>
        <v/>
      </c>
      <c r="E59" s="31" t="str">
        <f aca="false">IF(INDEX(Data_Pipeline!$E:$E,10+1)="","",INDEX(Data_Pipeline!$E:$E,10+1))</f>
        <v/>
      </c>
      <c r="F59" s="30" t="str">
        <f aca="false">IF(INDEX(Data_Pipeline!$F:$F,10+1)="","",INDEX(Data_Pipeline!$F:$F,10+1))</f>
        <v/>
      </c>
      <c r="G59" s="31" t="str">
        <f aca="false">IF($A59="","",D59*E59)</f>
        <v/>
      </c>
      <c r="H59" s="3" t="str">
        <f aca="false">IF(INDEX(Data_Pipeline!$H:$H,10+1)="","",INDEX(Data_Pipeline!$H:$H,10+1))</f>
        <v/>
      </c>
    </row>
    <row r="60" customFormat="false" ht="15" hidden="false" customHeight="false" outlineLevel="0" collapsed="false">
      <c r="A60" s="3" t="str">
        <f aca="false">IF(INDEX(Data_Pipeline!$A:$A,11+1)="","",INDEX(Data_Pipeline!$A:$A,11+1))</f>
        <v/>
      </c>
      <c r="B60" s="3" t="str">
        <f aca="false">IF(INDEX(Data_Pipeline!$B:$B,11+1)="","",INDEX(Data_Pipeline!$B:$B,11+1))</f>
        <v/>
      </c>
      <c r="C60" s="3" t="str">
        <f aca="false">IF(INDEX(Data_Pipeline!$C:$C,11+1)="","",INDEX(Data_Pipeline!$C:$C,11+1))</f>
        <v/>
      </c>
      <c r="D60" s="25" t="str">
        <f aca="false">IF(INDEX(Data_Pipeline!$D:$D,11+1)="","",INDEX(Data_Pipeline!$D:$D,11+1))</f>
        <v/>
      </c>
      <c r="E60" s="31" t="str">
        <f aca="false">IF(INDEX(Data_Pipeline!$E:$E,11+1)="","",INDEX(Data_Pipeline!$E:$E,11+1))</f>
        <v/>
      </c>
      <c r="F60" s="30" t="str">
        <f aca="false">IF(INDEX(Data_Pipeline!$F:$F,11+1)="","",INDEX(Data_Pipeline!$F:$F,11+1))</f>
        <v/>
      </c>
      <c r="G60" s="31" t="str">
        <f aca="false">IF($A60="","",D60*E60)</f>
        <v/>
      </c>
      <c r="H60" s="3" t="str">
        <f aca="false">IF(INDEX(Data_Pipeline!$H:$H,11+1)="","",INDEX(Data_Pipeline!$H:$H,11+1))</f>
        <v/>
      </c>
    </row>
    <row r="61" customFormat="false" ht="15" hidden="false" customHeight="false" outlineLevel="0" collapsed="false">
      <c r="A61" s="3" t="str">
        <f aca="false">IF(INDEX(Data_Pipeline!$A:$A,12+1)="","",INDEX(Data_Pipeline!$A:$A,12+1))</f>
        <v/>
      </c>
      <c r="B61" s="3" t="str">
        <f aca="false">IF(INDEX(Data_Pipeline!$B:$B,12+1)="","",INDEX(Data_Pipeline!$B:$B,12+1))</f>
        <v/>
      </c>
      <c r="C61" s="3" t="str">
        <f aca="false">IF(INDEX(Data_Pipeline!$C:$C,12+1)="","",INDEX(Data_Pipeline!$C:$C,12+1))</f>
        <v/>
      </c>
      <c r="D61" s="25" t="str">
        <f aca="false">IF(INDEX(Data_Pipeline!$D:$D,12+1)="","",INDEX(Data_Pipeline!$D:$D,12+1))</f>
        <v/>
      </c>
      <c r="E61" s="31" t="str">
        <f aca="false">IF(INDEX(Data_Pipeline!$E:$E,12+1)="","",INDEX(Data_Pipeline!$E:$E,12+1))</f>
        <v/>
      </c>
      <c r="F61" s="30" t="str">
        <f aca="false">IF(INDEX(Data_Pipeline!$F:$F,12+1)="","",INDEX(Data_Pipeline!$F:$F,12+1))</f>
        <v/>
      </c>
      <c r="G61" s="31" t="str">
        <f aca="false">IF($A61="","",D61*E61)</f>
        <v/>
      </c>
      <c r="H61" s="3" t="str">
        <f aca="false">IF(INDEX(Data_Pipeline!$H:$H,12+1)="","",INDEX(Data_Pipeline!$H:$H,12+1))</f>
        <v/>
      </c>
    </row>
    <row r="62" customFormat="false" ht="15" hidden="false" customHeight="false" outlineLevel="0" collapsed="false">
      <c r="A62" s="3" t="str">
        <f aca="false">IF(INDEX(Data_Pipeline!$A:$A,13+1)="","",INDEX(Data_Pipeline!$A:$A,13+1))</f>
        <v/>
      </c>
      <c r="B62" s="3" t="str">
        <f aca="false">IF(INDEX(Data_Pipeline!$B:$B,13+1)="","",INDEX(Data_Pipeline!$B:$B,13+1))</f>
        <v/>
      </c>
      <c r="C62" s="3" t="str">
        <f aca="false">IF(INDEX(Data_Pipeline!$C:$C,13+1)="","",INDEX(Data_Pipeline!$C:$C,13+1))</f>
        <v/>
      </c>
      <c r="D62" s="25" t="str">
        <f aca="false">IF(INDEX(Data_Pipeline!$D:$D,13+1)="","",INDEX(Data_Pipeline!$D:$D,13+1))</f>
        <v/>
      </c>
      <c r="E62" s="31" t="str">
        <f aca="false">IF(INDEX(Data_Pipeline!$E:$E,13+1)="","",INDEX(Data_Pipeline!$E:$E,13+1))</f>
        <v/>
      </c>
      <c r="F62" s="30" t="str">
        <f aca="false">IF(INDEX(Data_Pipeline!$F:$F,13+1)="","",INDEX(Data_Pipeline!$F:$F,13+1))</f>
        <v/>
      </c>
      <c r="G62" s="31" t="str">
        <f aca="false">IF($A62="","",D62*E62)</f>
        <v/>
      </c>
      <c r="H62" s="3" t="str">
        <f aca="false">IF(INDEX(Data_Pipeline!$H:$H,13+1)="","",INDEX(Data_Pipeline!$H:$H,13+1))</f>
        <v/>
      </c>
    </row>
    <row r="63" customFormat="false" ht="15" hidden="false" customHeight="false" outlineLevel="0" collapsed="false">
      <c r="A63" s="3" t="str">
        <f aca="false">IF(INDEX(Data_Pipeline!$A:$A,14+1)="","",INDEX(Data_Pipeline!$A:$A,14+1))</f>
        <v/>
      </c>
      <c r="B63" s="3" t="str">
        <f aca="false">IF(INDEX(Data_Pipeline!$B:$B,14+1)="","",INDEX(Data_Pipeline!$B:$B,14+1))</f>
        <v/>
      </c>
      <c r="C63" s="3" t="str">
        <f aca="false">IF(INDEX(Data_Pipeline!$C:$C,14+1)="","",INDEX(Data_Pipeline!$C:$C,14+1))</f>
        <v/>
      </c>
      <c r="D63" s="25" t="str">
        <f aca="false">IF(INDEX(Data_Pipeline!$D:$D,14+1)="","",INDEX(Data_Pipeline!$D:$D,14+1))</f>
        <v/>
      </c>
      <c r="E63" s="31" t="str">
        <f aca="false">IF(INDEX(Data_Pipeline!$E:$E,14+1)="","",INDEX(Data_Pipeline!$E:$E,14+1))</f>
        <v/>
      </c>
      <c r="F63" s="30" t="str">
        <f aca="false">IF(INDEX(Data_Pipeline!$F:$F,14+1)="","",INDEX(Data_Pipeline!$F:$F,14+1))</f>
        <v/>
      </c>
      <c r="G63" s="31" t="str">
        <f aca="false">IF($A63="","",D63*E63)</f>
        <v/>
      </c>
      <c r="H63" s="3" t="str">
        <f aca="false">IF(INDEX(Data_Pipeline!$H:$H,14+1)="","",INDEX(Data_Pipeline!$H:$H,14+1))</f>
        <v/>
      </c>
    </row>
    <row r="64" customFormat="false" ht="15" hidden="false" customHeight="false" outlineLevel="0" collapsed="false">
      <c r="A64" s="3" t="str">
        <f aca="false">IF(INDEX(Data_Pipeline!$A:$A,15+1)="","",INDEX(Data_Pipeline!$A:$A,15+1))</f>
        <v/>
      </c>
      <c r="B64" s="3" t="str">
        <f aca="false">IF(INDEX(Data_Pipeline!$B:$B,15+1)="","",INDEX(Data_Pipeline!$B:$B,15+1))</f>
        <v/>
      </c>
      <c r="C64" s="3" t="str">
        <f aca="false">IF(INDEX(Data_Pipeline!$C:$C,15+1)="","",INDEX(Data_Pipeline!$C:$C,15+1))</f>
        <v/>
      </c>
      <c r="D64" s="25" t="str">
        <f aca="false">IF(INDEX(Data_Pipeline!$D:$D,15+1)="","",INDEX(Data_Pipeline!$D:$D,15+1))</f>
        <v/>
      </c>
      <c r="E64" s="31" t="str">
        <f aca="false">IF(INDEX(Data_Pipeline!$E:$E,15+1)="","",INDEX(Data_Pipeline!$E:$E,15+1))</f>
        <v/>
      </c>
      <c r="F64" s="30" t="str">
        <f aca="false">IF(INDEX(Data_Pipeline!$F:$F,15+1)="","",INDEX(Data_Pipeline!$F:$F,15+1))</f>
        <v/>
      </c>
      <c r="G64" s="31" t="str">
        <f aca="false">IF($A64="","",D64*E64)</f>
        <v/>
      </c>
      <c r="H64" s="3" t="str">
        <f aca="false">IF(INDEX(Data_Pipeline!$H:$H,15+1)="","",INDEX(Data_Pipeline!$H:$H,15+1))</f>
        <v/>
      </c>
    </row>
    <row r="65" customFormat="false" ht="15" hidden="false" customHeight="false" outlineLevel="0" collapsed="false">
      <c r="A65" s="3" t="str">
        <f aca="false">IF(INDEX(Data_Pipeline!$A:$A,16+1)="","",INDEX(Data_Pipeline!$A:$A,16+1))</f>
        <v/>
      </c>
      <c r="B65" s="3" t="str">
        <f aca="false">IF(INDEX(Data_Pipeline!$B:$B,16+1)="","",INDEX(Data_Pipeline!$B:$B,16+1))</f>
        <v/>
      </c>
      <c r="C65" s="3" t="str">
        <f aca="false">IF(INDEX(Data_Pipeline!$C:$C,16+1)="","",INDEX(Data_Pipeline!$C:$C,16+1))</f>
        <v/>
      </c>
      <c r="D65" s="25" t="str">
        <f aca="false">IF(INDEX(Data_Pipeline!$D:$D,16+1)="","",INDEX(Data_Pipeline!$D:$D,16+1))</f>
        <v/>
      </c>
      <c r="E65" s="31" t="str">
        <f aca="false">IF(INDEX(Data_Pipeline!$E:$E,16+1)="","",INDEX(Data_Pipeline!$E:$E,16+1))</f>
        <v/>
      </c>
      <c r="F65" s="30" t="str">
        <f aca="false">IF(INDEX(Data_Pipeline!$F:$F,16+1)="","",INDEX(Data_Pipeline!$F:$F,16+1))</f>
        <v/>
      </c>
      <c r="G65" s="31" t="str">
        <f aca="false">IF($A65="","",D65*E65)</f>
        <v/>
      </c>
      <c r="H65" s="3" t="str">
        <f aca="false">IF(INDEX(Data_Pipeline!$H:$H,16+1)="","",INDEX(Data_Pipeline!$H:$H,16+1))</f>
        <v/>
      </c>
    </row>
    <row r="66" customFormat="false" ht="15" hidden="false" customHeight="false" outlineLevel="0" collapsed="false">
      <c r="A66" s="3" t="str">
        <f aca="false">IF(INDEX(Data_Pipeline!$A:$A,17+1)="","",INDEX(Data_Pipeline!$A:$A,17+1))</f>
        <v/>
      </c>
      <c r="B66" s="3" t="str">
        <f aca="false">IF(INDEX(Data_Pipeline!$B:$B,17+1)="","",INDEX(Data_Pipeline!$B:$B,17+1))</f>
        <v/>
      </c>
      <c r="C66" s="3" t="str">
        <f aca="false">IF(INDEX(Data_Pipeline!$C:$C,17+1)="","",INDEX(Data_Pipeline!$C:$C,17+1))</f>
        <v/>
      </c>
      <c r="D66" s="25" t="str">
        <f aca="false">IF(INDEX(Data_Pipeline!$D:$D,17+1)="","",INDEX(Data_Pipeline!$D:$D,17+1))</f>
        <v/>
      </c>
      <c r="E66" s="31" t="str">
        <f aca="false">IF(INDEX(Data_Pipeline!$E:$E,17+1)="","",INDEX(Data_Pipeline!$E:$E,17+1))</f>
        <v/>
      </c>
      <c r="F66" s="30" t="str">
        <f aca="false">IF(INDEX(Data_Pipeline!$F:$F,17+1)="","",INDEX(Data_Pipeline!$F:$F,17+1))</f>
        <v/>
      </c>
      <c r="G66" s="31" t="str">
        <f aca="false">IF($A66="","",D66*E66)</f>
        <v/>
      </c>
      <c r="H66" s="3" t="str">
        <f aca="false">IF(INDEX(Data_Pipeline!$H:$H,17+1)="","",INDEX(Data_Pipeline!$H:$H,17+1))</f>
        <v/>
      </c>
    </row>
    <row r="67" customFormat="false" ht="15" hidden="false" customHeight="false" outlineLevel="0" collapsed="false">
      <c r="A67" s="3" t="str">
        <f aca="false">IF(INDEX(Data_Pipeline!$A:$A,18+1)="","",INDEX(Data_Pipeline!$A:$A,18+1))</f>
        <v/>
      </c>
      <c r="B67" s="3" t="str">
        <f aca="false">IF(INDEX(Data_Pipeline!$B:$B,18+1)="","",INDEX(Data_Pipeline!$B:$B,18+1))</f>
        <v/>
      </c>
      <c r="C67" s="3" t="str">
        <f aca="false">IF(INDEX(Data_Pipeline!$C:$C,18+1)="","",INDEX(Data_Pipeline!$C:$C,18+1))</f>
        <v/>
      </c>
      <c r="D67" s="25" t="str">
        <f aca="false">IF(INDEX(Data_Pipeline!$D:$D,18+1)="","",INDEX(Data_Pipeline!$D:$D,18+1))</f>
        <v/>
      </c>
      <c r="E67" s="31" t="str">
        <f aca="false">IF(INDEX(Data_Pipeline!$E:$E,18+1)="","",INDEX(Data_Pipeline!$E:$E,18+1))</f>
        <v/>
      </c>
      <c r="F67" s="30" t="str">
        <f aca="false">IF(INDEX(Data_Pipeline!$F:$F,18+1)="","",INDEX(Data_Pipeline!$F:$F,18+1))</f>
        <v/>
      </c>
      <c r="G67" s="31" t="str">
        <f aca="false">IF($A67="","",D67*E67)</f>
        <v/>
      </c>
      <c r="H67" s="3" t="str">
        <f aca="false">IF(INDEX(Data_Pipeline!$H:$H,18+1)="","",INDEX(Data_Pipeline!$H:$H,18+1))</f>
        <v/>
      </c>
    </row>
    <row r="68" customFormat="false" ht="15" hidden="false" customHeight="false" outlineLevel="0" collapsed="false">
      <c r="A68" s="3" t="str">
        <f aca="false">IF(INDEX(Data_Pipeline!$A:$A,19+1)="","",INDEX(Data_Pipeline!$A:$A,19+1))</f>
        <v/>
      </c>
      <c r="B68" s="3" t="str">
        <f aca="false">IF(INDEX(Data_Pipeline!$B:$B,19+1)="","",INDEX(Data_Pipeline!$B:$B,19+1))</f>
        <v/>
      </c>
      <c r="C68" s="3" t="str">
        <f aca="false">IF(INDEX(Data_Pipeline!$C:$C,19+1)="","",INDEX(Data_Pipeline!$C:$C,19+1))</f>
        <v/>
      </c>
      <c r="D68" s="25" t="str">
        <f aca="false">IF(INDEX(Data_Pipeline!$D:$D,19+1)="","",INDEX(Data_Pipeline!$D:$D,19+1))</f>
        <v/>
      </c>
      <c r="E68" s="31" t="str">
        <f aca="false">IF(INDEX(Data_Pipeline!$E:$E,19+1)="","",INDEX(Data_Pipeline!$E:$E,19+1))</f>
        <v/>
      </c>
      <c r="F68" s="30" t="str">
        <f aca="false">IF(INDEX(Data_Pipeline!$F:$F,19+1)="","",INDEX(Data_Pipeline!$F:$F,19+1))</f>
        <v/>
      </c>
      <c r="G68" s="31" t="str">
        <f aca="false">IF($A68="","",D68*E68)</f>
        <v/>
      </c>
      <c r="H68" s="3" t="str">
        <f aca="false">IF(INDEX(Data_Pipeline!$H:$H,19+1)="","",INDEX(Data_Pipeline!$H:$H,19+1))</f>
        <v/>
      </c>
    </row>
    <row r="69" customFormat="false" ht="15" hidden="false" customHeight="false" outlineLevel="0" collapsed="false">
      <c r="A69" s="3" t="str">
        <f aca="false">IF(INDEX(Data_Pipeline!$A:$A,20+1)="","",INDEX(Data_Pipeline!$A:$A,20+1))</f>
        <v/>
      </c>
      <c r="B69" s="3" t="str">
        <f aca="false">IF(INDEX(Data_Pipeline!$B:$B,20+1)="","",INDEX(Data_Pipeline!$B:$B,20+1))</f>
        <v/>
      </c>
      <c r="C69" s="3" t="str">
        <f aca="false">IF(INDEX(Data_Pipeline!$C:$C,20+1)="","",INDEX(Data_Pipeline!$C:$C,20+1))</f>
        <v/>
      </c>
      <c r="D69" s="25" t="str">
        <f aca="false">IF(INDEX(Data_Pipeline!$D:$D,20+1)="","",INDEX(Data_Pipeline!$D:$D,20+1))</f>
        <v/>
      </c>
      <c r="E69" s="31" t="str">
        <f aca="false">IF(INDEX(Data_Pipeline!$E:$E,20+1)="","",INDEX(Data_Pipeline!$E:$E,20+1))</f>
        <v/>
      </c>
      <c r="F69" s="30" t="str">
        <f aca="false">IF(INDEX(Data_Pipeline!$F:$F,20+1)="","",INDEX(Data_Pipeline!$F:$F,20+1))</f>
        <v/>
      </c>
      <c r="G69" s="31" t="str">
        <f aca="false">IF($A69="","",D69*E69)</f>
        <v/>
      </c>
      <c r="H69" s="3" t="str">
        <f aca="false">IF(INDEX(Data_Pipeline!$H:$H,20+1)="","",INDEX(Data_Pipeline!$H:$H,20+1))</f>
        <v/>
      </c>
    </row>
    <row r="70" customFormat="false" ht="15" hidden="false" customHeight="false" outlineLevel="0" collapsed="false">
      <c r="A70" s="3" t="str">
        <f aca="false">IF(INDEX(Data_Pipeline!$A:$A,21+1)="","",INDEX(Data_Pipeline!$A:$A,21+1))</f>
        <v/>
      </c>
      <c r="B70" s="3" t="str">
        <f aca="false">IF(INDEX(Data_Pipeline!$B:$B,21+1)="","",INDEX(Data_Pipeline!$B:$B,21+1))</f>
        <v/>
      </c>
      <c r="C70" s="3" t="str">
        <f aca="false">IF(INDEX(Data_Pipeline!$C:$C,21+1)="","",INDEX(Data_Pipeline!$C:$C,21+1))</f>
        <v/>
      </c>
      <c r="D70" s="25" t="str">
        <f aca="false">IF(INDEX(Data_Pipeline!$D:$D,21+1)="","",INDEX(Data_Pipeline!$D:$D,21+1))</f>
        <v/>
      </c>
      <c r="E70" s="31" t="str">
        <f aca="false">IF(INDEX(Data_Pipeline!$E:$E,21+1)="","",INDEX(Data_Pipeline!$E:$E,21+1))</f>
        <v/>
      </c>
      <c r="F70" s="30" t="str">
        <f aca="false">IF(INDEX(Data_Pipeline!$F:$F,21+1)="","",INDEX(Data_Pipeline!$F:$F,21+1))</f>
        <v/>
      </c>
      <c r="G70" s="31" t="str">
        <f aca="false">IF($A70="","",D70*E70)</f>
        <v/>
      </c>
      <c r="H70" s="3" t="str">
        <f aca="false">IF(INDEX(Data_Pipeline!$H:$H,21+1)="","",INDEX(Data_Pipeline!$H:$H,21+1))</f>
        <v/>
      </c>
    </row>
    <row r="71" customFormat="false" ht="15" hidden="false" customHeight="false" outlineLevel="0" collapsed="false">
      <c r="A71" s="3" t="str">
        <f aca="false">IF(INDEX(Data_Pipeline!$A:$A,22+1)="","",INDEX(Data_Pipeline!$A:$A,22+1))</f>
        <v/>
      </c>
      <c r="B71" s="3" t="str">
        <f aca="false">IF(INDEX(Data_Pipeline!$B:$B,22+1)="","",INDEX(Data_Pipeline!$B:$B,22+1))</f>
        <v/>
      </c>
      <c r="C71" s="3" t="str">
        <f aca="false">IF(INDEX(Data_Pipeline!$C:$C,22+1)="","",INDEX(Data_Pipeline!$C:$C,22+1))</f>
        <v/>
      </c>
      <c r="D71" s="25" t="str">
        <f aca="false">IF(INDEX(Data_Pipeline!$D:$D,22+1)="","",INDEX(Data_Pipeline!$D:$D,22+1))</f>
        <v/>
      </c>
      <c r="E71" s="31" t="str">
        <f aca="false">IF(INDEX(Data_Pipeline!$E:$E,22+1)="","",INDEX(Data_Pipeline!$E:$E,22+1))</f>
        <v/>
      </c>
      <c r="F71" s="30" t="str">
        <f aca="false">IF(INDEX(Data_Pipeline!$F:$F,22+1)="","",INDEX(Data_Pipeline!$F:$F,22+1))</f>
        <v/>
      </c>
      <c r="G71" s="31" t="str">
        <f aca="false">IF($A71="","",D71*E71)</f>
        <v/>
      </c>
      <c r="H71" s="3" t="str">
        <f aca="false">IF(INDEX(Data_Pipeline!$H:$H,22+1)="","",INDEX(Data_Pipeline!$H:$H,22+1))</f>
        <v/>
      </c>
    </row>
    <row r="72" customFormat="false" ht="15" hidden="false" customHeight="false" outlineLevel="0" collapsed="false">
      <c r="A72" s="3" t="str">
        <f aca="false">IF(INDEX(Data_Pipeline!$A:$A,23+1)="","",INDEX(Data_Pipeline!$A:$A,23+1))</f>
        <v/>
      </c>
      <c r="B72" s="3" t="str">
        <f aca="false">IF(INDEX(Data_Pipeline!$B:$B,23+1)="","",INDEX(Data_Pipeline!$B:$B,23+1))</f>
        <v/>
      </c>
      <c r="C72" s="3" t="str">
        <f aca="false">IF(INDEX(Data_Pipeline!$C:$C,23+1)="","",INDEX(Data_Pipeline!$C:$C,23+1))</f>
        <v/>
      </c>
      <c r="D72" s="25" t="str">
        <f aca="false">IF(INDEX(Data_Pipeline!$D:$D,23+1)="","",INDEX(Data_Pipeline!$D:$D,23+1))</f>
        <v/>
      </c>
      <c r="E72" s="31" t="str">
        <f aca="false">IF(INDEX(Data_Pipeline!$E:$E,23+1)="","",INDEX(Data_Pipeline!$E:$E,23+1))</f>
        <v/>
      </c>
      <c r="F72" s="30" t="str">
        <f aca="false">IF(INDEX(Data_Pipeline!$F:$F,23+1)="","",INDEX(Data_Pipeline!$F:$F,23+1))</f>
        <v/>
      </c>
      <c r="G72" s="31" t="str">
        <f aca="false">IF($A72="","",D72*E72)</f>
        <v/>
      </c>
      <c r="H72" s="3" t="str">
        <f aca="false">IF(INDEX(Data_Pipeline!$H:$H,23+1)="","",INDEX(Data_Pipeline!$H:$H,23+1))</f>
        <v/>
      </c>
    </row>
    <row r="73" customFormat="false" ht="15" hidden="false" customHeight="false" outlineLevel="0" collapsed="false">
      <c r="A73" s="3" t="str">
        <f aca="false">IF(INDEX(Data_Pipeline!$A:$A,24+1)="","",INDEX(Data_Pipeline!$A:$A,24+1))</f>
        <v/>
      </c>
      <c r="B73" s="3" t="str">
        <f aca="false">IF(INDEX(Data_Pipeline!$B:$B,24+1)="","",INDEX(Data_Pipeline!$B:$B,24+1))</f>
        <v/>
      </c>
      <c r="C73" s="3" t="str">
        <f aca="false">IF(INDEX(Data_Pipeline!$C:$C,24+1)="","",INDEX(Data_Pipeline!$C:$C,24+1))</f>
        <v/>
      </c>
      <c r="D73" s="25" t="str">
        <f aca="false">IF(INDEX(Data_Pipeline!$D:$D,24+1)="","",INDEX(Data_Pipeline!$D:$D,24+1))</f>
        <v/>
      </c>
      <c r="E73" s="31" t="str">
        <f aca="false">IF(INDEX(Data_Pipeline!$E:$E,24+1)="","",INDEX(Data_Pipeline!$E:$E,24+1))</f>
        <v/>
      </c>
      <c r="F73" s="30" t="str">
        <f aca="false">IF(INDEX(Data_Pipeline!$F:$F,24+1)="","",INDEX(Data_Pipeline!$F:$F,24+1))</f>
        <v/>
      </c>
      <c r="G73" s="31" t="str">
        <f aca="false">IF($A73="","",D73*E73)</f>
        <v/>
      </c>
      <c r="H73" s="3" t="str">
        <f aca="false">IF(INDEX(Data_Pipeline!$H:$H,24+1)="","",INDEX(Data_Pipeline!$H:$H,24+1))</f>
        <v/>
      </c>
    </row>
    <row r="74" customFormat="false" ht="15" hidden="false" customHeight="false" outlineLevel="0" collapsed="false">
      <c r="A74" s="3" t="str">
        <f aca="false">IF(INDEX(Data_Pipeline!$A:$A,25+1)="","",INDEX(Data_Pipeline!$A:$A,25+1))</f>
        <v/>
      </c>
      <c r="B74" s="3" t="str">
        <f aca="false">IF(INDEX(Data_Pipeline!$B:$B,25+1)="","",INDEX(Data_Pipeline!$B:$B,25+1))</f>
        <v/>
      </c>
      <c r="C74" s="3" t="str">
        <f aca="false">IF(INDEX(Data_Pipeline!$C:$C,25+1)="","",INDEX(Data_Pipeline!$C:$C,25+1))</f>
        <v/>
      </c>
      <c r="D74" s="25" t="str">
        <f aca="false">IF(INDEX(Data_Pipeline!$D:$D,25+1)="","",INDEX(Data_Pipeline!$D:$D,25+1))</f>
        <v/>
      </c>
      <c r="E74" s="31" t="str">
        <f aca="false">IF(INDEX(Data_Pipeline!$E:$E,25+1)="","",INDEX(Data_Pipeline!$E:$E,25+1))</f>
        <v/>
      </c>
      <c r="F74" s="30" t="str">
        <f aca="false">IF(INDEX(Data_Pipeline!$F:$F,25+1)="","",INDEX(Data_Pipeline!$F:$F,25+1))</f>
        <v/>
      </c>
      <c r="G74" s="31" t="str">
        <f aca="false">IF($A74="","",D74*E74)</f>
        <v/>
      </c>
      <c r="H74" s="3" t="str">
        <f aca="false">IF(INDEX(Data_Pipeline!$H:$H,25+1)="","",INDEX(Data_Pipeline!$H:$H,25+1))</f>
        <v/>
      </c>
    </row>
    <row r="75" customFormat="false" ht="15" hidden="false" customHeight="false" outlineLevel="0" collapsed="false">
      <c r="A75" s="3" t="str">
        <f aca="false">IF(INDEX(Data_Pipeline!$A:$A,26+1)="","",INDEX(Data_Pipeline!$A:$A,26+1))</f>
        <v/>
      </c>
      <c r="B75" s="3" t="str">
        <f aca="false">IF(INDEX(Data_Pipeline!$B:$B,26+1)="","",INDEX(Data_Pipeline!$B:$B,26+1))</f>
        <v/>
      </c>
      <c r="C75" s="3" t="str">
        <f aca="false">IF(INDEX(Data_Pipeline!$C:$C,26+1)="","",INDEX(Data_Pipeline!$C:$C,26+1))</f>
        <v/>
      </c>
      <c r="D75" s="25" t="str">
        <f aca="false">IF(INDEX(Data_Pipeline!$D:$D,26+1)="","",INDEX(Data_Pipeline!$D:$D,26+1))</f>
        <v/>
      </c>
      <c r="E75" s="31" t="str">
        <f aca="false">IF(INDEX(Data_Pipeline!$E:$E,26+1)="","",INDEX(Data_Pipeline!$E:$E,26+1))</f>
        <v/>
      </c>
      <c r="F75" s="30" t="str">
        <f aca="false">IF(INDEX(Data_Pipeline!$F:$F,26+1)="","",INDEX(Data_Pipeline!$F:$F,26+1))</f>
        <v/>
      </c>
      <c r="G75" s="31" t="str">
        <f aca="false">IF($A75="","",D75*E75)</f>
        <v/>
      </c>
      <c r="H75" s="3" t="str">
        <f aca="false">IF(INDEX(Data_Pipeline!$H:$H,26+1)="","",INDEX(Data_Pipeline!$H:$H,26+1))</f>
        <v/>
      </c>
    </row>
    <row r="76" customFormat="false" ht="15" hidden="false" customHeight="false" outlineLevel="0" collapsed="false">
      <c r="A76" s="3" t="str">
        <f aca="false">IF(INDEX(Data_Pipeline!$A:$A,27+1)="","",INDEX(Data_Pipeline!$A:$A,27+1))</f>
        <v/>
      </c>
      <c r="B76" s="3" t="str">
        <f aca="false">IF(INDEX(Data_Pipeline!$B:$B,27+1)="","",INDEX(Data_Pipeline!$B:$B,27+1))</f>
        <v/>
      </c>
      <c r="C76" s="3" t="str">
        <f aca="false">IF(INDEX(Data_Pipeline!$C:$C,27+1)="","",INDEX(Data_Pipeline!$C:$C,27+1))</f>
        <v/>
      </c>
      <c r="D76" s="25" t="str">
        <f aca="false">IF(INDEX(Data_Pipeline!$D:$D,27+1)="","",INDEX(Data_Pipeline!$D:$D,27+1))</f>
        <v/>
      </c>
      <c r="E76" s="31" t="str">
        <f aca="false">IF(INDEX(Data_Pipeline!$E:$E,27+1)="","",INDEX(Data_Pipeline!$E:$E,27+1))</f>
        <v/>
      </c>
      <c r="F76" s="30" t="str">
        <f aca="false">IF(INDEX(Data_Pipeline!$F:$F,27+1)="","",INDEX(Data_Pipeline!$F:$F,27+1))</f>
        <v/>
      </c>
      <c r="G76" s="31" t="str">
        <f aca="false">IF($A76="","",D76*E76)</f>
        <v/>
      </c>
      <c r="H76" s="3" t="str">
        <f aca="false">IF(INDEX(Data_Pipeline!$H:$H,27+1)="","",INDEX(Data_Pipeline!$H:$H,27+1))</f>
        <v/>
      </c>
    </row>
    <row r="77" customFormat="false" ht="15" hidden="false" customHeight="false" outlineLevel="0" collapsed="false">
      <c r="A77" s="3" t="str">
        <f aca="false">IF(INDEX(Data_Pipeline!$A:$A,28+1)="","",INDEX(Data_Pipeline!$A:$A,28+1))</f>
        <v/>
      </c>
      <c r="B77" s="3" t="str">
        <f aca="false">IF(INDEX(Data_Pipeline!$B:$B,28+1)="","",INDEX(Data_Pipeline!$B:$B,28+1))</f>
        <v/>
      </c>
      <c r="C77" s="3" t="str">
        <f aca="false">IF(INDEX(Data_Pipeline!$C:$C,28+1)="","",INDEX(Data_Pipeline!$C:$C,28+1))</f>
        <v/>
      </c>
      <c r="D77" s="25" t="str">
        <f aca="false">IF(INDEX(Data_Pipeline!$D:$D,28+1)="","",INDEX(Data_Pipeline!$D:$D,28+1))</f>
        <v/>
      </c>
      <c r="E77" s="31" t="str">
        <f aca="false">IF(INDEX(Data_Pipeline!$E:$E,28+1)="","",INDEX(Data_Pipeline!$E:$E,28+1))</f>
        <v/>
      </c>
      <c r="F77" s="30" t="str">
        <f aca="false">IF(INDEX(Data_Pipeline!$F:$F,28+1)="","",INDEX(Data_Pipeline!$F:$F,28+1))</f>
        <v/>
      </c>
      <c r="G77" s="31" t="str">
        <f aca="false">IF($A77="","",D77*E77)</f>
        <v/>
      </c>
      <c r="H77" s="3" t="str">
        <f aca="false">IF(INDEX(Data_Pipeline!$H:$H,28+1)="","",INDEX(Data_Pipeline!$H:$H,28+1))</f>
        <v/>
      </c>
    </row>
    <row r="78" customFormat="false" ht="15" hidden="false" customHeight="false" outlineLevel="0" collapsed="false">
      <c r="A78" s="3" t="str">
        <f aca="false">IF(INDEX(Data_Pipeline!$A:$A,29+1)="","",INDEX(Data_Pipeline!$A:$A,29+1))</f>
        <v/>
      </c>
      <c r="B78" s="3" t="str">
        <f aca="false">IF(INDEX(Data_Pipeline!$B:$B,29+1)="","",INDEX(Data_Pipeline!$B:$B,29+1))</f>
        <v/>
      </c>
      <c r="C78" s="3" t="str">
        <f aca="false">IF(INDEX(Data_Pipeline!$C:$C,29+1)="","",INDEX(Data_Pipeline!$C:$C,29+1))</f>
        <v/>
      </c>
      <c r="D78" s="25" t="str">
        <f aca="false">IF(INDEX(Data_Pipeline!$D:$D,29+1)="","",INDEX(Data_Pipeline!$D:$D,29+1))</f>
        <v/>
      </c>
      <c r="E78" s="31" t="str">
        <f aca="false">IF(INDEX(Data_Pipeline!$E:$E,29+1)="","",INDEX(Data_Pipeline!$E:$E,29+1))</f>
        <v/>
      </c>
      <c r="F78" s="30" t="str">
        <f aca="false">IF(INDEX(Data_Pipeline!$F:$F,29+1)="","",INDEX(Data_Pipeline!$F:$F,29+1))</f>
        <v/>
      </c>
      <c r="G78" s="31" t="str">
        <f aca="false">IF($A78="","",D78*E78)</f>
        <v/>
      </c>
      <c r="H78" s="3" t="str">
        <f aca="false">IF(INDEX(Data_Pipeline!$H:$H,29+1)="","",INDEX(Data_Pipeline!$H:$H,29+1))</f>
        <v/>
      </c>
    </row>
    <row r="79" customFormat="false" ht="15" hidden="false" customHeight="false" outlineLevel="0" collapsed="false">
      <c r="A79" s="3" t="str">
        <f aca="false">IF(INDEX(Data_Pipeline!$A:$A,30+1)="","",INDEX(Data_Pipeline!$A:$A,30+1))</f>
        <v/>
      </c>
      <c r="B79" s="3" t="str">
        <f aca="false">IF(INDEX(Data_Pipeline!$B:$B,30+1)="","",INDEX(Data_Pipeline!$B:$B,30+1))</f>
        <v/>
      </c>
      <c r="C79" s="3" t="str">
        <f aca="false">IF(INDEX(Data_Pipeline!$C:$C,30+1)="","",INDEX(Data_Pipeline!$C:$C,30+1))</f>
        <v/>
      </c>
      <c r="D79" s="25" t="str">
        <f aca="false">IF(INDEX(Data_Pipeline!$D:$D,30+1)="","",INDEX(Data_Pipeline!$D:$D,30+1))</f>
        <v/>
      </c>
      <c r="E79" s="31" t="str">
        <f aca="false">IF(INDEX(Data_Pipeline!$E:$E,30+1)="","",INDEX(Data_Pipeline!$E:$E,30+1))</f>
        <v/>
      </c>
      <c r="F79" s="30" t="str">
        <f aca="false">IF(INDEX(Data_Pipeline!$F:$F,30+1)="","",INDEX(Data_Pipeline!$F:$F,30+1))</f>
        <v/>
      </c>
      <c r="G79" s="31" t="str">
        <f aca="false">IF($A79="","",D79*E79)</f>
        <v/>
      </c>
      <c r="H79" s="3" t="str">
        <f aca="false">IF(INDEX(Data_Pipeline!$H:$H,30+1)="","",INDEX(Data_Pipeline!$H:$H,30+1))</f>
        <v/>
      </c>
    </row>
    <row r="80" customFormat="false" ht="15" hidden="false" customHeight="false" outlineLevel="0" collapsed="false">
      <c r="A80" s="3" t="str">
        <f aca="false">IF(INDEX(Data_Pipeline!$A:$A,31+1)="","",INDEX(Data_Pipeline!$A:$A,31+1))</f>
        <v/>
      </c>
      <c r="B80" s="3" t="str">
        <f aca="false">IF(INDEX(Data_Pipeline!$B:$B,31+1)="","",INDEX(Data_Pipeline!$B:$B,31+1))</f>
        <v/>
      </c>
      <c r="C80" s="3" t="str">
        <f aca="false">IF(INDEX(Data_Pipeline!$C:$C,31+1)="","",INDEX(Data_Pipeline!$C:$C,31+1))</f>
        <v/>
      </c>
      <c r="D80" s="25" t="str">
        <f aca="false">IF(INDEX(Data_Pipeline!$D:$D,31+1)="","",INDEX(Data_Pipeline!$D:$D,31+1))</f>
        <v/>
      </c>
      <c r="E80" s="31" t="str">
        <f aca="false">IF(INDEX(Data_Pipeline!$E:$E,31+1)="","",INDEX(Data_Pipeline!$E:$E,31+1))</f>
        <v/>
      </c>
      <c r="F80" s="30" t="str">
        <f aca="false">IF(INDEX(Data_Pipeline!$F:$F,31+1)="","",INDEX(Data_Pipeline!$F:$F,31+1))</f>
        <v/>
      </c>
      <c r="G80" s="31" t="str">
        <f aca="false">IF($A80="","",D80*E80)</f>
        <v/>
      </c>
      <c r="H80" s="3" t="str">
        <f aca="false">IF(INDEX(Data_Pipeline!$H:$H,31+1)="","",INDEX(Data_Pipeline!$H:$H,31+1))</f>
        <v/>
      </c>
    </row>
    <row r="81" customFormat="false" ht="15" hidden="false" customHeight="false" outlineLevel="0" collapsed="false">
      <c r="A81" s="3" t="str">
        <f aca="false">IF(INDEX(Data_Pipeline!$A:$A,32+1)="","",INDEX(Data_Pipeline!$A:$A,32+1))</f>
        <v/>
      </c>
      <c r="B81" s="3" t="str">
        <f aca="false">IF(INDEX(Data_Pipeline!$B:$B,32+1)="","",INDEX(Data_Pipeline!$B:$B,32+1))</f>
        <v/>
      </c>
      <c r="C81" s="3" t="str">
        <f aca="false">IF(INDEX(Data_Pipeline!$C:$C,32+1)="","",INDEX(Data_Pipeline!$C:$C,32+1))</f>
        <v/>
      </c>
      <c r="D81" s="25" t="str">
        <f aca="false">IF(INDEX(Data_Pipeline!$D:$D,32+1)="","",INDEX(Data_Pipeline!$D:$D,32+1))</f>
        <v/>
      </c>
      <c r="E81" s="31" t="str">
        <f aca="false">IF(INDEX(Data_Pipeline!$E:$E,32+1)="","",INDEX(Data_Pipeline!$E:$E,32+1))</f>
        <v/>
      </c>
      <c r="F81" s="30" t="str">
        <f aca="false">IF(INDEX(Data_Pipeline!$F:$F,32+1)="","",INDEX(Data_Pipeline!$F:$F,32+1))</f>
        <v/>
      </c>
      <c r="G81" s="31" t="str">
        <f aca="false">IF($A81="","",D81*E81)</f>
        <v/>
      </c>
      <c r="H81" s="3" t="str">
        <f aca="false">IF(INDEX(Data_Pipeline!$H:$H,32+1)="","",INDEX(Data_Pipeline!$H:$H,32+1))</f>
        <v/>
      </c>
    </row>
    <row r="82" customFormat="false" ht="15" hidden="false" customHeight="false" outlineLevel="0" collapsed="false">
      <c r="A82" s="3" t="str">
        <f aca="false">IF(INDEX(Data_Pipeline!$A:$A,33+1)="","",INDEX(Data_Pipeline!$A:$A,33+1))</f>
        <v/>
      </c>
      <c r="B82" s="3" t="str">
        <f aca="false">IF(INDEX(Data_Pipeline!$B:$B,33+1)="","",INDEX(Data_Pipeline!$B:$B,33+1))</f>
        <v/>
      </c>
      <c r="C82" s="3" t="str">
        <f aca="false">IF(INDEX(Data_Pipeline!$C:$C,33+1)="","",INDEX(Data_Pipeline!$C:$C,33+1))</f>
        <v/>
      </c>
      <c r="D82" s="25" t="str">
        <f aca="false">IF(INDEX(Data_Pipeline!$D:$D,33+1)="","",INDEX(Data_Pipeline!$D:$D,33+1))</f>
        <v/>
      </c>
      <c r="E82" s="31" t="str">
        <f aca="false">IF(INDEX(Data_Pipeline!$E:$E,33+1)="","",INDEX(Data_Pipeline!$E:$E,33+1))</f>
        <v/>
      </c>
      <c r="F82" s="30" t="str">
        <f aca="false">IF(INDEX(Data_Pipeline!$F:$F,33+1)="","",INDEX(Data_Pipeline!$F:$F,33+1))</f>
        <v/>
      </c>
      <c r="G82" s="31" t="str">
        <f aca="false">IF($A82="","",D82*E82)</f>
        <v/>
      </c>
      <c r="H82" s="3" t="str">
        <f aca="false">IF(INDEX(Data_Pipeline!$H:$H,33+1)="","",INDEX(Data_Pipeline!$H:$H,33+1))</f>
        <v/>
      </c>
    </row>
    <row r="83" customFormat="false" ht="15" hidden="false" customHeight="false" outlineLevel="0" collapsed="false">
      <c r="A83" s="3" t="str">
        <f aca="false">IF(INDEX(Data_Pipeline!$A:$A,34+1)="","",INDEX(Data_Pipeline!$A:$A,34+1))</f>
        <v/>
      </c>
      <c r="B83" s="3" t="str">
        <f aca="false">IF(INDEX(Data_Pipeline!$B:$B,34+1)="","",INDEX(Data_Pipeline!$B:$B,34+1))</f>
        <v/>
      </c>
      <c r="C83" s="3" t="str">
        <f aca="false">IF(INDEX(Data_Pipeline!$C:$C,34+1)="","",INDEX(Data_Pipeline!$C:$C,34+1))</f>
        <v/>
      </c>
      <c r="D83" s="25" t="str">
        <f aca="false">IF(INDEX(Data_Pipeline!$D:$D,34+1)="","",INDEX(Data_Pipeline!$D:$D,34+1))</f>
        <v/>
      </c>
      <c r="E83" s="31" t="str">
        <f aca="false">IF(INDEX(Data_Pipeline!$E:$E,34+1)="","",INDEX(Data_Pipeline!$E:$E,34+1))</f>
        <v/>
      </c>
      <c r="F83" s="30" t="str">
        <f aca="false">IF(INDEX(Data_Pipeline!$F:$F,34+1)="","",INDEX(Data_Pipeline!$F:$F,34+1))</f>
        <v/>
      </c>
      <c r="G83" s="31" t="str">
        <f aca="false">IF($A83="","",D83*E83)</f>
        <v/>
      </c>
      <c r="H83" s="3" t="str">
        <f aca="false">IF(INDEX(Data_Pipeline!$H:$H,34+1)="","",INDEX(Data_Pipeline!$H:$H,34+1))</f>
        <v/>
      </c>
    </row>
    <row r="84" customFormat="false" ht="15" hidden="false" customHeight="false" outlineLevel="0" collapsed="false">
      <c r="A84" s="3" t="str">
        <f aca="false">IF(INDEX(Data_Pipeline!$A:$A,35+1)="","",INDEX(Data_Pipeline!$A:$A,35+1))</f>
        <v/>
      </c>
      <c r="B84" s="3" t="str">
        <f aca="false">IF(INDEX(Data_Pipeline!$B:$B,35+1)="","",INDEX(Data_Pipeline!$B:$B,35+1))</f>
        <v/>
      </c>
      <c r="C84" s="3" t="str">
        <f aca="false">IF(INDEX(Data_Pipeline!$C:$C,35+1)="","",INDEX(Data_Pipeline!$C:$C,35+1))</f>
        <v/>
      </c>
      <c r="D84" s="25" t="str">
        <f aca="false">IF(INDEX(Data_Pipeline!$D:$D,35+1)="","",INDEX(Data_Pipeline!$D:$D,35+1))</f>
        <v/>
      </c>
      <c r="E84" s="31" t="str">
        <f aca="false">IF(INDEX(Data_Pipeline!$E:$E,35+1)="","",INDEX(Data_Pipeline!$E:$E,35+1))</f>
        <v/>
      </c>
      <c r="F84" s="30" t="str">
        <f aca="false">IF(INDEX(Data_Pipeline!$F:$F,35+1)="","",INDEX(Data_Pipeline!$F:$F,35+1))</f>
        <v/>
      </c>
      <c r="G84" s="31" t="str">
        <f aca="false">IF($A84="","",D84*E84)</f>
        <v/>
      </c>
      <c r="H84" s="3" t="str">
        <f aca="false">IF(INDEX(Data_Pipeline!$H:$H,35+1)="","",INDEX(Data_Pipeline!$H:$H,35+1))</f>
        <v/>
      </c>
    </row>
    <row r="85" customFormat="false" ht="15" hidden="false" customHeight="false" outlineLevel="0" collapsed="false">
      <c r="A85" s="3" t="str">
        <f aca="false">IF(INDEX(Data_Pipeline!$A:$A,36+1)="","",INDEX(Data_Pipeline!$A:$A,36+1))</f>
        <v/>
      </c>
      <c r="B85" s="3" t="str">
        <f aca="false">IF(INDEX(Data_Pipeline!$B:$B,36+1)="","",INDEX(Data_Pipeline!$B:$B,36+1))</f>
        <v/>
      </c>
      <c r="C85" s="3" t="str">
        <f aca="false">IF(INDEX(Data_Pipeline!$C:$C,36+1)="","",INDEX(Data_Pipeline!$C:$C,36+1))</f>
        <v/>
      </c>
      <c r="D85" s="25" t="str">
        <f aca="false">IF(INDEX(Data_Pipeline!$D:$D,36+1)="","",INDEX(Data_Pipeline!$D:$D,36+1))</f>
        <v/>
      </c>
      <c r="E85" s="31" t="str">
        <f aca="false">IF(INDEX(Data_Pipeline!$E:$E,36+1)="","",INDEX(Data_Pipeline!$E:$E,36+1))</f>
        <v/>
      </c>
      <c r="F85" s="30" t="str">
        <f aca="false">IF(INDEX(Data_Pipeline!$F:$F,36+1)="","",INDEX(Data_Pipeline!$F:$F,36+1))</f>
        <v/>
      </c>
      <c r="G85" s="31" t="str">
        <f aca="false">IF($A85="","",D85*E85)</f>
        <v/>
      </c>
      <c r="H85" s="3" t="str">
        <f aca="false">IF(INDEX(Data_Pipeline!$H:$H,36+1)="","",INDEX(Data_Pipeline!$H:$H,36+1))</f>
        <v/>
      </c>
    </row>
    <row r="86" customFormat="false" ht="15" hidden="false" customHeight="false" outlineLevel="0" collapsed="false">
      <c r="A86" s="3" t="str">
        <f aca="false">IF(INDEX(Data_Pipeline!$A:$A,37+1)="","",INDEX(Data_Pipeline!$A:$A,37+1))</f>
        <v/>
      </c>
      <c r="B86" s="3" t="str">
        <f aca="false">IF(INDEX(Data_Pipeline!$B:$B,37+1)="","",INDEX(Data_Pipeline!$B:$B,37+1))</f>
        <v/>
      </c>
      <c r="C86" s="3" t="str">
        <f aca="false">IF(INDEX(Data_Pipeline!$C:$C,37+1)="","",INDEX(Data_Pipeline!$C:$C,37+1))</f>
        <v/>
      </c>
      <c r="D86" s="25" t="str">
        <f aca="false">IF(INDEX(Data_Pipeline!$D:$D,37+1)="","",INDEX(Data_Pipeline!$D:$D,37+1))</f>
        <v/>
      </c>
      <c r="E86" s="31" t="str">
        <f aca="false">IF(INDEX(Data_Pipeline!$E:$E,37+1)="","",INDEX(Data_Pipeline!$E:$E,37+1))</f>
        <v/>
      </c>
      <c r="F86" s="30" t="str">
        <f aca="false">IF(INDEX(Data_Pipeline!$F:$F,37+1)="","",INDEX(Data_Pipeline!$F:$F,37+1))</f>
        <v/>
      </c>
      <c r="G86" s="31" t="str">
        <f aca="false">IF($A86="","",D86*E86)</f>
        <v/>
      </c>
      <c r="H86" s="3" t="str">
        <f aca="false">IF(INDEX(Data_Pipeline!$H:$H,37+1)="","",INDEX(Data_Pipeline!$H:$H,37+1))</f>
        <v/>
      </c>
    </row>
    <row r="87" customFormat="false" ht="15" hidden="false" customHeight="false" outlineLevel="0" collapsed="false">
      <c r="A87" s="3" t="str">
        <f aca="false">IF(INDEX(Data_Pipeline!$A:$A,38+1)="","",INDEX(Data_Pipeline!$A:$A,38+1))</f>
        <v/>
      </c>
      <c r="B87" s="3" t="str">
        <f aca="false">IF(INDEX(Data_Pipeline!$B:$B,38+1)="","",INDEX(Data_Pipeline!$B:$B,38+1))</f>
        <v/>
      </c>
      <c r="C87" s="3" t="str">
        <f aca="false">IF(INDEX(Data_Pipeline!$C:$C,38+1)="","",INDEX(Data_Pipeline!$C:$C,38+1))</f>
        <v/>
      </c>
      <c r="D87" s="25" t="str">
        <f aca="false">IF(INDEX(Data_Pipeline!$D:$D,38+1)="","",INDEX(Data_Pipeline!$D:$D,38+1))</f>
        <v/>
      </c>
      <c r="E87" s="31" t="str">
        <f aca="false">IF(INDEX(Data_Pipeline!$E:$E,38+1)="","",INDEX(Data_Pipeline!$E:$E,38+1))</f>
        <v/>
      </c>
      <c r="F87" s="30" t="str">
        <f aca="false">IF(INDEX(Data_Pipeline!$F:$F,38+1)="","",INDEX(Data_Pipeline!$F:$F,38+1))</f>
        <v/>
      </c>
      <c r="G87" s="31" t="str">
        <f aca="false">IF($A87="","",D87*E87)</f>
        <v/>
      </c>
      <c r="H87" s="3" t="str">
        <f aca="false">IF(INDEX(Data_Pipeline!$H:$H,38+1)="","",INDEX(Data_Pipeline!$H:$H,38+1))</f>
        <v/>
      </c>
    </row>
    <row r="88" customFormat="false" ht="15" hidden="false" customHeight="false" outlineLevel="0" collapsed="false">
      <c r="A88" s="3" t="str">
        <f aca="false">IF(INDEX(Data_Pipeline!$A:$A,39+1)="","",INDEX(Data_Pipeline!$A:$A,39+1))</f>
        <v/>
      </c>
      <c r="B88" s="3" t="str">
        <f aca="false">IF(INDEX(Data_Pipeline!$B:$B,39+1)="","",INDEX(Data_Pipeline!$B:$B,39+1))</f>
        <v/>
      </c>
      <c r="C88" s="3" t="str">
        <f aca="false">IF(INDEX(Data_Pipeline!$C:$C,39+1)="","",INDEX(Data_Pipeline!$C:$C,39+1))</f>
        <v/>
      </c>
      <c r="D88" s="25" t="str">
        <f aca="false">IF(INDEX(Data_Pipeline!$D:$D,39+1)="","",INDEX(Data_Pipeline!$D:$D,39+1))</f>
        <v/>
      </c>
      <c r="E88" s="31" t="str">
        <f aca="false">IF(INDEX(Data_Pipeline!$E:$E,39+1)="","",INDEX(Data_Pipeline!$E:$E,39+1))</f>
        <v/>
      </c>
      <c r="F88" s="30" t="str">
        <f aca="false">IF(INDEX(Data_Pipeline!$F:$F,39+1)="","",INDEX(Data_Pipeline!$F:$F,39+1))</f>
        <v/>
      </c>
      <c r="G88" s="31" t="str">
        <f aca="false">IF($A88="","",D88*E88)</f>
        <v/>
      </c>
      <c r="H88" s="3" t="str">
        <f aca="false">IF(INDEX(Data_Pipeline!$H:$H,39+1)="","",INDEX(Data_Pipeline!$H:$H,39+1))</f>
        <v/>
      </c>
    </row>
    <row r="89" customFormat="false" ht="15" hidden="false" customHeight="false" outlineLevel="0" collapsed="false">
      <c r="A89" s="3" t="str">
        <f aca="false">IF(INDEX(Data_Pipeline!$A:$A,40+1)="","",INDEX(Data_Pipeline!$A:$A,40+1))</f>
        <v/>
      </c>
      <c r="B89" s="3" t="str">
        <f aca="false">IF(INDEX(Data_Pipeline!$B:$B,40+1)="","",INDEX(Data_Pipeline!$B:$B,40+1))</f>
        <v/>
      </c>
      <c r="C89" s="3" t="str">
        <f aca="false">IF(INDEX(Data_Pipeline!$C:$C,40+1)="","",INDEX(Data_Pipeline!$C:$C,40+1))</f>
        <v/>
      </c>
      <c r="D89" s="25" t="str">
        <f aca="false">IF(INDEX(Data_Pipeline!$D:$D,40+1)="","",INDEX(Data_Pipeline!$D:$D,40+1))</f>
        <v/>
      </c>
      <c r="E89" s="31" t="str">
        <f aca="false">IF(INDEX(Data_Pipeline!$E:$E,40+1)="","",INDEX(Data_Pipeline!$E:$E,40+1))</f>
        <v/>
      </c>
      <c r="F89" s="30" t="str">
        <f aca="false">IF(INDEX(Data_Pipeline!$F:$F,40+1)="","",INDEX(Data_Pipeline!$F:$F,40+1))</f>
        <v/>
      </c>
      <c r="G89" s="31" t="str">
        <f aca="false">IF($A89="","",D89*E89)</f>
        <v/>
      </c>
      <c r="H89" s="3" t="str">
        <f aca="false">IF(INDEX(Data_Pipeline!$H:$H,40+1)="","",INDEX(Data_Pipeline!$H:$H,40+1))</f>
        <v/>
      </c>
    </row>
    <row r="90" customFormat="false" ht="15" hidden="false" customHeight="false" outlineLevel="0" collapsed="false">
      <c r="A90" s="2" t="s">
        <v>87</v>
      </c>
      <c r="E90" s="32" t="n">
        <f aca="false">SUM(E50:E89)</f>
        <v>102500</v>
      </c>
      <c r="G90" s="32" t="n">
        <f aca="false">SUM(G50:G89)</f>
        <v>39000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8" min="7" style="0" width="14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tr">
        <f aca="false">Data_Params!$B$14&amp;" | Customer concentration, latest month"</f>
        <v>Example Co (synthetic data) | Customer concentration, latest month</v>
      </c>
    </row>
    <row r="2" customFormat="false" ht="15" hidden="false" customHeight="false" outlineLevel="0" collapsed="false">
      <c r="A2" s="7" t="s">
        <v>129</v>
      </c>
    </row>
    <row r="4" customFormat="false" ht="23.85" hidden="false" customHeight="false" outlineLevel="0" collapsed="false">
      <c r="A4" s="8" t="s">
        <v>130</v>
      </c>
      <c r="B4" s="8" t="s">
        <v>131</v>
      </c>
      <c r="C4" s="8" t="s">
        <v>132</v>
      </c>
      <c r="D4" s="8" t="s">
        <v>133</v>
      </c>
      <c r="E4" s="8" t="s">
        <v>59</v>
      </c>
      <c r="F4" s="8" t="s">
        <v>134</v>
      </c>
      <c r="G4" s="8" t="s">
        <v>135</v>
      </c>
      <c r="H4" s="8" t="s">
        <v>136</v>
      </c>
      <c r="J4" s="2" t="s">
        <v>137</v>
      </c>
    </row>
    <row r="5" customFormat="false" ht="15" hidden="false" customHeight="false" outlineLevel="0" collapsed="false">
      <c r="A5" s="3" t="n">
        <f aca="false">IF(INDEX(Data_Concentration!$A:$A,1+1)="","",INDEX(Data_Concentration!$A:$A,1+1))</f>
        <v>1</v>
      </c>
      <c r="B5" s="3" t="str">
        <f aca="false">IF(INDEX(Data_Concentration!$C:$C,1+1)="","",INDEX(Data_Concentration!$C:$C,1+1))</f>
        <v>Ledgerline Payments</v>
      </c>
      <c r="C5" s="3" t="str">
        <f aca="false">IF(INDEX(Data_Concentration!$D:$D,1+1)="","",INDEX(Data_Concentration!$D:$D,1+1))</f>
        <v>enterprise</v>
      </c>
      <c r="D5" s="3" t="str">
        <f aca="false">IF(INDEX(Data_Concentration!$E:$E,1+1)="","",INDEX(Data_Concentration!$E:$E,1+1))</f>
        <v>direct</v>
      </c>
      <c r="E5" s="21" t="n">
        <f aca="false">IF($A5="","",INDEX(Data_Concentration!$F:$F,1+1)/1000000000)</f>
        <v>1273.059820601</v>
      </c>
      <c r="F5" s="31" t="n">
        <f aca="false">IF(INDEX(Data_Concentration!$G:$G,1+1)="","",INDEX(Data_Concentration!$G:$G,1+1))</f>
        <v>42774.8099721936</v>
      </c>
      <c r="G5" s="25" t="n">
        <f aca="false">IF(OR($A5="",Data_Params!$B$8=0),"",F5/Data_Params!$B$8)</f>
        <v>0.172684381132753</v>
      </c>
      <c r="H5" s="25" t="n">
        <f aca="false">IF($A5="","",SUM($G$5:G5))</f>
        <v>0.172684381132753</v>
      </c>
      <c r="J5" s="33" t="n">
        <f aca="false">Data_Params!$B$8</f>
        <v>247705.146763158</v>
      </c>
    </row>
    <row r="6" customFormat="false" ht="15" hidden="false" customHeight="false" outlineLevel="0" collapsed="false">
      <c r="A6" s="3" t="n">
        <f aca="false">IF(INDEX(Data_Concentration!$A:$A,2+1)="","",INDEX(Data_Concentration!$A:$A,2+1))</f>
        <v>2</v>
      </c>
      <c r="B6" s="3" t="str">
        <f aca="false">IF(INDEX(Data_Concentration!$C:$C,2+1)="","",INDEX(Data_Concentration!$C:$C,2+1))</f>
        <v>Quanta Assist</v>
      </c>
      <c r="C6" s="3" t="str">
        <f aca="false">IF(INDEX(Data_Concentration!$D:$D,2+1)="","",INDEX(Data_Concentration!$D:$D,2+1))</f>
        <v>enterprise</v>
      </c>
      <c r="D6" s="3" t="str">
        <f aca="false">IF(INDEX(Data_Concentration!$E:$E,2+1)="","",INDEX(Data_Concentration!$E:$E,2+1))</f>
        <v>direct</v>
      </c>
      <c r="E6" s="21" t="n">
        <f aca="false">IF($A6="","",INDEX(Data_Concentration!$F:$F,2+1)/1000000000)</f>
        <v>1167.828264172</v>
      </c>
      <c r="F6" s="31" t="n">
        <f aca="false">IF(INDEX(Data_Concentration!$G:$G,2+1)="","",INDEX(Data_Concentration!$G:$G,2+1))</f>
        <v>41691.4690309404</v>
      </c>
      <c r="G6" s="25" t="n">
        <f aca="false">IF(OR($A6="",Data_Params!$B$8=0),"",F6/Data_Params!$B$8)</f>
        <v>0.168310871113242</v>
      </c>
      <c r="H6" s="25" t="n">
        <f aca="false">IF($A6="","",SUM($G$5:G6))</f>
        <v>0.340995252245995</v>
      </c>
    </row>
    <row r="7" customFormat="false" ht="15" hidden="false" customHeight="false" outlineLevel="0" collapsed="false">
      <c r="A7" s="3" t="n">
        <f aca="false">IF(INDEX(Data_Concentration!$A:$A,3+1)="","",INDEX(Data_Concentration!$A:$A,3+1))</f>
        <v>3</v>
      </c>
      <c r="B7" s="3" t="str">
        <f aca="false">IF(INDEX(Data_Concentration!$C:$C,3+1)="","",INDEX(Data_Concentration!$C:$C,3+1))</f>
        <v>Cobalt Ads</v>
      </c>
      <c r="C7" s="3" t="str">
        <f aca="false">IF(INDEX(Data_Concentration!$D:$D,3+1)="","",INDEX(Data_Concentration!$D:$D,3+1))</f>
        <v>enterprise</v>
      </c>
      <c r="D7" s="3" t="str">
        <f aca="false">IF(INDEX(Data_Concentration!$E:$E,3+1)="","",INDEX(Data_Concentration!$E:$E,3+1))</f>
        <v>direct</v>
      </c>
      <c r="E7" s="21" t="n">
        <f aca="false">IF($A7="","",INDEX(Data_Concentration!$F:$F,3+1)/1000000000)</f>
        <v>842.421950314</v>
      </c>
      <c r="F7" s="31" t="n">
        <f aca="false">IF(INDEX(Data_Concentration!$G:$G,3+1)="","",INDEX(Data_Concentration!$G:$G,3+1))</f>
        <v>30074.4636262098</v>
      </c>
      <c r="G7" s="25" t="n">
        <f aca="false">IF(OR($A7="",Data_Params!$B$8=0),"",F7/Data_Params!$B$8)</f>
        <v>0.121412348589452</v>
      </c>
      <c r="H7" s="25" t="n">
        <f aca="false">IF($A7="","",SUM($G$5:G7))</f>
        <v>0.462407600835446</v>
      </c>
    </row>
    <row r="8" customFormat="false" ht="15" hidden="false" customHeight="false" outlineLevel="0" collapsed="false">
      <c r="A8" s="3" t="n">
        <f aca="false">IF(INDEX(Data_Concentration!$A:$A,4+1)="","",INDEX(Data_Concentration!$A:$A,4+1))</f>
        <v>4</v>
      </c>
      <c r="B8" s="3" t="str">
        <f aca="false">IF(INDEX(Data_Concentration!$C:$C,4+1)="","",INDEX(Data_Concentration!$C:$C,4+1))</f>
        <v>Northwind Insurance</v>
      </c>
      <c r="C8" s="3" t="str">
        <f aca="false">IF(INDEX(Data_Concentration!$D:$D,4+1)="","",INDEX(Data_Concentration!$D:$D,4+1))</f>
        <v>enterprise</v>
      </c>
      <c r="D8" s="3" t="str">
        <f aca="false">IF(INDEX(Data_Concentration!$E:$E,4+1)="","",INDEX(Data_Concentration!$E:$E,4+1))</f>
        <v>direct</v>
      </c>
      <c r="E8" s="21" t="n">
        <f aca="false">IF($A8="","",INDEX(Data_Concentration!$F:$F,4+1)/1000000000)</f>
        <v>255.256602534</v>
      </c>
      <c r="F8" s="31" t="n">
        <f aca="false">IF(INDEX(Data_Concentration!$G:$G,4+1)="","",INDEX(Data_Concentration!$G:$G,4+1))</f>
        <v>20000</v>
      </c>
      <c r="G8" s="25" t="n">
        <f aca="false">IF(OR($A8="",Data_Params!$B$8=0),"",F8/Data_Params!$B$8)</f>
        <v>0.0807411564165961</v>
      </c>
      <c r="H8" s="25" t="n">
        <f aca="false">IF($A8="","",SUM($G$5:G8))</f>
        <v>0.543148757252042</v>
      </c>
    </row>
    <row r="9" customFormat="false" ht="15" hidden="false" customHeight="false" outlineLevel="0" collapsed="false">
      <c r="A9" s="3" t="n">
        <f aca="false">IF(INDEX(Data_Concentration!$A:$A,5+1)="","",INDEX(Data_Concentration!$A:$A,5+1))</f>
        <v>5</v>
      </c>
      <c r="B9" s="3" t="str">
        <f aca="false">IF(INDEX(Data_Concentration!$C:$C,5+1)="","",INDEX(Data_Concentration!$C:$C,5+1))</f>
        <v>Sable Research</v>
      </c>
      <c r="C9" s="3" t="str">
        <f aca="false">IF(INDEX(Data_Concentration!$D:$D,5+1)="","",INDEX(Data_Concentration!$D:$D,5+1))</f>
        <v>enterprise</v>
      </c>
      <c r="D9" s="3" t="str">
        <f aca="false">IF(INDEX(Data_Concentration!$E:$E,5+1)="","",INDEX(Data_Concentration!$E:$E,5+1))</f>
        <v>direct</v>
      </c>
      <c r="E9" s="21" t="n">
        <f aca="false">IF($A9="","",INDEX(Data_Concentration!$F:$F,5+1)/1000000000)</f>
        <v>347.846601827</v>
      </c>
      <c r="F9" s="31" t="n">
        <f aca="false">IF(INDEX(Data_Concentration!$G:$G,5+1)="","",INDEX(Data_Concentration!$G:$G,5+1))</f>
        <v>17500</v>
      </c>
      <c r="G9" s="25" t="n">
        <f aca="false">IF(OR($A9="",Data_Params!$B$8=0),"",F9/Data_Params!$B$8)</f>
        <v>0.0706485118645216</v>
      </c>
      <c r="H9" s="25" t="n">
        <f aca="false">IF($A9="","",SUM($G$5:G9))</f>
        <v>0.613797269116564</v>
      </c>
    </row>
    <row r="10" customFormat="false" ht="15" hidden="false" customHeight="false" outlineLevel="0" collapsed="false">
      <c r="A10" s="3" t="n">
        <f aca="false">IF(INDEX(Data_Concentration!$A:$A,6+1)="","",INDEX(Data_Concentration!$A:$A,6+1))</f>
        <v>6</v>
      </c>
      <c r="B10" s="3" t="str">
        <f aca="false">IF(INDEX(Data_Concentration!$C:$C,6+1)="","",INDEX(Data_Concentration!$C:$C,6+1))</f>
        <v>Halcyon Games</v>
      </c>
      <c r="C10" s="3" t="str">
        <f aca="false">IF(INDEX(Data_Concentration!$D:$D,6+1)="","",INDEX(Data_Concentration!$D:$D,6+1))</f>
        <v>enterprise</v>
      </c>
      <c r="D10" s="3" t="str">
        <f aca="false">IF(INDEX(Data_Concentration!$E:$E,6+1)="","",INDEX(Data_Concentration!$E:$E,6+1))</f>
        <v>direct</v>
      </c>
      <c r="E10" s="21" t="n">
        <f aca="false">IF($A10="","",INDEX(Data_Concentration!$F:$F,6+1)/1000000000)</f>
        <v>412.03287024</v>
      </c>
      <c r="F10" s="31" t="n">
        <f aca="false">IF(INDEX(Data_Concentration!$G:$G,6+1)="","",INDEX(Data_Concentration!$G:$G,6+1))</f>
        <v>15574.842495072</v>
      </c>
      <c r="G10" s="25" t="n">
        <f aca="false">IF(OR($A10="",Data_Params!$B$8=0),"",F10/Data_Params!$B$8)</f>
        <v>0.0628765397029228</v>
      </c>
      <c r="H10" s="25" t="n">
        <f aca="false">IF($A10="","",SUM($G$5:G10))</f>
        <v>0.676673808819487</v>
      </c>
    </row>
    <row r="11" customFormat="false" ht="15" hidden="false" customHeight="false" outlineLevel="0" collapsed="false">
      <c r="A11" s="3" t="n">
        <f aca="false">IF(INDEX(Data_Concentration!$A:$A,7+1)="","",INDEX(Data_Concentration!$A:$A,7+1))</f>
        <v>7</v>
      </c>
      <c r="B11" s="3" t="str">
        <f aca="false">IF(INDEX(Data_Concentration!$C:$C,7+1)="","",INDEX(Data_Concentration!$C:$C,7+1))</f>
        <v>OpenRouter (aggregate, end customers not passed)</v>
      </c>
      <c r="C11" s="3" t="str">
        <f aca="false">IF(INDEX(Data_Concentration!$D:$D,7+1)="","",INDEX(Data_Concentration!$D:$D,7+1))</f>
        <v>gateway_aggregate</v>
      </c>
      <c r="D11" s="3" t="str">
        <f aca="false">IF(INDEX(Data_Concentration!$E:$E,7+1)="","",INDEX(Data_Concentration!$E:$E,7+1))</f>
        <v>openrouter</v>
      </c>
      <c r="E11" s="21" t="n">
        <f aca="false">IF($A11="","",INDEX(Data_Concentration!$F:$F,7+1)/1000000000)</f>
        <v>370.518908817</v>
      </c>
      <c r="F11" s="31" t="n">
        <f aca="false">IF(INDEX(Data_Concentration!$G:$G,7+1)="","",INDEX(Data_Concentration!$G:$G,7+1))</f>
        <v>14783.7044617983</v>
      </c>
      <c r="G11" s="25" t="n">
        <f aca="false">IF(OR($A11="",Data_Params!$B$8=0),"",F11/Data_Params!$B$8)</f>
        <v>0.0596826697183394</v>
      </c>
      <c r="H11" s="25" t="n">
        <f aca="false">IF($A11="","",SUM($G$5:G11))</f>
        <v>0.736356478537826</v>
      </c>
    </row>
    <row r="12" customFormat="false" ht="15" hidden="false" customHeight="false" outlineLevel="0" collapsed="false">
      <c r="A12" s="3" t="n">
        <f aca="false">IF(INDEX(Data_Concentration!$A:$A,8+1)="","",INDEX(Data_Concentration!$A:$A,8+1))</f>
        <v>8</v>
      </c>
      <c r="B12" s="3" t="str">
        <f aca="false">IF(INDEX(Data_Concentration!$C:$C,8+1)="","",INDEX(Data_Concentration!$C:$C,8+1))</f>
        <v>Meridian Legal</v>
      </c>
      <c r="C12" s="3" t="str">
        <f aca="false">IF(INDEX(Data_Concentration!$D:$D,8+1)="","",INDEX(Data_Concentration!$D:$D,8+1))</f>
        <v>enterprise</v>
      </c>
      <c r="D12" s="3" t="str">
        <f aca="false">IF(INDEX(Data_Concentration!$E:$E,8+1)="","",INDEX(Data_Concentration!$E:$E,8+1))</f>
        <v>direct</v>
      </c>
      <c r="E12" s="21" t="n">
        <f aca="false">IF($A12="","",INDEX(Data_Concentration!$F:$F,8+1)/1000000000)</f>
        <v>258.193536809</v>
      </c>
      <c r="F12" s="31" t="n">
        <f aca="false">IF(INDEX(Data_Concentration!$G:$G,8+1)="","",INDEX(Data_Concentration!$G:$G,8+1))</f>
        <v>12500</v>
      </c>
      <c r="G12" s="25" t="n">
        <f aca="false">IF(OR($A12="",Data_Params!$B$8=0),"",F12/Data_Params!$B$8)</f>
        <v>0.0504632227603726</v>
      </c>
      <c r="H12" s="25" t="n">
        <f aca="false">IF($A12="","",SUM($G$5:G12))</f>
        <v>0.786819701298199</v>
      </c>
    </row>
    <row r="13" customFormat="false" ht="15" hidden="false" customHeight="false" outlineLevel="0" collapsed="false">
      <c r="A13" s="3" t="n">
        <f aca="false">IF(INDEX(Data_Concentration!$A:$A,9+1)="","",INDEX(Data_Concentration!$A:$A,9+1))</f>
        <v>9</v>
      </c>
      <c r="B13" s="3" t="str">
        <f aca="false">IF(INDEX(Data_Concentration!$C:$C,9+1)="","",INDEX(Data_Concentration!$C:$C,9+1))</f>
        <v>Brightpath Logistics</v>
      </c>
      <c r="C13" s="3" t="str">
        <f aca="false">IF(INDEX(Data_Concentration!$D:$D,9+1)="","",INDEX(Data_Concentration!$D:$D,9+1))</f>
        <v>enterprise</v>
      </c>
      <c r="D13" s="3" t="str">
        <f aca="false">IF(INDEX(Data_Concentration!$E:$E,9+1)="","",INDEX(Data_Concentration!$E:$E,9+1))</f>
        <v>direct</v>
      </c>
      <c r="E13" s="21" t="n">
        <f aca="false">IF($A13="","",INDEX(Data_Concentration!$F:$F,9+1)/1000000000)</f>
        <v>59.20250324</v>
      </c>
      <c r="F13" s="31" t="n">
        <f aca="false">IF(INDEX(Data_Concentration!$G:$G,9+1)="","",INDEX(Data_Concentration!$G:$G,9+1))</f>
        <v>10000</v>
      </c>
      <c r="G13" s="25" t="n">
        <f aca="false">IF(OR($A13="",Data_Params!$B$8=0),"",F13/Data_Params!$B$8)</f>
        <v>0.0403705782082981</v>
      </c>
      <c r="H13" s="25" t="n">
        <f aca="false">IF($A13="","",SUM($G$5:G13))</f>
        <v>0.827190279506497</v>
      </c>
    </row>
    <row r="14" customFormat="false" ht="15" hidden="false" customHeight="false" outlineLevel="0" collapsed="false">
      <c r="A14" s="3" t="n">
        <f aca="false">IF(INDEX(Data_Concentration!$A:$A,10+1)="","",INDEX(Data_Concentration!$A:$A,10+1))</f>
        <v>10</v>
      </c>
      <c r="B14" s="3" t="str">
        <f aca="false">IF(INDEX(Data_Concentration!$C:$C,10+1)="","",INDEX(Data_Concentration!$C:$C,10+1))</f>
        <v>Self-serve account</v>
      </c>
      <c r="C14" s="3" t="str">
        <f aca="false">IF(INDEX(Data_Concentration!$D:$D,10+1)="","",INDEX(Data_Concentration!$D:$D,10+1))</f>
        <v>self_serve</v>
      </c>
      <c r="D14" s="3" t="str">
        <f aca="false">IF(INDEX(Data_Concentration!$E:$E,10+1)="","",INDEX(Data_Concentration!$E:$E,10+1))</f>
        <v>vercel</v>
      </c>
      <c r="E14" s="21" t="n">
        <f aca="false">IF($A14="","",INDEX(Data_Concentration!$F:$F,10+1)/1000000000)</f>
        <v>195.642830748</v>
      </c>
      <c r="F14" s="31" t="n">
        <f aca="false">IF(INDEX(Data_Concentration!$G:$G,10+1)="","",INDEX(Data_Concentration!$G:$G,10+1))</f>
        <v>7806.1489468452</v>
      </c>
      <c r="G14" s="25" t="n">
        <f aca="false">IF(OR($A14="",Data_Params!$B$8=0),"",F14/Data_Params!$B$8)</f>
        <v>0.0315138746564238</v>
      </c>
      <c r="H14" s="25" t="n">
        <f aca="false">IF($A14="","",SUM($G$5:G14))</f>
        <v>0.858704154162921</v>
      </c>
    </row>
    <row r="15" customFormat="false" ht="15" hidden="false" customHeight="false" outlineLevel="0" collapsed="false">
      <c r="A15" s="3" t="n">
        <f aca="false">IF(INDEX(Data_Concentration!$A:$A,11+1)="","",INDEX(Data_Concentration!$A:$A,11+1))</f>
        <v>11</v>
      </c>
      <c r="B15" s="3" t="str">
        <f aca="false">IF(INDEX(Data_Concentration!$C:$C,11+1)="","",INDEX(Data_Concentration!$C:$C,11+1))</f>
        <v>Self-serve account</v>
      </c>
      <c r="C15" s="3" t="str">
        <f aca="false">IF(INDEX(Data_Concentration!$D:$D,11+1)="","",INDEX(Data_Concentration!$D:$D,11+1))</f>
        <v>self_serve</v>
      </c>
      <c r="D15" s="3" t="str">
        <f aca="false">IF(INDEX(Data_Concentration!$E:$E,11+1)="","",INDEX(Data_Concentration!$E:$E,11+1))</f>
        <v>direct</v>
      </c>
      <c r="E15" s="21" t="n">
        <f aca="false">IF($A15="","",INDEX(Data_Concentration!$F:$F,11+1)/1000000000)</f>
        <v>78.982042092</v>
      </c>
      <c r="F15" s="31" t="n">
        <f aca="false">IF(INDEX(Data_Concentration!$G:$G,11+1)="","",INDEX(Data_Concentration!$G:$G,11+1))</f>
        <v>3317.245767864</v>
      </c>
      <c r="G15" s="25" t="n">
        <f aca="false">IF(OR($A15="",Data_Params!$B$8=0),"",F15/Data_Params!$B$8)</f>
        <v>0.0133919129707699</v>
      </c>
      <c r="H15" s="25" t="n">
        <f aca="false">IF($A15="","",SUM($G$5:G15))</f>
        <v>0.87209606713369</v>
      </c>
    </row>
    <row r="16" customFormat="false" ht="15" hidden="false" customHeight="false" outlineLevel="0" collapsed="false">
      <c r="A16" s="3" t="n">
        <f aca="false">IF(INDEX(Data_Concentration!$A:$A,12+1)="","",INDEX(Data_Concentration!$A:$A,12+1))</f>
        <v>12</v>
      </c>
      <c r="B16" s="3" t="str">
        <f aca="false">IF(INDEX(Data_Concentration!$C:$C,12+1)="","",INDEX(Data_Concentration!$C:$C,12+1))</f>
        <v>Self-serve account</v>
      </c>
      <c r="C16" s="3" t="str">
        <f aca="false">IF(INDEX(Data_Concentration!$D:$D,12+1)="","",INDEX(Data_Concentration!$D:$D,12+1))</f>
        <v>self_serve</v>
      </c>
      <c r="D16" s="3" t="str">
        <f aca="false">IF(INDEX(Data_Concentration!$E:$E,12+1)="","",INDEX(Data_Concentration!$E:$E,12+1))</f>
        <v>direct</v>
      </c>
      <c r="E16" s="21" t="n">
        <f aca="false">IF($A16="","",INDEX(Data_Concentration!$F:$F,12+1)/1000000000)</f>
        <v>69.868317557</v>
      </c>
      <c r="F16" s="31" t="n">
        <f aca="false">IF(INDEX(Data_Concentration!$G:$G,12+1)="","",INDEX(Data_Concentration!$G:$G,12+1))</f>
        <v>2934.469337394</v>
      </c>
      <c r="G16" s="25" t="n">
        <f aca="false">IF(OR($A16="",Data_Params!$B$8=0),"",F16/Data_Params!$B$8)</f>
        <v>0.0118466223885117</v>
      </c>
      <c r="H16" s="25" t="n">
        <f aca="false">IF($A16="","",SUM($G$5:G16))</f>
        <v>0.883942689522202</v>
      </c>
    </row>
    <row r="17" customFormat="false" ht="15" hidden="false" customHeight="false" outlineLevel="0" collapsed="false">
      <c r="A17" s="3" t="n">
        <f aca="false">IF(INDEX(Data_Concentration!$A:$A,13+1)="","",INDEX(Data_Concentration!$A:$A,13+1))</f>
        <v>13</v>
      </c>
      <c r="B17" s="3" t="str">
        <f aca="false">IF(INDEX(Data_Concentration!$C:$C,13+1)="","",INDEX(Data_Concentration!$C:$C,13+1))</f>
        <v>Self-serve account</v>
      </c>
      <c r="C17" s="3" t="str">
        <f aca="false">IF(INDEX(Data_Concentration!$D:$D,13+1)="","",INDEX(Data_Concentration!$D:$D,13+1))</f>
        <v>self_serve</v>
      </c>
      <c r="D17" s="3" t="str">
        <f aca="false">IF(INDEX(Data_Concentration!$E:$E,13+1)="","",INDEX(Data_Concentration!$E:$E,13+1))</f>
        <v>vercel</v>
      </c>
      <c r="E17" s="21" t="n">
        <f aca="false">IF($A17="","",INDEX(Data_Concentration!$F:$F,13+1)/1000000000)</f>
        <v>34.818921614</v>
      </c>
      <c r="F17" s="31" t="n">
        <f aca="false">IF(INDEX(Data_Concentration!$G:$G,13+1)="","",INDEX(Data_Concentration!$G:$G,13+1))</f>
        <v>1389.2749723986</v>
      </c>
      <c r="G17" s="25" t="n">
        <f aca="false">IF(OR($A17="",Data_Params!$B$8=0),"",F17/Data_Params!$B$8)</f>
        <v>0.00560858339260488</v>
      </c>
      <c r="H17" s="25" t="n">
        <f aca="false">IF($A17="","",SUM($G$5:G17))</f>
        <v>0.889551272914807</v>
      </c>
    </row>
    <row r="18" customFormat="false" ht="15" hidden="false" customHeight="false" outlineLevel="0" collapsed="false">
      <c r="A18" s="3" t="n">
        <f aca="false">IF(INDEX(Data_Concentration!$A:$A,14+1)="","",INDEX(Data_Concentration!$A:$A,14+1))</f>
        <v>14</v>
      </c>
      <c r="B18" s="3" t="str">
        <f aca="false">IF(INDEX(Data_Concentration!$C:$C,14+1)="","",INDEX(Data_Concentration!$C:$C,14+1))</f>
        <v>Self-serve account</v>
      </c>
      <c r="C18" s="3" t="str">
        <f aca="false">IF(INDEX(Data_Concentration!$D:$D,14+1)="","",INDEX(Data_Concentration!$D:$D,14+1))</f>
        <v>self_serve</v>
      </c>
      <c r="D18" s="3" t="str">
        <f aca="false">IF(INDEX(Data_Concentration!$E:$E,14+1)="","",INDEX(Data_Concentration!$E:$E,14+1))</f>
        <v>direct</v>
      </c>
      <c r="E18" s="21" t="n">
        <f aca="false">IF($A18="","",INDEX(Data_Concentration!$F:$F,14+1)/1000000000)</f>
        <v>25.721384957</v>
      </c>
      <c r="F18" s="31" t="n">
        <f aca="false">IF(INDEX(Data_Concentration!$G:$G,14+1)="","",INDEX(Data_Concentration!$G:$G,14+1))</f>
        <v>1080.298168194</v>
      </c>
      <c r="G18" s="25" t="n">
        <f aca="false">IF(OR($A18="",Data_Params!$B$8=0),"",F18/Data_Params!$B$8)</f>
        <v>0.0043612261687357</v>
      </c>
      <c r="H18" s="25" t="n">
        <f aca="false">IF($A18="","",SUM($G$5:G18))</f>
        <v>0.893912499083543</v>
      </c>
    </row>
    <row r="19" customFormat="false" ht="15" hidden="false" customHeight="false" outlineLevel="0" collapsed="false">
      <c r="A19" s="3" t="n">
        <f aca="false">IF(INDEX(Data_Concentration!$A:$A,15+1)="","",INDEX(Data_Concentration!$A:$A,15+1))</f>
        <v>15</v>
      </c>
      <c r="B19" s="3" t="str">
        <f aca="false">IF(INDEX(Data_Concentration!$C:$C,15+1)="","",INDEX(Data_Concentration!$C:$C,15+1))</f>
        <v>Self-serve account</v>
      </c>
      <c r="C19" s="3" t="str">
        <f aca="false">IF(INDEX(Data_Concentration!$D:$D,15+1)="","",INDEX(Data_Concentration!$D:$D,15+1))</f>
        <v>self_serve</v>
      </c>
      <c r="D19" s="3" t="str">
        <f aca="false">IF(INDEX(Data_Concentration!$E:$E,15+1)="","",INDEX(Data_Concentration!$E:$E,15+1))</f>
        <v>vercel</v>
      </c>
      <c r="E19" s="21" t="n">
        <f aca="false">IF($A19="","",INDEX(Data_Concentration!$F:$F,15+1)/1000000000)</f>
        <v>23.188031643</v>
      </c>
      <c r="F19" s="31" t="n">
        <f aca="false">IF(INDEX(Data_Concentration!$G:$G,15+1)="","",INDEX(Data_Concentration!$G:$G,15+1))</f>
        <v>925.2024625557</v>
      </c>
      <c r="G19" s="25" t="n">
        <f aca="false">IF(OR($A19="",Data_Params!$B$8=0),"",F19/Data_Params!$B$8)</f>
        <v>0.00373509583731148</v>
      </c>
      <c r="H19" s="25" t="n">
        <f aca="false">IF($A19="","",SUM($G$5:G19))</f>
        <v>0.897647594920854</v>
      </c>
    </row>
    <row r="20" customFormat="false" ht="15" hidden="false" customHeight="false" outlineLevel="0" collapsed="false">
      <c r="A20" s="3" t="n">
        <f aca="false">IF(INDEX(Data_Concentration!$A:$A,16+1)="","",INDEX(Data_Concentration!$A:$A,16+1))</f>
        <v>16</v>
      </c>
      <c r="B20" s="3" t="str">
        <f aca="false">IF(INDEX(Data_Concentration!$C:$C,16+1)="","",INDEX(Data_Concentration!$C:$C,16+1))</f>
        <v>Self-serve account</v>
      </c>
      <c r="C20" s="3" t="str">
        <f aca="false">IF(INDEX(Data_Concentration!$D:$D,16+1)="","",INDEX(Data_Concentration!$D:$D,16+1))</f>
        <v>self_serve</v>
      </c>
      <c r="D20" s="3" t="str">
        <f aca="false">IF(INDEX(Data_Concentration!$E:$E,16+1)="","",INDEX(Data_Concentration!$E:$E,16+1))</f>
        <v>direct</v>
      </c>
      <c r="E20" s="21" t="n">
        <f aca="false">IF($A20="","",INDEX(Data_Concentration!$F:$F,16+1)/1000000000)</f>
        <v>19.436344066</v>
      </c>
      <c r="F20" s="31" t="n">
        <f aca="false">IF(INDEX(Data_Concentration!$G:$G,16+1)="","",INDEX(Data_Concentration!$G:$G,16+1))</f>
        <v>816.326450772</v>
      </c>
      <c r="G20" s="25" t="n">
        <f aca="false">IF(OR($A20="",Data_Params!$B$8=0),"",F20/Data_Params!$B$8)</f>
        <v>0.00329555708243934</v>
      </c>
      <c r="H20" s="25" t="n">
        <f aca="false">IF($A20="","",SUM($G$5:G20))</f>
        <v>0.900943152003294</v>
      </c>
    </row>
    <row r="21" customFormat="false" ht="15" hidden="false" customHeight="false" outlineLevel="0" collapsed="false">
      <c r="A21" s="3" t="n">
        <f aca="false">IF(INDEX(Data_Concentration!$A:$A,17+1)="","",INDEX(Data_Concentration!$A:$A,17+1))</f>
        <v>17</v>
      </c>
      <c r="B21" s="3" t="str">
        <f aca="false">IF(INDEX(Data_Concentration!$C:$C,17+1)="","",INDEX(Data_Concentration!$C:$C,17+1))</f>
        <v>Self-serve account</v>
      </c>
      <c r="C21" s="3" t="str">
        <f aca="false">IF(INDEX(Data_Concentration!$D:$D,17+1)="","",INDEX(Data_Concentration!$D:$D,17+1))</f>
        <v>self_serve</v>
      </c>
      <c r="D21" s="3" t="str">
        <f aca="false">IF(INDEX(Data_Concentration!$E:$E,17+1)="","",INDEX(Data_Concentration!$E:$E,17+1))</f>
        <v>vercel</v>
      </c>
      <c r="E21" s="21" t="n">
        <f aca="false">IF($A21="","",INDEX(Data_Concentration!$F:$F,17+1)/1000000000)</f>
        <v>18.858155995</v>
      </c>
      <c r="F21" s="31" t="n">
        <f aca="false">IF(INDEX(Data_Concentration!$G:$G,17+1)="","",INDEX(Data_Concentration!$G:$G,17+1))</f>
        <v>752.4404242005</v>
      </c>
      <c r="G21" s="25" t="n">
        <f aca="false">IF(OR($A21="",Data_Params!$B$8=0),"",F21/Data_Params!$B$8)</f>
        <v>0.00303764549922713</v>
      </c>
      <c r="H21" s="25" t="n">
        <f aca="false">IF($A21="","",SUM($G$5:G21))</f>
        <v>0.903980797502521</v>
      </c>
    </row>
    <row r="22" customFormat="false" ht="15" hidden="false" customHeight="false" outlineLevel="0" collapsed="false">
      <c r="A22" s="3" t="n">
        <f aca="false">IF(INDEX(Data_Concentration!$A:$A,18+1)="","",INDEX(Data_Concentration!$A:$A,18+1))</f>
        <v>18</v>
      </c>
      <c r="B22" s="3" t="str">
        <f aca="false">IF(INDEX(Data_Concentration!$C:$C,18+1)="","",INDEX(Data_Concentration!$C:$C,18+1))</f>
        <v>Self-serve account</v>
      </c>
      <c r="C22" s="3" t="str">
        <f aca="false">IF(INDEX(Data_Concentration!$D:$D,18+1)="","",INDEX(Data_Concentration!$D:$D,18+1))</f>
        <v>self_serve</v>
      </c>
      <c r="D22" s="3" t="str">
        <f aca="false">IF(INDEX(Data_Concentration!$E:$E,18+1)="","",INDEX(Data_Concentration!$E:$E,18+1))</f>
        <v>direct</v>
      </c>
      <c r="E22" s="21" t="n">
        <f aca="false">IF($A22="","",INDEX(Data_Concentration!$F:$F,18+1)/1000000000)</f>
        <v>17.685187852</v>
      </c>
      <c r="F22" s="31" t="n">
        <f aca="false">IF(INDEX(Data_Concentration!$G:$G,18+1)="","",INDEX(Data_Concentration!$G:$G,18+1))</f>
        <v>742.777889784</v>
      </c>
      <c r="G22" s="25" t="n">
        <f aca="false">IF(OR($A22="",Data_Params!$B$8=0),"",F22/Data_Params!$B$8)</f>
        <v>0.00299863728909196</v>
      </c>
      <c r="H22" s="25" t="n">
        <f aca="false">IF($A22="","",SUM($G$5:G22))</f>
        <v>0.906979434791613</v>
      </c>
    </row>
    <row r="23" customFormat="false" ht="15" hidden="false" customHeight="false" outlineLevel="0" collapsed="false">
      <c r="A23" s="3" t="n">
        <f aca="false">IF(INDEX(Data_Concentration!$A:$A,19+1)="","",INDEX(Data_Concentration!$A:$A,19+1))</f>
        <v>19</v>
      </c>
      <c r="B23" s="3" t="str">
        <f aca="false">IF(INDEX(Data_Concentration!$C:$C,19+1)="","",INDEX(Data_Concentration!$C:$C,19+1))</f>
        <v>Self-serve account</v>
      </c>
      <c r="C23" s="3" t="str">
        <f aca="false">IF(INDEX(Data_Concentration!$D:$D,19+1)="","",INDEX(Data_Concentration!$D:$D,19+1))</f>
        <v>self_serve</v>
      </c>
      <c r="D23" s="3" t="str">
        <f aca="false">IF(INDEX(Data_Concentration!$E:$E,19+1)="","",INDEX(Data_Concentration!$E:$E,19+1))</f>
        <v>vercel</v>
      </c>
      <c r="E23" s="21" t="n">
        <f aca="false">IF($A23="","",INDEX(Data_Concentration!$F:$F,19+1)/1000000000)</f>
        <v>17.540148482</v>
      </c>
      <c r="F23" s="31" t="n">
        <f aca="false">IF(INDEX(Data_Concentration!$G:$G,19+1)="","",INDEX(Data_Concentration!$G:$G,19+1))</f>
        <v>699.8519244318</v>
      </c>
      <c r="G23" s="25" t="n">
        <f aca="false">IF(OR($A23="",Data_Params!$B$8=0),"",F23/Data_Params!$B$8)</f>
        <v>0.00282534268495019</v>
      </c>
      <c r="H23" s="25" t="n">
        <f aca="false">IF($A23="","",SUM($G$5:G23))</f>
        <v>0.909804777476563</v>
      </c>
    </row>
    <row r="24" customFormat="false" ht="15" hidden="false" customHeight="false" outlineLevel="0" collapsed="false">
      <c r="A24" s="3" t="n">
        <f aca="false">IF(INDEX(Data_Concentration!$A:$A,20+1)="","",INDEX(Data_Concentration!$A:$A,20+1))</f>
        <v>20</v>
      </c>
      <c r="B24" s="3" t="str">
        <f aca="false">IF(INDEX(Data_Concentration!$C:$C,20+1)="","",INDEX(Data_Concentration!$C:$C,20+1))</f>
        <v>Self-serve account</v>
      </c>
      <c r="C24" s="3" t="str">
        <f aca="false">IF(INDEX(Data_Concentration!$D:$D,20+1)="","",INDEX(Data_Concentration!$D:$D,20+1))</f>
        <v>self_serve</v>
      </c>
      <c r="D24" s="3" t="str">
        <f aca="false">IF(INDEX(Data_Concentration!$E:$E,20+1)="","",INDEX(Data_Concentration!$E:$E,20+1))</f>
        <v>direct</v>
      </c>
      <c r="E24" s="21" t="n">
        <f aca="false">IF($A24="","",INDEX(Data_Concentration!$F:$F,20+1)/1000000000)</f>
        <v>14.817623975</v>
      </c>
      <c r="F24" s="31" t="n">
        <f aca="false">IF(INDEX(Data_Concentration!$G:$G,20+1)="","",INDEX(Data_Concentration!$G:$G,20+1))</f>
        <v>622.34020695</v>
      </c>
      <c r="G24" s="25" t="n">
        <f aca="false">IF(OR($A24="",Data_Params!$B$8=0),"",F24/Data_Params!$B$8)</f>
        <v>0.00251242339968434</v>
      </c>
      <c r="H24" s="25" t="n">
        <f aca="false">IF($A24="","",SUM($G$5:G24))</f>
        <v>0.912317200876247</v>
      </c>
    </row>
    <row r="25" customFormat="false" ht="15" hidden="false" customHeight="false" outlineLevel="0" collapsed="false">
      <c r="A25" s="3" t="n">
        <f aca="false">IF(INDEX(Data_Concentration!$A:$A,21+1)="","",INDEX(Data_Concentration!$A:$A,21+1))</f>
        <v>21</v>
      </c>
      <c r="B25" s="3" t="str">
        <f aca="false">IF(INDEX(Data_Concentration!$C:$C,21+1)="","",INDEX(Data_Concentration!$C:$C,21+1))</f>
        <v>Self-serve account</v>
      </c>
      <c r="C25" s="3" t="str">
        <f aca="false">IF(INDEX(Data_Concentration!$D:$D,21+1)="","",INDEX(Data_Concentration!$D:$D,21+1))</f>
        <v>self_serve</v>
      </c>
      <c r="D25" s="3" t="str">
        <f aca="false">IF(INDEX(Data_Concentration!$E:$E,21+1)="","",INDEX(Data_Concentration!$E:$E,21+1))</f>
        <v>direct</v>
      </c>
      <c r="E25" s="21" t="n">
        <f aca="false">IF($A25="","",INDEX(Data_Concentration!$F:$F,21+1)/1000000000)</f>
        <v>13.211494591</v>
      </c>
      <c r="F25" s="31" t="n">
        <f aca="false">IF(INDEX(Data_Concentration!$G:$G,21+1)="","",INDEX(Data_Concentration!$G:$G,21+1))</f>
        <v>554.882772822</v>
      </c>
      <c r="G25" s="25" t="n">
        <f aca="false">IF(OR($A25="",Data_Params!$B$8=0),"",F25/Data_Params!$B$8)</f>
        <v>0.00224009383766478</v>
      </c>
      <c r="H25" s="25" t="n">
        <f aca="false">IF($A25="","",SUM($G$5:G25))</f>
        <v>0.914557294713912</v>
      </c>
    </row>
    <row r="26" customFormat="false" ht="15" hidden="false" customHeight="false" outlineLevel="0" collapsed="false">
      <c r="A26" s="3" t="n">
        <f aca="false">IF(INDEX(Data_Concentration!$A:$A,22+1)="","",INDEX(Data_Concentration!$A:$A,22+1))</f>
        <v>22</v>
      </c>
      <c r="B26" s="3" t="str">
        <f aca="false">IF(INDEX(Data_Concentration!$C:$C,22+1)="","",INDEX(Data_Concentration!$C:$C,22+1))</f>
        <v>Self-serve account</v>
      </c>
      <c r="C26" s="3" t="str">
        <f aca="false">IF(INDEX(Data_Concentration!$D:$D,22+1)="","",INDEX(Data_Concentration!$D:$D,22+1))</f>
        <v>self_serve</v>
      </c>
      <c r="D26" s="3" t="str">
        <f aca="false">IF(INDEX(Data_Concentration!$E:$E,22+1)="","",INDEX(Data_Concentration!$E:$E,22+1))</f>
        <v>direct</v>
      </c>
      <c r="E26" s="21" t="n">
        <f aca="false">IF($A26="","",INDEX(Data_Concentration!$F:$F,22+1)/1000000000)</f>
        <v>12.639665803</v>
      </c>
      <c r="F26" s="31" t="n">
        <f aca="false">IF(INDEX(Data_Concentration!$G:$G,22+1)="","",INDEX(Data_Concentration!$G:$G,22+1))</f>
        <v>530.865963726</v>
      </c>
      <c r="G26" s="25" t="n">
        <f aca="false">IF(OR($A26="",Data_Params!$B$8=0),"",F26/Data_Params!$B$8)</f>
        <v>0.0021431365906724</v>
      </c>
      <c r="H26" s="25" t="n">
        <f aca="false">IF($A26="","",SUM($G$5:G26))</f>
        <v>0.916700431304584</v>
      </c>
    </row>
    <row r="27" customFormat="false" ht="15" hidden="false" customHeight="false" outlineLevel="0" collapsed="false">
      <c r="A27" s="3" t="n">
        <f aca="false">IF(INDEX(Data_Concentration!$A:$A,23+1)="","",INDEX(Data_Concentration!$A:$A,23+1))</f>
        <v>23</v>
      </c>
      <c r="B27" s="3" t="str">
        <f aca="false">IF(INDEX(Data_Concentration!$C:$C,23+1)="","",INDEX(Data_Concentration!$C:$C,23+1))</f>
        <v>Self-serve account</v>
      </c>
      <c r="C27" s="3" t="str">
        <f aca="false">IF(INDEX(Data_Concentration!$D:$D,23+1)="","",INDEX(Data_Concentration!$D:$D,23+1))</f>
        <v>self_serve</v>
      </c>
      <c r="D27" s="3" t="str">
        <f aca="false">IF(INDEX(Data_Concentration!$E:$E,23+1)="","",INDEX(Data_Concentration!$E:$E,23+1))</f>
        <v>vercel</v>
      </c>
      <c r="E27" s="21" t="n">
        <f aca="false">IF($A27="","",INDEX(Data_Concentration!$F:$F,23+1)/1000000000)</f>
        <v>13.026487002</v>
      </c>
      <c r="F27" s="31" t="n">
        <f aca="false">IF(INDEX(Data_Concentration!$G:$G,23+1)="","",INDEX(Data_Concentration!$G:$G,23+1))</f>
        <v>519.7568313798</v>
      </c>
      <c r="G27" s="25" t="n">
        <f aca="false">IF(OR($A27="",Data_Params!$B$8=0),"",F27/Data_Params!$B$8)</f>
        <v>0.00209828838105154</v>
      </c>
      <c r="H27" s="25" t="n">
        <f aca="false">IF($A27="","",SUM($G$5:G27))</f>
        <v>0.918798719685636</v>
      </c>
    </row>
    <row r="28" customFormat="false" ht="15" hidden="false" customHeight="false" outlineLevel="0" collapsed="false">
      <c r="A28" s="3" t="n">
        <f aca="false">IF(INDEX(Data_Concentration!$A:$A,24+1)="","",INDEX(Data_Concentration!$A:$A,24+1))</f>
        <v>24</v>
      </c>
      <c r="B28" s="3" t="str">
        <f aca="false">IF(INDEX(Data_Concentration!$C:$C,24+1)="","",INDEX(Data_Concentration!$C:$C,24+1))</f>
        <v>Self-serve account</v>
      </c>
      <c r="C28" s="3" t="str">
        <f aca="false">IF(INDEX(Data_Concentration!$D:$D,24+1)="","",INDEX(Data_Concentration!$D:$D,24+1))</f>
        <v>self_serve</v>
      </c>
      <c r="D28" s="3" t="str">
        <f aca="false">IF(INDEX(Data_Concentration!$E:$E,24+1)="","",INDEX(Data_Concentration!$E:$E,24+1))</f>
        <v>direct</v>
      </c>
      <c r="E28" s="21" t="n">
        <f aca="false">IF($A28="","",INDEX(Data_Concentration!$F:$F,24+1)/1000000000)</f>
        <v>12.108421536</v>
      </c>
      <c r="F28" s="31" t="n">
        <f aca="false">IF(INDEX(Data_Concentration!$G:$G,24+1)="","",INDEX(Data_Concentration!$G:$G,24+1))</f>
        <v>508.553704512</v>
      </c>
      <c r="G28" s="25" t="n">
        <f aca="false">IF(OR($A28="",Data_Params!$B$8=0),"",F28/Data_Params!$B$8)</f>
        <v>0.00205306071011214</v>
      </c>
      <c r="H28" s="25" t="n">
        <f aca="false">IF($A28="","",SUM($G$5:G28))</f>
        <v>0.920851780395748</v>
      </c>
    </row>
    <row r="29" customFormat="false" ht="15" hidden="false" customHeight="false" outlineLevel="0" collapsed="false">
      <c r="A29" s="3" t="n">
        <f aca="false">IF(INDEX(Data_Concentration!$A:$A,25+1)="","",INDEX(Data_Concentration!$A:$A,25+1))</f>
        <v>25</v>
      </c>
      <c r="B29" s="3" t="str">
        <f aca="false">IF(INDEX(Data_Concentration!$C:$C,25+1)="","",INDEX(Data_Concentration!$C:$C,25+1))</f>
        <v>Self-serve account</v>
      </c>
      <c r="C29" s="3" t="str">
        <f aca="false">IF(INDEX(Data_Concentration!$D:$D,25+1)="","",INDEX(Data_Concentration!$D:$D,25+1))</f>
        <v>self_serve</v>
      </c>
      <c r="D29" s="3" t="str">
        <f aca="false">IF(INDEX(Data_Concentration!$E:$E,25+1)="","",INDEX(Data_Concentration!$E:$E,25+1))</f>
        <v>direct</v>
      </c>
      <c r="E29" s="21" t="n">
        <f aca="false">IF($A29="","",INDEX(Data_Concentration!$F:$F,25+1)/1000000000)</f>
        <v>11.44149276</v>
      </c>
      <c r="F29" s="31" t="n">
        <f aca="false">IF(INDEX(Data_Concentration!$G:$G,25+1)="","",INDEX(Data_Concentration!$G:$G,25+1))</f>
        <v>480.54269592</v>
      </c>
      <c r="G29" s="25" t="n">
        <f aca="false">IF(OR($A29="",Data_Params!$B$8=0),"",F29/Data_Params!$B$8)</f>
        <v>0.00193997864880648</v>
      </c>
      <c r="H29" s="25" t="n">
        <f aca="false">IF($A29="","",SUM($G$5:G29))</f>
        <v>0.922791759044555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2"/>
    <col collapsed="false" customWidth="true" hidden="false" outlineLevel="0" max="19" min="6" style="0" width="10"/>
  </cols>
  <sheetData>
    <row r="1" customFormat="false" ht="17.35" hidden="false" customHeight="false" outlineLevel="0" collapsed="false">
      <c r="A1" s="1" t="str">
        <f aca="false">Data_Params!$B$14&amp;" | Demand forecast: next three months"</f>
        <v>Example Co (synthetic data) | Demand forecast: next three months</v>
      </c>
    </row>
    <row r="2" customFormat="false" ht="15" hidden="false" customHeight="false" outlineLevel="0" collapsed="false">
      <c r="A2" s="7" t="s">
        <v>138</v>
      </c>
    </row>
    <row r="4" customFormat="false" ht="15" hidden="false" customHeight="false" outlineLevel="0" collapsed="false">
      <c r="A4" s="2" t="s">
        <v>139</v>
      </c>
    </row>
    <row r="5" customFormat="false" ht="15" hidden="false" customHeight="false" outlineLevel="0" collapsed="false">
      <c r="A5" s="8" t="s">
        <v>140</v>
      </c>
      <c r="B5" s="8" t="s">
        <v>37</v>
      </c>
      <c r="C5" s="8" t="s">
        <v>38</v>
      </c>
      <c r="D5" s="8" t="s">
        <v>39</v>
      </c>
      <c r="E5" s="8" t="s">
        <v>141</v>
      </c>
    </row>
    <row r="6" customFormat="false" ht="15" hidden="false" customHeight="false" outlineLevel="0" collapsed="false">
      <c r="A6" s="3" t="s">
        <v>142</v>
      </c>
      <c r="B6" s="34" t="n">
        <f aca="false">Overrides!$E$8</f>
        <v>0.93</v>
      </c>
      <c r="C6" s="35" t="n">
        <f aca="false">Overrides!$E$9</f>
        <v>0.97</v>
      </c>
      <c r="D6" s="34" t="n">
        <f aca="false">Overrides!$E$10</f>
        <v>1</v>
      </c>
      <c r="E6" s="7" t="s">
        <v>143</v>
      </c>
    </row>
    <row r="7" customFormat="false" ht="15" hidden="false" customHeight="false" outlineLevel="0" collapsed="false">
      <c r="A7" s="3" t="s">
        <v>144</v>
      </c>
      <c r="B7" s="11" t="n">
        <f aca="false">Overrides!$E$20</f>
        <v>0</v>
      </c>
      <c r="C7" s="25" t="n">
        <f aca="false">IF(AND(B29&gt;0,B32&gt;0),(B32/B29)^(1/3)-1,0)</f>
        <v>0.0811129117605862</v>
      </c>
      <c r="D7" s="25" t="n">
        <f aca="false">2*C7</f>
        <v>0.162225823521172</v>
      </c>
      <c r="E7" s="7" t="s">
        <v>145</v>
      </c>
    </row>
    <row r="8" customFormat="false" ht="15" hidden="false" customHeight="false" outlineLevel="0" collapsed="false">
      <c r="A8" s="3" t="s">
        <v>146</v>
      </c>
      <c r="B8" s="36" t="n">
        <f aca="false">IF(COUNT(C30:C32)=0,0,MIN(C30:C32))</f>
        <v>0.00195588686008666</v>
      </c>
      <c r="C8" s="36" t="n">
        <f aca="false">IF(COUNT(C30:C32)=0,0,AVERAGE(C30:C32))</f>
        <v>0.0027384999820764</v>
      </c>
      <c r="D8" s="36" t="n">
        <f aca="false">IF(COUNT(C30:C32)=0,0,MAX(C30:C32))</f>
        <v>0.00369076583217428</v>
      </c>
      <c r="E8" s="7" t="s">
        <v>147</v>
      </c>
    </row>
    <row r="9" customFormat="false" ht="15" hidden="false" customHeight="false" outlineLevel="0" collapsed="false">
      <c r="A9" s="3" t="s">
        <v>148</v>
      </c>
      <c r="B9" s="25" t="n">
        <f aca="false">MIN(0,B118)</f>
        <v>0</v>
      </c>
      <c r="C9" s="25" t="n">
        <f aca="false">B118*C10</f>
        <v>0.151668793413422</v>
      </c>
      <c r="D9" s="25" t="n">
        <f aca="false">MAX(0,B118)</f>
        <v>0.303337586826845</v>
      </c>
      <c r="E9" s="7" t="s">
        <v>149</v>
      </c>
    </row>
    <row r="10" customFormat="false" ht="15" hidden="false" customHeight="false" outlineLevel="0" collapsed="false">
      <c r="A10" s="3" t="s">
        <v>150</v>
      </c>
      <c r="C10" s="35" t="n">
        <f aca="false">Overrides!$E$21</f>
        <v>0.5</v>
      </c>
      <c r="E10" s="7" t="s">
        <v>151</v>
      </c>
    </row>
    <row r="11" customFormat="false" ht="15" hidden="false" customHeight="false" outlineLevel="0" collapsed="false">
      <c r="A11" s="3" t="s">
        <v>152</v>
      </c>
      <c r="B11" s="11" t="n">
        <f aca="false">Overrides!$E$11</f>
        <v>0.8</v>
      </c>
      <c r="C11" s="37" t="n">
        <f aca="false">Overrides!$E$12</f>
        <v>1</v>
      </c>
      <c r="D11" s="11" t="n">
        <f aca="false">Overrides!$E$13</f>
        <v>1.2</v>
      </c>
      <c r="E11" s="7" t="s">
        <v>153</v>
      </c>
    </row>
    <row r="12" customFormat="false" ht="15" hidden="false" customHeight="false" outlineLevel="0" collapsed="false">
      <c r="A12" s="3" t="s">
        <v>154</v>
      </c>
      <c r="B12" s="11" t="n">
        <f aca="false">Overrides!$E$14</f>
        <v>0</v>
      </c>
      <c r="C12" s="11" t="n">
        <f aca="false">Overrides!$E$15</f>
        <v>0.03</v>
      </c>
      <c r="D12" s="11" t="n">
        <f aca="false">Overrides!$E$16</f>
        <v>0.06</v>
      </c>
      <c r="E12" s="7"/>
    </row>
    <row r="13" customFormat="false" ht="15" hidden="false" customHeight="false" outlineLevel="0" collapsed="false">
      <c r="A13" s="3" t="s">
        <v>155</v>
      </c>
      <c r="C13" s="12" t="n">
        <f aca="false">Overrides!$E$22</f>
        <v>60</v>
      </c>
      <c r="E13" s="7" t="s">
        <v>156</v>
      </c>
    </row>
    <row r="14" customFormat="false" ht="15" hidden="false" customHeight="false" outlineLevel="0" collapsed="false">
      <c r="A14" s="3" t="s">
        <v>157</v>
      </c>
      <c r="C14" s="13" t="n">
        <f aca="false">Overrides!$E$23</f>
        <v>0.0406174939020922</v>
      </c>
      <c r="E14" s="7" t="s">
        <v>158</v>
      </c>
    </row>
    <row r="15" customFormat="false" ht="15" hidden="false" customHeight="false" outlineLevel="0" collapsed="false">
      <c r="A15" s="3" t="s">
        <v>159</v>
      </c>
      <c r="C15" s="13" t="n">
        <f aca="false">Overrides!$E$24</f>
        <v>0.0399000000000001</v>
      </c>
      <c r="E15" s="7"/>
    </row>
    <row r="16" customFormat="false" ht="15" hidden="false" customHeight="false" outlineLevel="0" collapsed="false">
      <c r="A16" s="3" t="s">
        <v>160</v>
      </c>
      <c r="C16" s="29" t="n">
        <f aca="false">SUMIFS(Data_EarlierCohorts!$B:$B,Data_EarlierCohorts!$A:$A,Data_Params!$B$2)/MAX(1,SUMIFS(Data_Months!$B:$B,Data_Months!$A:$A,Data_Params!$B$2))/1000000000</f>
        <v>0</v>
      </c>
      <c r="E16" s="7" t="s">
        <v>161</v>
      </c>
    </row>
    <row r="17" customFormat="false" ht="15" hidden="false" customHeight="false" outlineLevel="0" collapsed="false">
      <c r="A17" s="3" t="s">
        <v>162</v>
      </c>
      <c r="B17" s="11" t="n">
        <f aca="false">Overrides!$E$17</f>
        <v>0.03</v>
      </c>
      <c r="C17" s="37" t="n">
        <f aca="false">Overrides!$E$18</f>
        <v>0</v>
      </c>
      <c r="D17" s="11" t="n">
        <f aca="false">Overrides!$E$19</f>
        <v>0</v>
      </c>
      <c r="E17" s="7" t="s">
        <v>163</v>
      </c>
    </row>
    <row r="19" customFormat="false" ht="15" hidden="false" customHeight="false" outlineLevel="0" collapsed="false">
      <c r="A19" s="2" t="s">
        <v>164</v>
      </c>
    </row>
    <row r="20" customFormat="false" ht="23.85" hidden="false" customHeight="false" outlineLevel="0" collapsed="false">
      <c r="A20" s="8" t="s">
        <v>165</v>
      </c>
      <c r="B20" s="8" t="s">
        <v>97</v>
      </c>
      <c r="C20" s="8" t="s">
        <v>166</v>
      </c>
      <c r="D20" s="8" t="s">
        <v>99</v>
      </c>
      <c r="E20" s="8" t="s">
        <v>100</v>
      </c>
      <c r="F20" s="8" t="s">
        <v>101</v>
      </c>
      <c r="G20" s="8" t="s">
        <v>102</v>
      </c>
      <c r="H20" s="8" t="s">
        <v>103</v>
      </c>
      <c r="I20" s="8" t="s">
        <v>104</v>
      </c>
      <c r="J20" s="8" t="s">
        <v>105</v>
      </c>
      <c r="K20" s="8" t="s">
        <v>106</v>
      </c>
      <c r="L20" s="8" t="s">
        <v>107</v>
      </c>
      <c r="M20" s="8" t="s">
        <v>108</v>
      </c>
      <c r="N20" s="8" t="s">
        <v>109</v>
      </c>
      <c r="O20" s="8" t="s">
        <v>110</v>
      </c>
    </row>
    <row r="21" customFormat="false" ht="15" hidden="false" customHeight="false" outlineLevel="0" collapsed="false">
      <c r="A21" s="28" t="n">
        <f aca="false">EDATE(Data_Params!$B$3,0)</f>
        <v>46082</v>
      </c>
      <c r="B21" s="23" t="n">
        <f aca="false">SUMIFS(Data_Signups!$B:$B,Data_Signups!$A:$A,$A21)</f>
        <v>0</v>
      </c>
      <c r="C21" s="36" t="str">
        <f aca="false">IF(B21&gt;0,D21/B21,"")</f>
        <v/>
      </c>
      <c r="D21" s="29" t="n">
        <f aca="false">SUMIFS(Data_Cohort!$C:$C,Data_Cohort!$A:$A,$A21,Data_Cohort!$B:$B,0)/MAX(1,SUMIFS(Data_Months!$B:$B,Data_Months!$A:$A,EDATE($A21,0)))/1000000000</f>
        <v>0</v>
      </c>
      <c r="E21" s="29" t="n">
        <f aca="false">SUMIFS(Data_Cohort!$C:$C,Data_Cohort!$A:$A,$A21,Data_Cohort!$B:$B,1)/MAX(1,SUMIFS(Data_Months!$B:$B,Data_Months!$A:$A,EDATE($A21,1)))/1000000000</f>
        <v>0</v>
      </c>
      <c r="F21" s="29" t="n">
        <f aca="false">SUMIFS(Data_Cohort!$C:$C,Data_Cohort!$A:$A,$A21,Data_Cohort!$B:$B,2)/MAX(1,SUMIFS(Data_Months!$B:$B,Data_Months!$A:$A,EDATE($A21,2)))/1000000000</f>
        <v>0</v>
      </c>
      <c r="G21" s="29" t="n">
        <f aca="false">SUMIFS(Data_Cohort!$C:$C,Data_Cohort!$A:$A,$A21,Data_Cohort!$B:$B,3)/MAX(1,SUMIFS(Data_Months!$B:$B,Data_Months!$A:$A,EDATE($A21,3)))/1000000000</f>
        <v>0</v>
      </c>
      <c r="H21" s="29" t="n">
        <f aca="false">SUMIFS(Data_Cohort!$C:$C,Data_Cohort!$A:$A,$A21,Data_Cohort!$B:$B,4)/MAX(1,SUMIFS(Data_Months!$B:$B,Data_Months!$A:$A,EDATE($A21,4)))/1000000000</f>
        <v>0</v>
      </c>
      <c r="I21" s="29" t="n">
        <f aca="false">SUMIFS(Data_Cohort!$C:$C,Data_Cohort!$A:$A,$A21,Data_Cohort!$B:$B,5)/MAX(1,SUMIFS(Data_Months!$B:$B,Data_Months!$A:$A,EDATE($A21,5)))/1000000000</f>
        <v>0</v>
      </c>
      <c r="J21" s="29" t="n">
        <f aca="false">SUMIFS(Data_Cohort!$C:$C,Data_Cohort!$A:$A,$A21,Data_Cohort!$B:$B,6)/MAX(1,SUMIFS(Data_Months!$B:$B,Data_Months!$A:$A,EDATE($A21,6)))/1000000000</f>
        <v>0</v>
      </c>
      <c r="K21" s="29" t="n">
        <f aca="false">SUMIFS(Data_Cohort!$C:$C,Data_Cohort!$A:$A,$A21,Data_Cohort!$B:$B,7)/MAX(1,SUMIFS(Data_Months!$B:$B,Data_Months!$A:$A,EDATE($A21,7)))/1000000000</f>
        <v>0</v>
      </c>
      <c r="L21" s="29" t="n">
        <f aca="false">SUMIFS(Data_Cohort!$C:$C,Data_Cohort!$A:$A,$A21,Data_Cohort!$B:$B,8)/MAX(1,SUMIFS(Data_Months!$B:$B,Data_Months!$A:$A,EDATE($A21,8)))/1000000000</f>
        <v>0</v>
      </c>
      <c r="M21" s="29" t="n">
        <f aca="false">SUMIFS(Data_Cohort!$C:$C,Data_Cohort!$A:$A,$A21,Data_Cohort!$B:$B,9)/MAX(1,SUMIFS(Data_Months!$B:$B,Data_Months!$A:$A,EDATE($A21,9)))/1000000000</f>
        <v>0</v>
      </c>
      <c r="N21" s="29" t="n">
        <f aca="false">SUMIFS(Data_Cohort!$C:$C,Data_Cohort!$A:$A,$A21,Data_Cohort!$B:$B,10)/MAX(1,SUMIFS(Data_Months!$B:$B,Data_Months!$A:$A,EDATE($A21,10)))/1000000000</f>
        <v>0</v>
      </c>
      <c r="O21" s="29" t="n">
        <f aca="false">SUMIFS(Data_Cohort!$C:$C,Data_Cohort!$A:$A,$A21,Data_Cohort!$B:$B,11)/MAX(1,SUMIFS(Data_Months!$B:$B,Data_Months!$A:$A,EDATE($A21,11)))/1000000000</f>
        <v>0</v>
      </c>
    </row>
    <row r="22" customFormat="false" ht="15" hidden="false" customHeight="false" outlineLevel="0" collapsed="false">
      <c r="A22" s="28" t="n">
        <f aca="false">EDATE(Data_Params!$B$3,1)</f>
        <v>46113</v>
      </c>
      <c r="B22" s="23" t="n">
        <f aca="false">SUMIFS(Data_Signups!$B:$B,Data_Signups!$A:$A,$A22)</f>
        <v>0</v>
      </c>
      <c r="C22" s="36" t="str">
        <f aca="false">IF(B22&gt;0,D22/B22,"")</f>
        <v/>
      </c>
      <c r="D22" s="29" t="n">
        <f aca="false">SUMIFS(Data_Cohort!$C:$C,Data_Cohort!$A:$A,$A22,Data_Cohort!$B:$B,0)/MAX(1,SUMIFS(Data_Months!$B:$B,Data_Months!$A:$A,EDATE($A22,0)))/1000000000</f>
        <v>0</v>
      </c>
      <c r="E22" s="29" t="n">
        <f aca="false">SUMIFS(Data_Cohort!$C:$C,Data_Cohort!$A:$A,$A22,Data_Cohort!$B:$B,1)/MAX(1,SUMIFS(Data_Months!$B:$B,Data_Months!$A:$A,EDATE($A22,1)))/1000000000</f>
        <v>0</v>
      </c>
      <c r="F22" s="29" t="n">
        <f aca="false">SUMIFS(Data_Cohort!$C:$C,Data_Cohort!$A:$A,$A22,Data_Cohort!$B:$B,2)/MAX(1,SUMIFS(Data_Months!$B:$B,Data_Months!$A:$A,EDATE($A22,2)))/1000000000</f>
        <v>0</v>
      </c>
      <c r="G22" s="29" t="n">
        <f aca="false">SUMIFS(Data_Cohort!$C:$C,Data_Cohort!$A:$A,$A22,Data_Cohort!$B:$B,3)/MAX(1,SUMIFS(Data_Months!$B:$B,Data_Months!$A:$A,EDATE($A22,3)))/1000000000</f>
        <v>0</v>
      </c>
      <c r="H22" s="29" t="n">
        <f aca="false">SUMIFS(Data_Cohort!$C:$C,Data_Cohort!$A:$A,$A22,Data_Cohort!$B:$B,4)/MAX(1,SUMIFS(Data_Months!$B:$B,Data_Months!$A:$A,EDATE($A22,4)))/1000000000</f>
        <v>0</v>
      </c>
      <c r="I22" s="29" t="n">
        <f aca="false">SUMIFS(Data_Cohort!$C:$C,Data_Cohort!$A:$A,$A22,Data_Cohort!$B:$B,5)/MAX(1,SUMIFS(Data_Months!$B:$B,Data_Months!$A:$A,EDATE($A22,5)))/1000000000</f>
        <v>0</v>
      </c>
      <c r="J22" s="29" t="n">
        <f aca="false">SUMIFS(Data_Cohort!$C:$C,Data_Cohort!$A:$A,$A22,Data_Cohort!$B:$B,6)/MAX(1,SUMIFS(Data_Months!$B:$B,Data_Months!$A:$A,EDATE($A22,6)))/1000000000</f>
        <v>0</v>
      </c>
      <c r="K22" s="29" t="n">
        <f aca="false">SUMIFS(Data_Cohort!$C:$C,Data_Cohort!$A:$A,$A22,Data_Cohort!$B:$B,7)/MAX(1,SUMIFS(Data_Months!$B:$B,Data_Months!$A:$A,EDATE($A22,7)))/1000000000</f>
        <v>0</v>
      </c>
      <c r="L22" s="29" t="n">
        <f aca="false">SUMIFS(Data_Cohort!$C:$C,Data_Cohort!$A:$A,$A22,Data_Cohort!$B:$B,8)/MAX(1,SUMIFS(Data_Months!$B:$B,Data_Months!$A:$A,EDATE($A22,8)))/1000000000</f>
        <v>0</v>
      </c>
      <c r="M22" s="29" t="n">
        <f aca="false">SUMIFS(Data_Cohort!$C:$C,Data_Cohort!$A:$A,$A22,Data_Cohort!$B:$B,9)/MAX(1,SUMIFS(Data_Months!$B:$B,Data_Months!$A:$A,EDATE($A22,9)))/1000000000</f>
        <v>0</v>
      </c>
      <c r="N22" s="29" t="n">
        <f aca="false">SUMIFS(Data_Cohort!$C:$C,Data_Cohort!$A:$A,$A22,Data_Cohort!$B:$B,10)/MAX(1,SUMIFS(Data_Months!$B:$B,Data_Months!$A:$A,EDATE($A22,10)))/1000000000</f>
        <v>0</v>
      </c>
    </row>
    <row r="23" customFormat="false" ht="15" hidden="false" customHeight="false" outlineLevel="0" collapsed="false">
      <c r="A23" s="28" t="n">
        <f aca="false">EDATE(Data_Params!$B$3,2)</f>
        <v>46143</v>
      </c>
      <c r="B23" s="23" t="n">
        <f aca="false">SUMIFS(Data_Signups!$B:$B,Data_Signups!$A:$A,$A23)</f>
        <v>0</v>
      </c>
      <c r="C23" s="36" t="str">
        <f aca="false">IF(B23&gt;0,D23/B23,"")</f>
        <v/>
      </c>
      <c r="D23" s="29" t="n">
        <f aca="false">SUMIFS(Data_Cohort!$C:$C,Data_Cohort!$A:$A,$A23,Data_Cohort!$B:$B,0)/MAX(1,SUMIFS(Data_Months!$B:$B,Data_Months!$A:$A,EDATE($A23,0)))/1000000000</f>
        <v>0</v>
      </c>
      <c r="E23" s="29" t="n">
        <f aca="false">SUMIFS(Data_Cohort!$C:$C,Data_Cohort!$A:$A,$A23,Data_Cohort!$B:$B,1)/MAX(1,SUMIFS(Data_Months!$B:$B,Data_Months!$A:$A,EDATE($A23,1)))/1000000000</f>
        <v>0</v>
      </c>
      <c r="F23" s="29" t="n">
        <f aca="false">SUMIFS(Data_Cohort!$C:$C,Data_Cohort!$A:$A,$A23,Data_Cohort!$B:$B,2)/MAX(1,SUMIFS(Data_Months!$B:$B,Data_Months!$A:$A,EDATE($A23,2)))/1000000000</f>
        <v>0</v>
      </c>
      <c r="G23" s="29" t="n">
        <f aca="false">SUMIFS(Data_Cohort!$C:$C,Data_Cohort!$A:$A,$A23,Data_Cohort!$B:$B,3)/MAX(1,SUMIFS(Data_Months!$B:$B,Data_Months!$A:$A,EDATE($A23,3)))/1000000000</f>
        <v>0</v>
      </c>
      <c r="H23" s="29" t="n">
        <f aca="false">SUMIFS(Data_Cohort!$C:$C,Data_Cohort!$A:$A,$A23,Data_Cohort!$B:$B,4)/MAX(1,SUMIFS(Data_Months!$B:$B,Data_Months!$A:$A,EDATE($A23,4)))/1000000000</f>
        <v>0</v>
      </c>
      <c r="I23" s="29" t="n">
        <f aca="false">SUMIFS(Data_Cohort!$C:$C,Data_Cohort!$A:$A,$A23,Data_Cohort!$B:$B,5)/MAX(1,SUMIFS(Data_Months!$B:$B,Data_Months!$A:$A,EDATE($A23,5)))/1000000000</f>
        <v>0</v>
      </c>
      <c r="J23" s="29" t="n">
        <f aca="false">SUMIFS(Data_Cohort!$C:$C,Data_Cohort!$A:$A,$A23,Data_Cohort!$B:$B,6)/MAX(1,SUMIFS(Data_Months!$B:$B,Data_Months!$A:$A,EDATE($A23,6)))/1000000000</f>
        <v>0</v>
      </c>
      <c r="K23" s="29" t="n">
        <f aca="false">SUMIFS(Data_Cohort!$C:$C,Data_Cohort!$A:$A,$A23,Data_Cohort!$B:$B,7)/MAX(1,SUMIFS(Data_Months!$B:$B,Data_Months!$A:$A,EDATE($A23,7)))/1000000000</f>
        <v>0</v>
      </c>
      <c r="L23" s="29" t="n">
        <f aca="false">SUMIFS(Data_Cohort!$C:$C,Data_Cohort!$A:$A,$A23,Data_Cohort!$B:$B,8)/MAX(1,SUMIFS(Data_Months!$B:$B,Data_Months!$A:$A,EDATE($A23,8)))/1000000000</f>
        <v>0</v>
      </c>
      <c r="M23" s="29" t="n">
        <f aca="false">SUMIFS(Data_Cohort!$C:$C,Data_Cohort!$A:$A,$A23,Data_Cohort!$B:$B,9)/MAX(1,SUMIFS(Data_Months!$B:$B,Data_Months!$A:$A,EDATE($A23,9)))/1000000000</f>
        <v>0</v>
      </c>
    </row>
    <row r="24" customFormat="false" ht="15" hidden="false" customHeight="false" outlineLevel="0" collapsed="false">
      <c r="A24" s="28" t="n">
        <f aca="false">EDATE(Data_Params!$B$3,3)</f>
        <v>46174</v>
      </c>
      <c r="B24" s="23" t="n">
        <f aca="false">SUMIFS(Data_Signups!$B:$B,Data_Signups!$A:$A,$A24)</f>
        <v>0</v>
      </c>
      <c r="C24" s="36" t="str">
        <f aca="false">IF(B24&gt;0,D24/B24,"")</f>
        <v/>
      </c>
      <c r="D24" s="29" t="n">
        <f aca="false">SUMIFS(Data_Cohort!$C:$C,Data_Cohort!$A:$A,$A24,Data_Cohort!$B:$B,0)/MAX(1,SUMIFS(Data_Months!$B:$B,Data_Months!$A:$A,EDATE($A24,0)))/1000000000</f>
        <v>0</v>
      </c>
      <c r="E24" s="29" t="n">
        <f aca="false">SUMIFS(Data_Cohort!$C:$C,Data_Cohort!$A:$A,$A24,Data_Cohort!$B:$B,1)/MAX(1,SUMIFS(Data_Months!$B:$B,Data_Months!$A:$A,EDATE($A24,1)))/1000000000</f>
        <v>0</v>
      </c>
      <c r="F24" s="29" t="n">
        <f aca="false">SUMIFS(Data_Cohort!$C:$C,Data_Cohort!$A:$A,$A24,Data_Cohort!$B:$B,2)/MAX(1,SUMIFS(Data_Months!$B:$B,Data_Months!$A:$A,EDATE($A24,2)))/1000000000</f>
        <v>0</v>
      </c>
      <c r="G24" s="29" t="n">
        <f aca="false">SUMIFS(Data_Cohort!$C:$C,Data_Cohort!$A:$A,$A24,Data_Cohort!$B:$B,3)/MAX(1,SUMIFS(Data_Months!$B:$B,Data_Months!$A:$A,EDATE($A24,3)))/1000000000</f>
        <v>0</v>
      </c>
      <c r="H24" s="29" t="n">
        <f aca="false">SUMIFS(Data_Cohort!$C:$C,Data_Cohort!$A:$A,$A24,Data_Cohort!$B:$B,4)/MAX(1,SUMIFS(Data_Months!$B:$B,Data_Months!$A:$A,EDATE($A24,4)))/1000000000</f>
        <v>0</v>
      </c>
      <c r="I24" s="29" t="n">
        <f aca="false">SUMIFS(Data_Cohort!$C:$C,Data_Cohort!$A:$A,$A24,Data_Cohort!$B:$B,5)/MAX(1,SUMIFS(Data_Months!$B:$B,Data_Months!$A:$A,EDATE($A24,5)))/1000000000</f>
        <v>0</v>
      </c>
      <c r="J24" s="29" t="n">
        <f aca="false">SUMIFS(Data_Cohort!$C:$C,Data_Cohort!$A:$A,$A24,Data_Cohort!$B:$B,6)/MAX(1,SUMIFS(Data_Months!$B:$B,Data_Months!$A:$A,EDATE($A24,6)))/1000000000</f>
        <v>0</v>
      </c>
      <c r="K24" s="29" t="n">
        <f aca="false">SUMIFS(Data_Cohort!$C:$C,Data_Cohort!$A:$A,$A24,Data_Cohort!$B:$B,7)/MAX(1,SUMIFS(Data_Months!$B:$B,Data_Months!$A:$A,EDATE($A24,7)))/1000000000</f>
        <v>0</v>
      </c>
      <c r="L24" s="29" t="n">
        <f aca="false">SUMIFS(Data_Cohort!$C:$C,Data_Cohort!$A:$A,$A24,Data_Cohort!$B:$B,8)/MAX(1,SUMIFS(Data_Months!$B:$B,Data_Months!$A:$A,EDATE($A24,8)))/1000000000</f>
        <v>0</v>
      </c>
    </row>
    <row r="25" customFormat="false" ht="15" hidden="false" customHeight="false" outlineLevel="0" collapsed="false">
      <c r="A25" s="28" t="n">
        <f aca="false">EDATE(Data_Params!$B$3,4)</f>
        <v>46204</v>
      </c>
      <c r="B25" s="23" t="n">
        <f aca="false">SUMIFS(Data_Signups!$B:$B,Data_Signups!$A:$A,$A25)</f>
        <v>0</v>
      </c>
      <c r="C25" s="36" t="str">
        <f aca="false">IF(B25&gt;0,D25/B25,"")</f>
        <v/>
      </c>
      <c r="D25" s="29" t="n">
        <f aca="false">SUMIFS(Data_Cohort!$C:$C,Data_Cohort!$A:$A,$A25,Data_Cohort!$B:$B,0)/MAX(1,SUMIFS(Data_Months!$B:$B,Data_Months!$A:$A,EDATE($A25,0)))/1000000000</f>
        <v>0</v>
      </c>
      <c r="E25" s="29" t="n">
        <f aca="false">SUMIFS(Data_Cohort!$C:$C,Data_Cohort!$A:$A,$A25,Data_Cohort!$B:$B,1)/MAX(1,SUMIFS(Data_Months!$B:$B,Data_Months!$A:$A,EDATE($A25,1)))/1000000000</f>
        <v>0</v>
      </c>
      <c r="F25" s="29" t="n">
        <f aca="false">SUMIFS(Data_Cohort!$C:$C,Data_Cohort!$A:$A,$A25,Data_Cohort!$B:$B,2)/MAX(1,SUMIFS(Data_Months!$B:$B,Data_Months!$A:$A,EDATE($A25,2)))/1000000000</f>
        <v>0</v>
      </c>
      <c r="G25" s="29" t="n">
        <f aca="false">SUMIFS(Data_Cohort!$C:$C,Data_Cohort!$A:$A,$A25,Data_Cohort!$B:$B,3)/MAX(1,SUMIFS(Data_Months!$B:$B,Data_Months!$A:$A,EDATE($A25,3)))/1000000000</f>
        <v>0</v>
      </c>
      <c r="H25" s="29" t="n">
        <f aca="false">SUMIFS(Data_Cohort!$C:$C,Data_Cohort!$A:$A,$A25,Data_Cohort!$B:$B,4)/MAX(1,SUMIFS(Data_Months!$B:$B,Data_Months!$A:$A,EDATE($A25,4)))/1000000000</f>
        <v>0</v>
      </c>
      <c r="I25" s="29" t="n">
        <f aca="false">SUMIFS(Data_Cohort!$C:$C,Data_Cohort!$A:$A,$A25,Data_Cohort!$B:$B,5)/MAX(1,SUMIFS(Data_Months!$B:$B,Data_Months!$A:$A,EDATE($A25,5)))/1000000000</f>
        <v>0</v>
      </c>
      <c r="J25" s="29" t="n">
        <f aca="false">SUMIFS(Data_Cohort!$C:$C,Data_Cohort!$A:$A,$A25,Data_Cohort!$B:$B,6)/MAX(1,SUMIFS(Data_Months!$B:$B,Data_Months!$A:$A,EDATE($A25,6)))/1000000000</f>
        <v>0</v>
      </c>
      <c r="K25" s="29" t="n">
        <f aca="false">SUMIFS(Data_Cohort!$C:$C,Data_Cohort!$A:$A,$A25,Data_Cohort!$B:$B,7)/MAX(1,SUMIFS(Data_Months!$B:$B,Data_Months!$A:$A,EDATE($A25,7)))/1000000000</f>
        <v>0</v>
      </c>
    </row>
    <row r="26" customFormat="false" ht="15" hidden="false" customHeight="false" outlineLevel="0" collapsed="false">
      <c r="A26" s="28" t="n">
        <f aca="false">EDATE(Data_Params!$B$3,5)</f>
        <v>46235</v>
      </c>
      <c r="B26" s="23" t="n">
        <f aca="false">SUMIFS(Data_Signups!$B:$B,Data_Signups!$A:$A,$A26)</f>
        <v>0</v>
      </c>
      <c r="C26" s="36" t="str">
        <f aca="false">IF(B26&gt;0,D26/B26,"")</f>
        <v/>
      </c>
      <c r="D26" s="29" t="n">
        <f aca="false">SUMIFS(Data_Cohort!$C:$C,Data_Cohort!$A:$A,$A26,Data_Cohort!$B:$B,0)/MAX(1,SUMIFS(Data_Months!$B:$B,Data_Months!$A:$A,EDATE($A26,0)))/1000000000</f>
        <v>0</v>
      </c>
      <c r="E26" s="29" t="n">
        <f aca="false">SUMIFS(Data_Cohort!$C:$C,Data_Cohort!$A:$A,$A26,Data_Cohort!$B:$B,1)/MAX(1,SUMIFS(Data_Months!$B:$B,Data_Months!$A:$A,EDATE($A26,1)))/1000000000</f>
        <v>0</v>
      </c>
      <c r="F26" s="29" t="n">
        <f aca="false">SUMIFS(Data_Cohort!$C:$C,Data_Cohort!$A:$A,$A26,Data_Cohort!$B:$B,2)/MAX(1,SUMIFS(Data_Months!$B:$B,Data_Months!$A:$A,EDATE($A26,2)))/1000000000</f>
        <v>0</v>
      </c>
      <c r="G26" s="29" t="n">
        <f aca="false">SUMIFS(Data_Cohort!$C:$C,Data_Cohort!$A:$A,$A26,Data_Cohort!$B:$B,3)/MAX(1,SUMIFS(Data_Months!$B:$B,Data_Months!$A:$A,EDATE($A26,3)))/1000000000</f>
        <v>0</v>
      </c>
      <c r="H26" s="29" t="n">
        <f aca="false">SUMIFS(Data_Cohort!$C:$C,Data_Cohort!$A:$A,$A26,Data_Cohort!$B:$B,4)/MAX(1,SUMIFS(Data_Months!$B:$B,Data_Months!$A:$A,EDATE($A26,4)))/1000000000</f>
        <v>0</v>
      </c>
      <c r="I26" s="29" t="n">
        <f aca="false">SUMIFS(Data_Cohort!$C:$C,Data_Cohort!$A:$A,$A26,Data_Cohort!$B:$B,5)/MAX(1,SUMIFS(Data_Months!$B:$B,Data_Months!$A:$A,EDATE($A26,5)))/1000000000</f>
        <v>0</v>
      </c>
      <c r="J26" s="29" t="n">
        <f aca="false">SUMIFS(Data_Cohort!$C:$C,Data_Cohort!$A:$A,$A26,Data_Cohort!$B:$B,6)/MAX(1,SUMIFS(Data_Months!$B:$B,Data_Months!$A:$A,EDATE($A26,6)))/1000000000</f>
        <v>0</v>
      </c>
    </row>
    <row r="27" customFormat="false" ht="15" hidden="false" customHeight="false" outlineLevel="0" collapsed="false">
      <c r="A27" s="28" t="n">
        <f aca="false">EDATE(Data_Params!$B$3,6)</f>
        <v>46266</v>
      </c>
      <c r="B27" s="23" t="n">
        <f aca="false">SUMIFS(Data_Signups!$B:$B,Data_Signups!$A:$A,$A27)</f>
        <v>204</v>
      </c>
      <c r="C27" s="36" t="n">
        <f aca="false">IF(B27&gt;0,D27/B27,"")</f>
        <v>0.00185152737775735</v>
      </c>
      <c r="D27" s="29" t="n">
        <f aca="false">SUMIFS(Data_Cohort!$C:$C,Data_Cohort!$A:$A,$A27,Data_Cohort!$B:$B,0)/MAX(1,SUMIFS(Data_Months!$B:$B,Data_Months!$A:$A,EDATE($A27,0)))/1000000000</f>
        <v>0.3777115850625</v>
      </c>
      <c r="E27" s="29" t="n">
        <f aca="false">SUMIFS(Data_Cohort!$C:$C,Data_Cohort!$A:$A,$A27,Data_Cohort!$B:$B,1)/MAX(1,SUMIFS(Data_Months!$B:$B,Data_Months!$A:$A,EDATE($A27,1)))/1000000000</f>
        <v>0.725910468096774</v>
      </c>
      <c r="F27" s="29" t="n">
        <f aca="false">SUMIFS(Data_Cohort!$C:$C,Data_Cohort!$A:$A,$A27,Data_Cohort!$B:$B,2)/MAX(1,SUMIFS(Data_Months!$B:$B,Data_Months!$A:$A,EDATE($A27,2)))/1000000000</f>
        <v>1.8299240047</v>
      </c>
      <c r="G27" s="29" t="n">
        <f aca="false">SUMIFS(Data_Cohort!$C:$C,Data_Cohort!$A:$A,$A27,Data_Cohort!$B:$B,3)/MAX(1,SUMIFS(Data_Months!$B:$B,Data_Months!$A:$A,EDATE($A27,3)))/1000000000</f>
        <v>2.08556663087097</v>
      </c>
      <c r="H27" s="29" t="n">
        <f aca="false">SUMIFS(Data_Cohort!$C:$C,Data_Cohort!$A:$A,$A27,Data_Cohort!$B:$B,4)/MAX(1,SUMIFS(Data_Months!$B:$B,Data_Months!$A:$A,EDATE($A27,4)))/1000000000</f>
        <v>2.06795500232258</v>
      </c>
      <c r="I27" s="29" t="n">
        <f aca="false">SUMIFS(Data_Cohort!$C:$C,Data_Cohort!$A:$A,$A27,Data_Cohort!$B:$B,5)/MAX(1,SUMIFS(Data_Months!$B:$B,Data_Months!$A:$A,EDATE($A27,5)))/1000000000</f>
        <v>2.03036447325</v>
      </c>
    </row>
    <row r="28" customFormat="false" ht="15" hidden="false" customHeight="false" outlineLevel="0" collapsed="false">
      <c r="A28" s="28" t="n">
        <f aca="false">EDATE(Data_Params!$B$3,7)</f>
        <v>46296</v>
      </c>
      <c r="B28" s="23" t="n">
        <f aca="false">SUMIFS(Data_Signups!$B:$B,Data_Signups!$A:$A,$A28)</f>
        <v>302</v>
      </c>
      <c r="C28" s="36" t="n">
        <f aca="false">IF(B28&gt;0,D28/B28,"")</f>
        <v>0.00327022030089724</v>
      </c>
      <c r="D28" s="29" t="n">
        <f aca="false">SUMIFS(Data_Cohort!$C:$C,Data_Cohort!$A:$A,$A28,Data_Cohort!$B:$B,0)/MAX(1,SUMIFS(Data_Months!$B:$B,Data_Months!$A:$A,EDATE($A28,0)))/1000000000</f>
        <v>0.987606530870968</v>
      </c>
      <c r="E28" s="29" t="n">
        <f aca="false">SUMIFS(Data_Cohort!$C:$C,Data_Cohort!$A:$A,$A28,Data_Cohort!$B:$B,1)/MAX(1,SUMIFS(Data_Months!$B:$B,Data_Months!$A:$A,EDATE($A28,1)))/1000000000</f>
        <v>6.21964722656667</v>
      </c>
      <c r="F28" s="29" t="n">
        <f aca="false">SUMIFS(Data_Cohort!$C:$C,Data_Cohort!$A:$A,$A28,Data_Cohort!$B:$B,2)/MAX(1,SUMIFS(Data_Months!$B:$B,Data_Months!$A:$A,EDATE($A28,2)))/1000000000</f>
        <v>14.8079978047742</v>
      </c>
      <c r="G28" s="29" t="n">
        <f aca="false">SUMIFS(Data_Cohort!$C:$C,Data_Cohort!$A:$A,$A28,Data_Cohort!$B:$B,3)/MAX(1,SUMIFS(Data_Months!$B:$B,Data_Months!$A:$A,EDATE($A28,3)))/1000000000</f>
        <v>15.7921158797097</v>
      </c>
      <c r="H28" s="29" t="n">
        <f aca="false">SUMIFS(Data_Cohort!$C:$C,Data_Cohort!$A:$A,$A28,Data_Cohort!$B:$B,4)/MAX(1,SUMIFS(Data_Months!$B:$B,Data_Months!$A:$A,EDATE($A28,4)))/1000000000</f>
        <v>16.5188777368929</v>
      </c>
    </row>
    <row r="29" customFormat="false" ht="15" hidden="false" customHeight="false" outlineLevel="0" collapsed="false">
      <c r="A29" s="28" t="n">
        <f aca="false">EDATE(Data_Params!$B$3,8)</f>
        <v>46327</v>
      </c>
      <c r="B29" s="23" t="n">
        <f aca="false">SUMIFS(Data_Signups!$B:$B,Data_Signups!$A:$A,$A29)</f>
        <v>349</v>
      </c>
      <c r="C29" s="36" t="n">
        <f aca="false">IF(B29&gt;0,D29/B29,"")</f>
        <v>0.00137168017468959</v>
      </c>
      <c r="D29" s="29" t="n">
        <f aca="false">SUMIFS(Data_Cohort!$C:$C,Data_Cohort!$A:$A,$A29,Data_Cohort!$B:$B,0)/MAX(1,SUMIFS(Data_Months!$B:$B,Data_Months!$A:$A,EDATE($A29,0)))/1000000000</f>
        <v>0.478716380966667</v>
      </c>
      <c r="E29" s="29" t="n">
        <f aca="false">SUMIFS(Data_Cohort!$C:$C,Data_Cohort!$A:$A,$A29,Data_Cohort!$B:$B,1)/MAX(1,SUMIFS(Data_Months!$B:$B,Data_Months!$A:$A,EDATE($A29,1)))/1000000000</f>
        <v>2.64661306070968</v>
      </c>
      <c r="F29" s="29" t="n">
        <f aca="false">SUMIFS(Data_Cohort!$C:$C,Data_Cohort!$A:$A,$A29,Data_Cohort!$B:$B,2)/MAX(1,SUMIFS(Data_Months!$B:$B,Data_Months!$A:$A,EDATE($A29,2)))/1000000000</f>
        <v>5.645781064</v>
      </c>
      <c r="G29" s="29" t="n">
        <f aca="false">SUMIFS(Data_Cohort!$C:$C,Data_Cohort!$A:$A,$A29,Data_Cohort!$B:$B,3)/MAX(1,SUMIFS(Data_Months!$B:$B,Data_Months!$A:$A,EDATE($A29,3)))/1000000000</f>
        <v>5.91594707932143</v>
      </c>
    </row>
    <row r="30" customFormat="false" ht="15" hidden="false" customHeight="false" outlineLevel="0" collapsed="false">
      <c r="A30" s="28" t="n">
        <f aca="false">EDATE(Data_Params!$B$3,9)</f>
        <v>46357</v>
      </c>
      <c r="B30" s="23" t="n">
        <f aca="false">SUMIFS(Data_Signups!$B:$B,Data_Signups!$A:$A,$A30)</f>
        <v>335</v>
      </c>
      <c r="C30" s="36" t="n">
        <f aca="false">IF(B30&gt;0,D30/B30,"")</f>
        <v>0.00195588686008666</v>
      </c>
      <c r="D30" s="29" t="n">
        <f aca="false">SUMIFS(Data_Cohort!$C:$C,Data_Cohort!$A:$A,$A30,Data_Cohort!$B:$B,0)/MAX(1,SUMIFS(Data_Months!$B:$B,Data_Months!$A:$A,EDATE($A30,0)))/1000000000</f>
        <v>0.655222098129032</v>
      </c>
      <c r="E30" s="29" t="n">
        <f aca="false">SUMIFS(Data_Cohort!$C:$C,Data_Cohort!$A:$A,$A30,Data_Cohort!$B:$B,1)/MAX(1,SUMIFS(Data_Months!$B:$B,Data_Months!$A:$A,EDATE($A30,1)))/1000000000</f>
        <v>3.17842641687097</v>
      </c>
      <c r="F30" s="29" t="n">
        <f aca="false">SUMIFS(Data_Cohort!$C:$C,Data_Cohort!$A:$A,$A30,Data_Cohort!$B:$B,2)/MAX(1,SUMIFS(Data_Months!$B:$B,Data_Months!$A:$A,EDATE($A30,2)))/1000000000</f>
        <v>5.88272660207143</v>
      </c>
    </row>
    <row r="31" customFormat="false" ht="15" hidden="false" customHeight="false" outlineLevel="0" collapsed="false">
      <c r="A31" s="28" t="n">
        <f aca="false">EDATE(Data_Params!$B$3,10)</f>
        <v>46388</v>
      </c>
      <c r="B31" s="23" t="n">
        <f aca="false">SUMIFS(Data_Signups!$B:$B,Data_Signups!$A:$A,$A31)</f>
        <v>385</v>
      </c>
      <c r="C31" s="36" t="n">
        <f aca="false">IF(B31&gt;0,D31/B31,"")</f>
        <v>0.00369076583217428</v>
      </c>
      <c r="D31" s="29" t="n">
        <f aca="false">SUMIFS(Data_Cohort!$C:$C,Data_Cohort!$A:$A,$A31,Data_Cohort!$B:$B,0)/MAX(1,SUMIFS(Data_Months!$B:$B,Data_Months!$A:$A,EDATE($A31,0)))/1000000000</f>
        <v>1.4209448453871</v>
      </c>
      <c r="E31" s="29" t="n">
        <f aca="false">SUMIFS(Data_Cohort!$C:$C,Data_Cohort!$A:$A,$A31,Data_Cohort!$B:$B,1)/MAX(1,SUMIFS(Data_Months!$B:$B,Data_Months!$A:$A,EDATE($A31,1)))/1000000000</f>
        <v>6.15769955392857</v>
      </c>
    </row>
    <row r="32" customFormat="false" ht="15" hidden="false" customHeight="false" outlineLevel="0" collapsed="false">
      <c r="A32" s="28" t="n">
        <f aca="false">EDATE(Data_Params!$B$3,11)</f>
        <v>46419</v>
      </c>
      <c r="B32" s="23" t="n">
        <f aca="false">SUMIFS(Data_Signups!$B:$B,Data_Signups!$A:$A,$A32)</f>
        <v>441</v>
      </c>
      <c r="C32" s="36" t="n">
        <f aca="false">IF(B32&gt;0,D32/B32,"")</f>
        <v>0.00256884725396825</v>
      </c>
      <c r="D32" s="29" t="n">
        <f aca="false">SUMIFS(Data_Cohort!$C:$C,Data_Cohort!$A:$A,$A32,Data_Cohort!$B:$B,0)/MAX(1,SUMIFS(Data_Months!$B:$B,Data_Months!$A:$A,EDATE($A32,0)))/1000000000</f>
        <v>1.132861639</v>
      </c>
    </row>
    <row r="34" customFormat="false" ht="15" hidden="false" customHeight="false" outlineLevel="0" collapsed="false">
      <c r="A34" s="2" t="s">
        <v>167</v>
      </c>
    </row>
    <row r="35" customFormat="false" ht="15" hidden="false" customHeight="false" outlineLevel="0" collapsed="false">
      <c r="A35" s="8" t="s">
        <v>165</v>
      </c>
      <c r="B35" s="8"/>
      <c r="C35" s="8"/>
      <c r="D35" s="8" t="s">
        <v>168</v>
      </c>
      <c r="E35" s="8" t="s">
        <v>169</v>
      </c>
      <c r="F35" s="8" t="s">
        <v>170</v>
      </c>
      <c r="G35" s="8" t="s">
        <v>171</v>
      </c>
      <c r="H35" s="8" t="s">
        <v>172</v>
      </c>
      <c r="I35" s="8" t="s">
        <v>173</v>
      </c>
      <c r="J35" s="8" t="s">
        <v>174</v>
      </c>
      <c r="K35" s="8" t="s">
        <v>175</v>
      </c>
      <c r="L35" s="8" t="s">
        <v>176</v>
      </c>
      <c r="M35" s="8" t="s">
        <v>177</v>
      </c>
      <c r="N35" s="8" t="s">
        <v>178</v>
      </c>
    </row>
    <row r="36" customFormat="false" ht="15" hidden="false" customHeight="false" outlineLevel="0" collapsed="false">
      <c r="A36" s="28" t="n">
        <f aca="false">A21</f>
        <v>46082</v>
      </c>
      <c r="D36" s="38" t="str">
        <f aca="false">IF(D21&gt;0,E21/D21,"")</f>
        <v/>
      </c>
      <c r="E36" s="38" t="str">
        <f aca="false">IF(E21&gt;0,F21/E21,"")</f>
        <v/>
      </c>
      <c r="F36" s="38" t="str">
        <f aca="false">IF(F21&gt;0,G21/F21,"")</f>
        <v/>
      </c>
      <c r="G36" s="38" t="str">
        <f aca="false">IF(G21&gt;0,H21/G21,"")</f>
        <v/>
      </c>
      <c r="H36" s="38" t="str">
        <f aca="false">IF(H21&gt;0,I21/H21,"")</f>
        <v/>
      </c>
      <c r="I36" s="38" t="str">
        <f aca="false">IF(I21&gt;0,J21/I21,"")</f>
        <v/>
      </c>
      <c r="J36" s="38" t="str">
        <f aca="false">IF(J21&gt;0,K21/J21,"")</f>
        <v/>
      </c>
      <c r="K36" s="38" t="str">
        <f aca="false">IF(K21&gt;0,L21/K21,"")</f>
        <v/>
      </c>
      <c r="L36" s="38" t="str">
        <f aca="false">IF(L21&gt;0,M21/L21,"")</f>
        <v/>
      </c>
      <c r="M36" s="38" t="str">
        <f aca="false">IF(M21&gt;0,N21/M21,"")</f>
        <v/>
      </c>
      <c r="N36" s="38" t="str">
        <f aca="false">IF(N21&gt;0,O21/N21,"")</f>
        <v/>
      </c>
    </row>
    <row r="37" customFormat="false" ht="15" hidden="false" customHeight="false" outlineLevel="0" collapsed="false">
      <c r="A37" s="28" t="n">
        <f aca="false">A22</f>
        <v>46113</v>
      </c>
      <c r="D37" s="38" t="str">
        <f aca="false">IF(D22&gt;0,E22/D22,"")</f>
        <v/>
      </c>
      <c r="E37" s="38" t="str">
        <f aca="false">IF(E22&gt;0,F22/E22,"")</f>
        <v/>
      </c>
      <c r="F37" s="38" t="str">
        <f aca="false">IF(F22&gt;0,G22/F22,"")</f>
        <v/>
      </c>
      <c r="G37" s="38" t="str">
        <f aca="false">IF(G22&gt;0,H22/G22,"")</f>
        <v/>
      </c>
      <c r="H37" s="38" t="str">
        <f aca="false">IF(H22&gt;0,I22/H22,"")</f>
        <v/>
      </c>
      <c r="I37" s="38" t="str">
        <f aca="false">IF(I22&gt;0,J22/I22,"")</f>
        <v/>
      </c>
      <c r="J37" s="38" t="str">
        <f aca="false">IF(J22&gt;0,K22/J22,"")</f>
        <v/>
      </c>
      <c r="K37" s="38" t="str">
        <f aca="false">IF(K22&gt;0,L22/K22,"")</f>
        <v/>
      </c>
      <c r="L37" s="38" t="str">
        <f aca="false">IF(L22&gt;0,M22/L22,"")</f>
        <v/>
      </c>
      <c r="M37" s="38" t="str">
        <f aca="false">IF(M22&gt;0,N22/M22,"")</f>
        <v/>
      </c>
    </row>
    <row r="38" customFormat="false" ht="15" hidden="false" customHeight="false" outlineLevel="0" collapsed="false">
      <c r="A38" s="28" t="n">
        <f aca="false">A23</f>
        <v>46143</v>
      </c>
      <c r="D38" s="38" t="str">
        <f aca="false">IF(D23&gt;0,E23/D23,"")</f>
        <v/>
      </c>
      <c r="E38" s="38" t="str">
        <f aca="false">IF(E23&gt;0,F23/E23,"")</f>
        <v/>
      </c>
      <c r="F38" s="38" t="str">
        <f aca="false">IF(F23&gt;0,G23/F23,"")</f>
        <v/>
      </c>
      <c r="G38" s="38" t="str">
        <f aca="false">IF(G23&gt;0,H23/G23,"")</f>
        <v/>
      </c>
      <c r="H38" s="38" t="str">
        <f aca="false">IF(H23&gt;0,I23/H23,"")</f>
        <v/>
      </c>
      <c r="I38" s="38" t="str">
        <f aca="false">IF(I23&gt;0,J23/I23,"")</f>
        <v/>
      </c>
      <c r="J38" s="38" t="str">
        <f aca="false">IF(J23&gt;0,K23/J23,"")</f>
        <v/>
      </c>
      <c r="K38" s="38" t="str">
        <f aca="false">IF(K23&gt;0,L23/K23,"")</f>
        <v/>
      </c>
      <c r="L38" s="38" t="str">
        <f aca="false">IF(L23&gt;0,M23/L23,"")</f>
        <v/>
      </c>
    </row>
    <row r="39" customFormat="false" ht="15" hidden="false" customHeight="false" outlineLevel="0" collapsed="false">
      <c r="A39" s="28" t="n">
        <f aca="false">A24</f>
        <v>46174</v>
      </c>
      <c r="D39" s="38" t="str">
        <f aca="false">IF(D24&gt;0,E24/D24,"")</f>
        <v/>
      </c>
      <c r="E39" s="38" t="str">
        <f aca="false">IF(E24&gt;0,F24/E24,"")</f>
        <v/>
      </c>
      <c r="F39" s="38" t="str">
        <f aca="false">IF(F24&gt;0,G24/F24,"")</f>
        <v/>
      </c>
      <c r="G39" s="38" t="str">
        <f aca="false">IF(G24&gt;0,H24/G24,"")</f>
        <v/>
      </c>
      <c r="H39" s="38" t="str">
        <f aca="false">IF(H24&gt;0,I24/H24,"")</f>
        <v/>
      </c>
      <c r="I39" s="38" t="str">
        <f aca="false">IF(I24&gt;0,J24/I24,"")</f>
        <v/>
      </c>
      <c r="J39" s="38" t="str">
        <f aca="false">IF(J24&gt;0,K24/J24,"")</f>
        <v/>
      </c>
      <c r="K39" s="38" t="str">
        <f aca="false">IF(K24&gt;0,L24/K24,"")</f>
        <v/>
      </c>
    </row>
    <row r="40" customFormat="false" ht="15" hidden="false" customHeight="false" outlineLevel="0" collapsed="false">
      <c r="A40" s="28" t="n">
        <f aca="false">A25</f>
        <v>46204</v>
      </c>
      <c r="D40" s="38" t="str">
        <f aca="false">IF(D25&gt;0,E25/D25,"")</f>
        <v/>
      </c>
      <c r="E40" s="38" t="str">
        <f aca="false">IF(E25&gt;0,F25/E25,"")</f>
        <v/>
      </c>
      <c r="F40" s="38" t="str">
        <f aca="false">IF(F25&gt;0,G25/F25,"")</f>
        <v/>
      </c>
      <c r="G40" s="38" t="str">
        <f aca="false">IF(G25&gt;0,H25/G25,"")</f>
        <v/>
      </c>
      <c r="H40" s="38" t="str">
        <f aca="false">IF(H25&gt;0,I25/H25,"")</f>
        <v/>
      </c>
      <c r="I40" s="38" t="str">
        <f aca="false">IF(I25&gt;0,J25/I25,"")</f>
        <v/>
      </c>
      <c r="J40" s="38" t="str">
        <f aca="false">IF(J25&gt;0,K25/J25,"")</f>
        <v/>
      </c>
    </row>
    <row r="41" customFormat="false" ht="15" hidden="false" customHeight="false" outlineLevel="0" collapsed="false">
      <c r="A41" s="28" t="n">
        <f aca="false">A26</f>
        <v>46235</v>
      </c>
      <c r="D41" s="38" t="str">
        <f aca="false">IF(D26&gt;0,E26/D26,"")</f>
        <v/>
      </c>
      <c r="E41" s="38" t="str">
        <f aca="false">IF(E26&gt;0,F26/E26,"")</f>
        <v/>
      </c>
      <c r="F41" s="38" t="str">
        <f aca="false">IF(F26&gt;0,G26/F26,"")</f>
        <v/>
      </c>
      <c r="G41" s="38" t="str">
        <f aca="false">IF(G26&gt;0,H26/G26,"")</f>
        <v/>
      </c>
      <c r="H41" s="38" t="str">
        <f aca="false">IF(H26&gt;0,I26/H26,"")</f>
        <v/>
      </c>
      <c r="I41" s="38" t="str">
        <f aca="false">IF(I26&gt;0,J26/I26,"")</f>
        <v/>
      </c>
    </row>
    <row r="42" customFormat="false" ht="15" hidden="false" customHeight="false" outlineLevel="0" collapsed="false">
      <c r="A42" s="28" t="n">
        <f aca="false">A27</f>
        <v>46266</v>
      </c>
      <c r="D42" s="38" t="n">
        <f aca="false">IF(D27&gt;0,E27/D27,"")</f>
        <v>1.92186445109079</v>
      </c>
      <c r="E42" s="38" t="n">
        <f aca="false">IF(E27&gt;0,F27/E27,"")</f>
        <v>2.52086735916315</v>
      </c>
      <c r="F42" s="38" t="n">
        <f aca="false">IF(F27&gt;0,G27/F27,"")</f>
        <v>1.13970122557788</v>
      </c>
      <c r="G42" s="38" t="n">
        <f aca="false">IF(G27&gt;0,H27/G27,"")</f>
        <v>0.991555470687105</v>
      </c>
      <c r="H42" s="38" t="n">
        <f aca="false">IF(H27&gt;0,I27/H27,"")</f>
        <v>0.981822366042607</v>
      </c>
    </row>
    <row r="43" customFormat="false" ht="15" hidden="false" customHeight="false" outlineLevel="0" collapsed="false">
      <c r="A43" s="28" t="n">
        <f aca="false">A28</f>
        <v>46296</v>
      </c>
      <c r="D43" s="38" t="n">
        <f aca="false">IF(D28&gt;0,E28/D28,"")</f>
        <v>6.29769754669562</v>
      </c>
      <c r="E43" s="38" t="n">
        <f aca="false">IF(E28&gt;0,F28/E28,"")</f>
        <v>2.38084207437411</v>
      </c>
      <c r="F43" s="38" t="n">
        <f aca="false">IF(F28&gt;0,G28/F28,"")</f>
        <v>1.06645855083921</v>
      </c>
      <c r="G43" s="38" t="n">
        <f aca="false">IF(G28&gt;0,H28/G28,"")</f>
        <v>1.04602054991991</v>
      </c>
    </row>
    <row r="44" customFormat="false" ht="15" hidden="false" customHeight="false" outlineLevel="0" collapsed="false">
      <c r="A44" s="28" t="n">
        <f aca="false">A29</f>
        <v>46327</v>
      </c>
      <c r="D44" s="38" t="n">
        <f aca="false">IF(D29&gt;0,E29/D29,"")</f>
        <v>5.52856172451296</v>
      </c>
      <c r="E44" s="38" t="n">
        <f aca="false">IF(E29&gt;0,F29/E29,"")</f>
        <v>2.13320985519739</v>
      </c>
      <c r="F44" s="38" t="n">
        <f aca="false">IF(F29&gt;0,G29/F29,"")</f>
        <v>1.04785272617887</v>
      </c>
    </row>
    <row r="45" customFormat="false" ht="15" hidden="false" customHeight="false" outlineLevel="0" collapsed="false">
      <c r="A45" s="28" t="n">
        <f aca="false">A30</f>
        <v>46357</v>
      </c>
      <c r="D45" s="38" t="n">
        <f aca="false">IF(D30&gt;0,E30/D30,"")</f>
        <v>4.85091456156145</v>
      </c>
      <c r="E45" s="38" t="n">
        <f aca="false">IF(E30&gt;0,F30/E30,"")</f>
        <v>1.85082988577182</v>
      </c>
    </row>
    <row r="46" customFormat="false" ht="15" hidden="false" customHeight="false" outlineLevel="0" collapsed="false">
      <c r="A46" s="28" t="n">
        <f aca="false">A31</f>
        <v>46388</v>
      </c>
      <c r="D46" s="38" t="n">
        <f aca="false">IF(D31&gt;0,E31/D31,"")</f>
        <v>4.33352467825806</v>
      </c>
    </row>
    <row r="49" customFormat="false" ht="15" hidden="false" customHeight="false" outlineLevel="0" collapsed="false">
      <c r="A49" s="2" t="s">
        <v>179</v>
      </c>
    </row>
    <row r="50" customFormat="false" ht="15" hidden="false" customHeight="false" outlineLevel="0" collapsed="false">
      <c r="A50" s="8" t="s">
        <v>165</v>
      </c>
      <c r="B50" s="8" t="s">
        <v>97</v>
      </c>
      <c r="C50" s="8"/>
      <c r="D50" s="8" t="s">
        <v>99</v>
      </c>
      <c r="E50" s="8" t="s">
        <v>100</v>
      </c>
      <c r="F50" s="8" t="s">
        <v>101</v>
      </c>
      <c r="G50" s="8" t="s">
        <v>102</v>
      </c>
      <c r="H50" s="8" t="s">
        <v>103</v>
      </c>
      <c r="I50" s="8" t="s">
        <v>104</v>
      </c>
      <c r="J50" s="8" t="s">
        <v>105</v>
      </c>
      <c r="K50" s="8" t="s">
        <v>106</v>
      </c>
      <c r="L50" s="8" t="s">
        <v>107</v>
      </c>
      <c r="M50" s="8" t="s">
        <v>108</v>
      </c>
      <c r="N50" s="8" t="s">
        <v>109</v>
      </c>
      <c r="O50" s="8" t="s">
        <v>110</v>
      </c>
      <c r="P50" s="8" t="s">
        <v>180</v>
      </c>
      <c r="Q50" s="8" t="s">
        <v>181</v>
      </c>
      <c r="R50" s="8" t="s">
        <v>182</v>
      </c>
    </row>
    <row r="51" customFormat="false" ht="15" hidden="false" customHeight="false" outlineLevel="0" collapsed="false">
      <c r="A51" s="28" t="n">
        <f aca="false">EDATE(Data_Params!$B$3,0)</f>
        <v>46082</v>
      </c>
      <c r="B51" s="23" t="n">
        <f aca="false">B21</f>
        <v>0</v>
      </c>
      <c r="D51" s="29" t="n">
        <f aca="false">D21</f>
        <v>0</v>
      </c>
      <c r="E51" s="29" t="n">
        <f aca="false">E21</f>
        <v>0</v>
      </c>
      <c r="F51" s="29" t="n">
        <f aca="false">F21</f>
        <v>0</v>
      </c>
      <c r="G51" s="29" t="n">
        <f aca="false">G21</f>
        <v>0</v>
      </c>
      <c r="H51" s="29" t="n">
        <f aca="false">H21</f>
        <v>0</v>
      </c>
      <c r="I51" s="29" t="n">
        <f aca="false">I21</f>
        <v>0</v>
      </c>
      <c r="J51" s="29" t="n">
        <f aca="false">J21</f>
        <v>0</v>
      </c>
      <c r="K51" s="29" t="n">
        <f aca="false">K21</f>
        <v>0</v>
      </c>
      <c r="L51" s="29" t="n">
        <f aca="false">L21</f>
        <v>0</v>
      </c>
      <c r="M51" s="29" t="n">
        <f aca="false">M21</f>
        <v>0</v>
      </c>
      <c r="N51" s="29" t="n">
        <f aca="false">N21</f>
        <v>0</v>
      </c>
      <c r="O51" s="29" t="n">
        <f aca="false">O21</f>
        <v>0</v>
      </c>
      <c r="P51" s="29" t="n">
        <f aca="false">O51*O$66</f>
        <v>0</v>
      </c>
      <c r="Q51" s="29" t="n">
        <f aca="false">P51*P$66</f>
        <v>0</v>
      </c>
      <c r="R51" s="29" t="n">
        <f aca="false">Q51*Q$66</f>
        <v>0</v>
      </c>
    </row>
    <row r="52" customFormat="false" ht="15" hidden="false" customHeight="false" outlineLevel="0" collapsed="false">
      <c r="A52" s="28" t="n">
        <f aca="false">EDATE(Data_Params!$B$3,1)</f>
        <v>46113</v>
      </c>
      <c r="B52" s="23" t="n">
        <f aca="false">B22</f>
        <v>0</v>
      </c>
      <c r="D52" s="29" t="n">
        <f aca="false">D22</f>
        <v>0</v>
      </c>
      <c r="E52" s="29" t="n">
        <f aca="false">E22</f>
        <v>0</v>
      </c>
      <c r="F52" s="29" t="n">
        <f aca="false">F22</f>
        <v>0</v>
      </c>
      <c r="G52" s="29" t="n">
        <f aca="false">G22</f>
        <v>0</v>
      </c>
      <c r="H52" s="29" t="n">
        <f aca="false">H22</f>
        <v>0</v>
      </c>
      <c r="I52" s="29" t="n">
        <f aca="false">I22</f>
        <v>0</v>
      </c>
      <c r="J52" s="29" t="n">
        <f aca="false">J22</f>
        <v>0</v>
      </c>
      <c r="K52" s="29" t="n">
        <f aca="false">K22</f>
        <v>0</v>
      </c>
      <c r="L52" s="29" t="n">
        <f aca="false">L22</f>
        <v>0</v>
      </c>
      <c r="M52" s="29" t="n">
        <f aca="false">M22</f>
        <v>0</v>
      </c>
      <c r="N52" s="29" t="n">
        <f aca="false">N22</f>
        <v>0</v>
      </c>
      <c r="O52" s="29" t="n">
        <f aca="false">N52*N$66</f>
        <v>0</v>
      </c>
      <c r="P52" s="29" t="n">
        <f aca="false">O52*O$66</f>
        <v>0</v>
      </c>
      <c r="Q52" s="29" t="n">
        <f aca="false">P52*P$66</f>
        <v>0</v>
      </c>
    </row>
    <row r="53" customFormat="false" ht="15" hidden="false" customHeight="false" outlineLevel="0" collapsed="false">
      <c r="A53" s="28" t="n">
        <f aca="false">EDATE(Data_Params!$B$3,2)</f>
        <v>46143</v>
      </c>
      <c r="B53" s="23" t="n">
        <f aca="false">B23</f>
        <v>0</v>
      </c>
      <c r="D53" s="29" t="n">
        <f aca="false">D23</f>
        <v>0</v>
      </c>
      <c r="E53" s="29" t="n">
        <f aca="false">E23</f>
        <v>0</v>
      </c>
      <c r="F53" s="29" t="n">
        <f aca="false">F23</f>
        <v>0</v>
      </c>
      <c r="G53" s="29" t="n">
        <f aca="false">G23</f>
        <v>0</v>
      </c>
      <c r="H53" s="29" t="n">
        <f aca="false">H23</f>
        <v>0</v>
      </c>
      <c r="I53" s="29" t="n">
        <f aca="false">I23</f>
        <v>0</v>
      </c>
      <c r="J53" s="29" t="n">
        <f aca="false">J23</f>
        <v>0</v>
      </c>
      <c r="K53" s="29" t="n">
        <f aca="false">K23</f>
        <v>0</v>
      </c>
      <c r="L53" s="29" t="n">
        <f aca="false">L23</f>
        <v>0</v>
      </c>
      <c r="M53" s="29" t="n">
        <f aca="false">M23</f>
        <v>0</v>
      </c>
      <c r="N53" s="29" t="n">
        <f aca="false">M53*M$66</f>
        <v>0</v>
      </c>
      <c r="O53" s="29" t="n">
        <f aca="false">N53*N$66</f>
        <v>0</v>
      </c>
      <c r="P53" s="29" t="n">
        <f aca="false">O53*O$66</f>
        <v>0</v>
      </c>
    </row>
    <row r="54" customFormat="false" ht="15" hidden="false" customHeight="false" outlineLevel="0" collapsed="false">
      <c r="A54" s="28" t="n">
        <f aca="false">EDATE(Data_Params!$B$3,3)</f>
        <v>46174</v>
      </c>
      <c r="B54" s="23" t="n">
        <f aca="false">B24</f>
        <v>0</v>
      </c>
      <c r="D54" s="29" t="n">
        <f aca="false">D24</f>
        <v>0</v>
      </c>
      <c r="E54" s="29" t="n">
        <f aca="false">E24</f>
        <v>0</v>
      </c>
      <c r="F54" s="29" t="n">
        <f aca="false">F24</f>
        <v>0</v>
      </c>
      <c r="G54" s="29" t="n">
        <f aca="false">G24</f>
        <v>0</v>
      </c>
      <c r="H54" s="29" t="n">
        <f aca="false">H24</f>
        <v>0</v>
      </c>
      <c r="I54" s="29" t="n">
        <f aca="false">I24</f>
        <v>0</v>
      </c>
      <c r="J54" s="29" t="n">
        <f aca="false">J24</f>
        <v>0</v>
      </c>
      <c r="K54" s="29" t="n">
        <f aca="false">K24</f>
        <v>0</v>
      </c>
      <c r="L54" s="29" t="n">
        <f aca="false">L24</f>
        <v>0</v>
      </c>
      <c r="M54" s="29" t="n">
        <f aca="false">L54*L$66</f>
        <v>0</v>
      </c>
      <c r="N54" s="29" t="n">
        <f aca="false">M54*M$66</f>
        <v>0</v>
      </c>
      <c r="O54" s="29" t="n">
        <f aca="false">N54*N$66</f>
        <v>0</v>
      </c>
    </row>
    <row r="55" customFormat="false" ht="15" hidden="false" customHeight="false" outlineLevel="0" collapsed="false">
      <c r="A55" s="28" t="n">
        <f aca="false">EDATE(Data_Params!$B$3,4)</f>
        <v>46204</v>
      </c>
      <c r="B55" s="23" t="n">
        <f aca="false">B25</f>
        <v>0</v>
      </c>
      <c r="D55" s="29" t="n">
        <f aca="false">D25</f>
        <v>0</v>
      </c>
      <c r="E55" s="29" t="n">
        <f aca="false">E25</f>
        <v>0</v>
      </c>
      <c r="F55" s="29" t="n">
        <f aca="false">F25</f>
        <v>0</v>
      </c>
      <c r="G55" s="29" t="n">
        <f aca="false">G25</f>
        <v>0</v>
      </c>
      <c r="H55" s="29" t="n">
        <f aca="false">H25</f>
        <v>0</v>
      </c>
      <c r="I55" s="29" t="n">
        <f aca="false">I25</f>
        <v>0</v>
      </c>
      <c r="J55" s="29" t="n">
        <f aca="false">J25</f>
        <v>0</v>
      </c>
      <c r="K55" s="29" t="n">
        <f aca="false">K25</f>
        <v>0</v>
      </c>
      <c r="L55" s="29" t="n">
        <f aca="false">K55*K$66</f>
        <v>0</v>
      </c>
      <c r="M55" s="29" t="n">
        <f aca="false">L55*L$66</f>
        <v>0</v>
      </c>
      <c r="N55" s="29" t="n">
        <f aca="false">M55*M$66</f>
        <v>0</v>
      </c>
    </row>
    <row r="56" customFormat="false" ht="15" hidden="false" customHeight="false" outlineLevel="0" collapsed="false">
      <c r="A56" s="28" t="n">
        <f aca="false">EDATE(Data_Params!$B$3,5)</f>
        <v>46235</v>
      </c>
      <c r="B56" s="23" t="n">
        <f aca="false">B26</f>
        <v>0</v>
      </c>
      <c r="D56" s="29" t="n">
        <f aca="false">D26</f>
        <v>0</v>
      </c>
      <c r="E56" s="29" t="n">
        <f aca="false">E26</f>
        <v>0</v>
      </c>
      <c r="F56" s="29" t="n">
        <f aca="false">F26</f>
        <v>0</v>
      </c>
      <c r="G56" s="29" t="n">
        <f aca="false">G26</f>
        <v>0</v>
      </c>
      <c r="H56" s="29" t="n">
        <f aca="false">H26</f>
        <v>0</v>
      </c>
      <c r="I56" s="29" t="n">
        <f aca="false">I26</f>
        <v>0</v>
      </c>
      <c r="J56" s="29" t="n">
        <f aca="false">J26</f>
        <v>0</v>
      </c>
      <c r="K56" s="29" t="n">
        <f aca="false">J56*J$66</f>
        <v>0</v>
      </c>
      <c r="L56" s="29" t="n">
        <f aca="false">K56*K$66</f>
        <v>0</v>
      </c>
      <c r="M56" s="29" t="n">
        <f aca="false">L56*L$66</f>
        <v>0</v>
      </c>
    </row>
    <row r="57" customFormat="false" ht="15" hidden="false" customHeight="false" outlineLevel="0" collapsed="false">
      <c r="A57" s="28" t="n">
        <f aca="false">EDATE(Data_Params!$B$3,6)</f>
        <v>46266</v>
      </c>
      <c r="B57" s="23" t="n">
        <f aca="false">B27</f>
        <v>204</v>
      </c>
      <c r="D57" s="29" t="n">
        <f aca="false">D27</f>
        <v>0.3777115850625</v>
      </c>
      <c r="E57" s="29" t="n">
        <f aca="false">E27</f>
        <v>0.725910468096774</v>
      </c>
      <c r="F57" s="29" t="n">
        <f aca="false">F27</f>
        <v>1.8299240047</v>
      </c>
      <c r="G57" s="29" t="n">
        <f aca="false">G27</f>
        <v>2.08556663087097</v>
      </c>
      <c r="H57" s="29" t="n">
        <f aca="false">H27</f>
        <v>2.06795500232258</v>
      </c>
      <c r="I57" s="29" t="n">
        <f aca="false">I27</f>
        <v>2.03036447325</v>
      </c>
      <c r="J57" s="29" t="n">
        <f aca="false">I57*I$66</f>
        <v>1.8882389601225</v>
      </c>
      <c r="K57" s="29" t="n">
        <f aca="false">J57*J$66</f>
        <v>1.75606223291393</v>
      </c>
      <c r="L57" s="29" t="n">
        <f aca="false">K57*K$66</f>
        <v>1.63313787660995</v>
      </c>
    </row>
    <row r="58" customFormat="false" ht="15" hidden="false" customHeight="false" outlineLevel="0" collapsed="false">
      <c r="A58" s="28" t="n">
        <f aca="false">EDATE(Data_Params!$B$3,7)</f>
        <v>46296</v>
      </c>
      <c r="B58" s="23" t="n">
        <f aca="false">B28</f>
        <v>302</v>
      </c>
      <c r="D58" s="29" t="n">
        <f aca="false">D28</f>
        <v>0.987606530870968</v>
      </c>
      <c r="E58" s="29" t="n">
        <f aca="false">E28</f>
        <v>6.21964722656667</v>
      </c>
      <c r="F58" s="29" t="n">
        <f aca="false">F28</f>
        <v>14.8079978047742</v>
      </c>
      <c r="G58" s="29" t="n">
        <f aca="false">G28</f>
        <v>15.7921158797097</v>
      </c>
      <c r="H58" s="29" t="n">
        <f aca="false">H28</f>
        <v>16.5188777368929</v>
      </c>
      <c r="I58" s="29" t="n">
        <f aca="false">H58*H$66</f>
        <v>16.2186036240047</v>
      </c>
      <c r="J58" s="29" t="n">
        <f aca="false">I58*I$66</f>
        <v>15.0833013703244</v>
      </c>
      <c r="K58" s="29" t="n">
        <f aca="false">J58*J$66</f>
        <v>14.0274702744017</v>
      </c>
    </row>
    <row r="59" customFormat="false" ht="15" hidden="false" customHeight="false" outlineLevel="0" collapsed="false">
      <c r="A59" s="28" t="n">
        <f aca="false">EDATE(Data_Params!$B$3,8)</f>
        <v>46327</v>
      </c>
      <c r="B59" s="23" t="n">
        <f aca="false">B29</f>
        <v>349</v>
      </c>
      <c r="D59" s="29" t="n">
        <f aca="false">D29</f>
        <v>0.478716380966667</v>
      </c>
      <c r="E59" s="29" t="n">
        <f aca="false">E29</f>
        <v>2.64661306070968</v>
      </c>
      <c r="F59" s="29" t="n">
        <f aca="false">F29</f>
        <v>5.645781064</v>
      </c>
      <c r="G59" s="29" t="n">
        <f aca="false">G29</f>
        <v>5.91594707932143</v>
      </c>
      <c r="H59" s="29" t="n">
        <f aca="false">G59*G$66</f>
        <v>5.86598969079656</v>
      </c>
      <c r="I59" s="29" t="n">
        <f aca="false">H59*H$66</f>
        <v>5.75935987739942</v>
      </c>
      <c r="J59" s="29" t="n">
        <f aca="false">I59*I$66</f>
        <v>5.35620468598146</v>
      </c>
    </row>
    <row r="60" customFormat="false" ht="15" hidden="false" customHeight="false" outlineLevel="0" collapsed="false">
      <c r="A60" s="28" t="n">
        <f aca="false">EDATE(Data_Params!$B$3,9)</f>
        <v>46357</v>
      </c>
      <c r="B60" s="23" t="n">
        <f aca="false">B30</f>
        <v>335</v>
      </c>
      <c r="D60" s="29" t="n">
        <f aca="false">D30</f>
        <v>0.655222098129032</v>
      </c>
      <c r="E60" s="29" t="n">
        <f aca="false">E30</f>
        <v>3.17842641687097</v>
      </c>
      <c r="F60" s="29" t="n">
        <f aca="false">F30</f>
        <v>5.88272660207143</v>
      </c>
      <c r="G60" s="29" t="n">
        <f aca="false">F60*F$66</f>
        <v>6.16423110734549</v>
      </c>
      <c r="H60" s="29" t="n">
        <f aca="false">G60*G$66</f>
        <v>6.11217707706805</v>
      </c>
      <c r="I60" s="29" t="n">
        <f aca="false">H60*H$66</f>
        <v>6.00107215947834</v>
      </c>
    </row>
    <row r="61" customFormat="false" ht="15" hidden="false" customHeight="false" outlineLevel="0" collapsed="false">
      <c r="A61" s="28" t="n">
        <f aca="false">EDATE(Data_Params!$B$3,10)</f>
        <v>46388</v>
      </c>
      <c r="B61" s="23" t="n">
        <f aca="false">B31</f>
        <v>385</v>
      </c>
      <c r="D61" s="29" t="n">
        <f aca="false">D31</f>
        <v>1.4209448453871</v>
      </c>
      <c r="E61" s="29" t="n">
        <f aca="false">E31</f>
        <v>6.15769955392857</v>
      </c>
      <c r="F61" s="29" t="n">
        <f aca="false">E61*E$66</f>
        <v>11.3968543620148</v>
      </c>
      <c r="G61" s="29" t="n">
        <f aca="false">F61*F$66</f>
        <v>11.9422249131007</v>
      </c>
      <c r="H61" s="29" t="n">
        <f aca="false">G61*G$66</f>
        <v>11.8413784447609</v>
      </c>
    </row>
    <row r="62" customFormat="false" ht="15" hidden="false" customHeight="false" outlineLevel="0" collapsed="false">
      <c r="A62" s="28" t="n">
        <f aca="false">EDATE(Data_Params!$B$3,11)</f>
        <v>46419</v>
      </c>
      <c r="B62" s="23" t="n">
        <f aca="false">B32</f>
        <v>441</v>
      </c>
      <c r="D62" s="29" t="n">
        <f aca="false">D32</f>
        <v>1.132861639</v>
      </c>
      <c r="E62" s="29" t="n">
        <f aca="false">D62*D$66</f>
        <v>2.17720651199855</v>
      </c>
      <c r="F62" s="29" t="n">
        <f aca="false">E62*E$66</f>
        <v>4.02963887990394</v>
      </c>
      <c r="G62" s="29" t="n">
        <f aca="false">F62*F$66</f>
        <v>4.2224680858237</v>
      </c>
    </row>
    <row r="63" customFormat="false" ht="15" hidden="false" customHeight="false" outlineLevel="0" collapsed="false">
      <c r="A63" s="28" t="n">
        <f aca="false">EDATE(Data_Params!$B$3,12)</f>
        <v>46447</v>
      </c>
      <c r="B63" s="23" t="n">
        <f aca="false">B62*(1+$B$7)</f>
        <v>441</v>
      </c>
      <c r="D63" s="29" t="n">
        <f aca="false">B63*$B$8</f>
        <v>0.862546105298219</v>
      </c>
      <c r="E63" s="29" t="n">
        <f aca="false">D63*D$66</f>
        <v>1.65769669719946</v>
      </c>
      <c r="F63" s="29" t="n">
        <f aca="false">E63*E$66</f>
        <v>3.068114588722</v>
      </c>
    </row>
    <row r="64" customFormat="false" ht="15" hidden="false" customHeight="false" outlineLevel="0" collapsed="false">
      <c r="A64" s="28" t="n">
        <f aca="false">EDATE(Data_Params!$B$3,13)</f>
        <v>46478</v>
      </c>
      <c r="B64" s="23" t="n">
        <f aca="false">B63*(1+$B$7)</f>
        <v>441</v>
      </c>
      <c r="D64" s="29" t="n">
        <f aca="false">B64*$B$8</f>
        <v>0.862546105298219</v>
      </c>
      <c r="E64" s="29" t="n">
        <f aca="false">D64*D$66</f>
        <v>1.65769669719946</v>
      </c>
    </row>
    <row r="65" customFormat="false" ht="15" hidden="false" customHeight="false" outlineLevel="0" collapsed="false">
      <c r="A65" s="28" t="n">
        <f aca="false">EDATE(Data_Params!$B$3,14)</f>
        <v>46508</v>
      </c>
      <c r="B65" s="23" t="n">
        <f aca="false">B64*(1+$B$7)</f>
        <v>441</v>
      </c>
      <c r="D65" s="29" t="n">
        <f aca="false">B65*$B$8</f>
        <v>0.862546105298219</v>
      </c>
    </row>
    <row r="66" customFormat="false" ht="15" hidden="false" customHeight="false" outlineLevel="0" collapsed="false">
      <c r="A66" s="2" t="s">
        <v>183</v>
      </c>
      <c r="D66" s="38" t="n">
        <f aca="false">IF(COUNT(D36:D46)=0,$B$6,MIN(D36:D46))</f>
        <v>1.92186445109079</v>
      </c>
      <c r="E66" s="38" t="n">
        <f aca="false">IF(COUNT(E36:E45)=0,$B$6,MIN(E36:E45))</f>
        <v>1.85082988577182</v>
      </c>
      <c r="F66" s="38" t="n">
        <f aca="false">IF(COUNT(F36:F44)=0,$B$6,MIN(F36:F44))</f>
        <v>1.04785272617887</v>
      </c>
      <c r="G66" s="38" t="n">
        <f aca="false">IF(COUNT(G36:G43)=0,$B$6,MIN(G36:G43))</f>
        <v>0.991555470687105</v>
      </c>
      <c r="H66" s="38" t="n">
        <f aca="false">IF(COUNT(H36:H42)=0,$B$6,MIN(H36:H42))</f>
        <v>0.981822366042607</v>
      </c>
      <c r="I66" s="38" t="n">
        <f aca="false">IF(COUNT(I36:I41)=0,$B$6,MIN(I36:I41))</f>
        <v>0.93</v>
      </c>
      <c r="J66" s="38" t="n">
        <f aca="false">IF(COUNT(J36:J40)=0,$B$6,MIN(J36:J40))</f>
        <v>0.93</v>
      </c>
      <c r="K66" s="38" t="n">
        <f aca="false">IF(COUNT(K36:K39)=0,$B$6,MIN(K36:K39))</f>
        <v>0.93</v>
      </c>
      <c r="L66" s="38" t="n">
        <f aca="false">IF(COUNT(L36:L38)=0,$B$6,MIN(L36:L38))</f>
        <v>0.93</v>
      </c>
      <c r="M66" s="38" t="n">
        <f aca="false">IF(COUNT(M36:M37)=0,$B$6,MIN(M36:M37))</f>
        <v>0.93</v>
      </c>
      <c r="N66" s="38" t="n">
        <f aca="false">IF(COUNT(N36:N36)=0,$B$6,MIN(N36:N36))</f>
        <v>0.93</v>
      </c>
      <c r="O66" s="38" t="n">
        <f aca="false">$B$6</f>
        <v>0.93</v>
      </c>
      <c r="P66" s="38" t="n">
        <f aca="false">$B$6</f>
        <v>0.93</v>
      </c>
      <c r="Q66" s="38" t="n">
        <f aca="false">$B$6</f>
        <v>0.93</v>
      </c>
    </row>
    <row r="69" customFormat="false" ht="15" hidden="false" customHeight="false" outlineLevel="0" collapsed="false">
      <c r="A69" s="2" t="s">
        <v>184</v>
      </c>
    </row>
    <row r="70" customFormat="false" ht="15" hidden="false" customHeight="false" outlineLevel="0" collapsed="false">
      <c r="A70" s="8" t="s">
        <v>165</v>
      </c>
      <c r="B70" s="8" t="s">
        <v>97</v>
      </c>
      <c r="C70" s="8"/>
      <c r="D70" s="8" t="s">
        <v>99</v>
      </c>
      <c r="E70" s="8" t="s">
        <v>100</v>
      </c>
      <c r="F70" s="8" t="s">
        <v>101</v>
      </c>
      <c r="G70" s="8" t="s">
        <v>102</v>
      </c>
      <c r="H70" s="8" t="s">
        <v>103</v>
      </c>
      <c r="I70" s="8" t="s">
        <v>104</v>
      </c>
      <c r="J70" s="8" t="s">
        <v>105</v>
      </c>
      <c r="K70" s="8" t="s">
        <v>106</v>
      </c>
      <c r="L70" s="8" t="s">
        <v>107</v>
      </c>
      <c r="M70" s="8" t="s">
        <v>108</v>
      </c>
      <c r="N70" s="8" t="s">
        <v>109</v>
      </c>
      <c r="O70" s="8" t="s">
        <v>110</v>
      </c>
      <c r="P70" s="8" t="s">
        <v>180</v>
      </c>
      <c r="Q70" s="8" t="s">
        <v>181</v>
      </c>
      <c r="R70" s="8" t="s">
        <v>182</v>
      </c>
    </row>
    <row r="71" customFormat="false" ht="15" hidden="false" customHeight="false" outlineLevel="0" collapsed="false">
      <c r="A71" s="28" t="n">
        <f aca="false">EDATE(Data_Params!$B$3,0)</f>
        <v>46082</v>
      </c>
      <c r="B71" s="23" t="n">
        <f aca="false">B21</f>
        <v>0</v>
      </c>
      <c r="D71" s="29" t="n">
        <f aca="false">D21</f>
        <v>0</v>
      </c>
      <c r="E71" s="29" t="n">
        <f aca="false">E21</f>
        <v>0</v>
      </c>
      <c r="F71" s="29" t="n">
        <f aca="false">F21</f>
        <v>0</v>
      </c>
      <c r="G71" s="29" t="n">
        <f aca="false">G21</f>
        <v>0</v>
      </c>
      <c r="H71" s="29" t="n">
        <f aca="false">H21</f>
        <v>0</v>
      </c>
      <c r="I71" s="29" t="n">
        <f aca="false">I21</f>
        <v>0</v>
      </c>
      <c r="J71" s="29" t="n">
        <f aca="false">J21</f>
        <v>0</v>
      </c>
      <c r="K71" s="29" t="n">
        <f aca="false">K21</f>
        <v>0</v>
      </c>
      <c r="L71" s="29" t="n">
        <f aca="false">L21</f>
        <v>0</v>
      </c>
      <c r="M71" s="29" t="n">
        <f aca="false">M21</f>
        <v>0</v>
      </c>
      <c r="N71" s="29" t="n">
        <f aca="false">N21</f>
        <v>0</v>
      </c>
      <c r="O71" s="29" t="n">
        <f aca="false">O21</f>
        <v>0</v>
      </c>
      <c r="P71" s="29" t="n">
        <f aca="false">O71*O$86</f>
        <v>0</v>
      </c>
      <c r="Q71" s="29" t="n">
        <f aca="false">P71*P$86</f>
        <v>0</v>
      </c>
      <c r="R71" s="29" t="n">
        <f aca="false">Q71*Q$86</f>
        <v>0</v>
      </c>
    </row>
    <row r="72" customFormat="false" ht="15" hidden="false" customHeight="false" outlineLevel="0" collapsed="false">
      <c r="A72" s="28" t="n">
        <f aca="false">EDATE(Data_Params!$B$3,1)</f>
        <v>46113</v>
      </c>
      <c r="B72" s="23" t="n">
        <f aca="false">B22</f>
        <v>0</v>
      </c>
      <c r="D72" s="29" t="n">
        <f aca="false">D22</f>
        <v>0</v>
      </c>
      <c r="E72" s="29" t="n">
        <f aca="false">E22</f>
        <v>0</v>
      </c>
      <c r="F72" s="29" t="n">
        <f aca="false">F22</f>
        <v>0</v>
      </c>
      <c r="G72" s="29" t="n">
        <f aca="false">G22</f>
        <v>0</v>
      </c>
      <c r="H72" s="29" t="n">
        <f aca="false">H22</f>
        <v>0</v>
      </c>
      <c r="I72" s="29" t="n">
        <f aca="false">I22</f>
        <v>0</v>
      </c>
      <c r="J72" s="29" t="n">
        <f aca="false">J22</f>
        <v>0</v>
      </c>
      <c r="K72" s="29" t="n">
        <f aca="false">K22</f>
        <v>0</v>
      </c>
      <c r="L72" s="29" t="n">
        <f aca="false">L22</f>
        <v>0</v>
      </c>
      <c r="M72" s="29" t="n">
        <f aca="false">M22</f>
        <v>0</v>
      </c>
      <c r="N72" s="29" t="n">
        <f aca="false">N22</f>
        <v>0</v>
      </c>
      <c r="O72" s="29" t="n">
        <f aca="false">N72*N$86</f>
        <v>0</v>
      </c>
      <c r="P72" s="29" t="n">
        <f aca="false">O72*O$86</f>
        <v>0</v>
      </c>
      <c r="Q72" s="29" t="n">
        <f aca="false">P72*P$86</f>
        <v>0</v>
      </c>
    </row>
    <row r="73" customFormat="false" ht="15" hidden="false" customHeight="false" outlineLevel="0" collapsed="false">
      <c r="A73" s="28" t="n">
        <f aca="false">EDATE(Data_Params!$B$3,2)</f>
        <v>46143</v>
      </c>
      <c r="B73" s="23" t="n">
        <f aca="false">B23</f>
        <v>0</v>
      </c>
      <c r="D73" s="29" t="n">
        <f aca="false">D23</f>
        <v>0</v>
      </c>
      <c r="E73" s="29" t="n">
        <f aca="false">E23</f>
        <v>0</v>
      </c>
      <c r="F73" s="29" t="n">
        <f aca="false">F23</f>
        <v>0</v>
      </c>
      <c r="G73" s="29" t="n">
        <f aca="false">G23</f>
        <v>0</v>
      </c>
      <c r="H73" s="29" t="n">
        <f aca="false">H23</f>
        <v>0</v>
      </c>
      <c r="I73" s="29" t="n">
        <f aca="false">I23</f>
        <v>0</v>
      </c>
      <c r="J73" s="29" t="n">
        <f aca="false">J23</f>
        <v>0</v>
      </c>
      <c r="K73" s="29" t="n">
        <f aca="false">K23</f>
        <v>0</v>
      </c>
      <c r="L73" s="29" t="n">
        <f aca="false">L23</f>
        <v>0</v>
      </c>
      <c r="M73" s="29" t="n">
        <f aca="false">M23</f>
        <v>0</v>
      </c>
      <c r="N73" s="29" t="n">
        <f aca="false">M73*M$86</f>
        <v>0</v>
      </c>
      <c r="O73" s="29" t="n">
        <f aca="false">N73*N$86</f>
        <v>0</v>
      </c>
      <c r="P73" s="29" t="n">
        <f aca="false">O73*O$86</f>
        <v>0</v>
      </c>
    </row>
    <row r="74" customFormat="false" ht="15" hidden="false" customHeight="false" outlineLevel="0" collapsed="false">
      <c r="A74" s="28" t="n">
        <f aca="false">EDATE(Data_Params!$B$3,3)</f>
        <v>46174</v>
      </c>
      <c r="B74" s="23" t="n">
        <f aca="false">B24</f>
        <v>0</v>
      </c>
      <c r="D74" s="29" t="n">
        <f aca="false">D24</f>
        <v>0</v>
      </c>
      <c r="E74" s="29" t="n">
        <f aca="false">E24</f>
        <v>0</v>
      </c>
      <c r="F74" s="29" t="n">
        <f aca="false">F24</f>
        <v>0</v>
      </c>
      <c r="G74" s="29" t="n">
        <f aca="false">G24</f>
        <v>0</v>
      </c>
      <c r="H74" s="29" t="n">
        <f aca="false">H24</f>
        <v>0</v>
      </c>
      <c r="I74" s="29" t="n">
        <f aca="false">I24</f>
        <v>0</v>
      </c>
      <c r="J74" s="29" t="n">
        <f aca="false">J24</f>
        <v>0</v>
      </c>
      <c r="K74" s="29" t="n">
        <f aca="false">K24</f>
        <v>0</v>
      </c>
      <c r="L74" s="29" t="n">
        <f aca="false">L24</f>
        <v>0</v>
      </c>
      <c r="M74" s="29" t="n">
        <f aca="false">L74*L$86</f>
        <v>0</v>
      </c>
      <c r="N74" s="29" t="n">
        <f aca="false">M74*M$86</f>
        <v>0</v>
      </c>
      <c r="O74" s="29" t="n">
        <f aca="false">N74*N$86</f>
        <v>0</v>
      </c>
    </row>
    <row r="75" customFormat="false" ht="15" hidden="false" customHeight="false" outlineLevel="0" collapsed="false">
      <c r="A75" s="28" t="n">
        <f aca="false">EDATE(Data_Params!$B$3,4)</f>
        <v>46204</v>
      </c>
      <c r="B75" s="23" t="n">
        <f aca="false">B25</f>
        <v>0</v>
      </c>
      <c r="D75" s="29" t="n">
        <f aca="false">D25</f>
        <v>0</v>
      </c>
      <c r="E75" s="29" t="n">
        <f aca="false">E25</f>
        <v>0</v>
      </c>
      <c r="F75" s="29" t="n">
        <f aca="false">F25</f>
        <v>0</v>
      </c>
      <c r="G75" s="29" t="n">
        <f aca="false">G25</f>
        <v>0</v>
      </c>
      <c r="H75" s="29" t="n">
        <f aca="false">H25</f>
        <v>0</v>
      </c>
      <c r="I75" s="29" t="n">
        <f aca="false">I25</f>
        <v>0</v>
      </c>
      <c r="J75" s="29" t="n">
        <f aca="false">J25</f>
        <v>0</v>
      </c>
      <c r="K75" s="29" t="n">
        <f aca="false">K25</f>
        <v>0</v>
      </c>
      <c r="L75" s="29" t="n">
        <f aca="false">K75*K$86</f>
        <v>0</v>
      </c>
      <c r="M75" s="29" t="n">
        <f aca="false">L75*L$86</f>
        <v>0</v>
      </c>
      <c r="N75" s="29" t="n">
        <f aca="false">M75*M$86</f>
        <v>0</v>
      </c>
    </row>
    <row r="76" customFormat="false" ht="15" hidden="false" customHeight="false" outlineLevel="0" collapsed="false">
      <c r="A76" s="28" t="n">
        <f aca="false">EDATE(Data_Params!$B$3,5)</f>
        <v>46235</v>
      </c>
      <c r="B76" s="23" t="n">
        <f aca="false">B26</f>
        <v>0</v>
      </c>
      <c r="D76" s="29" t="n">
        <f aca="false">D26</f>
        <v>0</v>
      </c>
      <c r="E76" s="29" t="n">
        <f aca="false">E26</f>
        <v>0</v>
      </c>
      <c r="F76" s="29" t="n">
        <f aca="false">F26</f>
        <v>0</v>
      </c>
      <c r="G76" s="29" t="n">
        <f aca="false">G26</f>
        <v>0</v>
      </c>
      <c r="H76" s="29" t="n">
        <f aca="false">H26</f>
        <v>0</v>
      </c>
      <c r="I76" s="29" t="n">
        <f aca="false">I26</f>
        <v>0</v>
      </c>
      <c r="J76" s="29" t="n">
        <f aca="false">J26</f>
        <v>0</v>
      </c>
      <c r="K76" s="29" t="n">
        <f aca="false">J76*J$86</f>
        <v>0</v>
      </c>
      <c r="L76" s="29" t="n">
        <f aca="false">K76*K$86</f>
        <v>0</v>
      </c>
      <c r="M76" s="29" t="n">
        <f aca="false">L76*L$86</f>
        <v>0</v>
      </c>
    </row>
    <row r="77" customFormat="false" ht="15" hidden="false" customHeight="false" outlineLevel="0" collapsed="false">
      <c r="A77" s="28" t="n">
        <f aca="false">EDATE(Data_Params!$B$3,6)</f>
        <v>46266</v>
      </c>
      <c r="B77" s="23" t="n">
        <f aca="false">B27</f>
        <v>204</v>
      </c>
      <c r="D77" s="29" t="n">
        <f aca="false">D27</f>
        <v>0.3777115850625</v>
      </c>
      <c r="E77" s="29" t="n">
        <f aca="false">E27</f>
        <v>0.725910468096774</v>
      </c>
      <c r="F77" s="29" t="n">
        <f aca="false">F27</f>
        <v>1.8299240047</v>
      </c>
      <c r="G77" s="29" t="n">
        <f aca="false">G27</f>
        <v>2.08556663087097</v>
      </c>
      <c r="H77" s="29" t="n">
        <f aca="false">H27</f>
        <v>2.06795500232258</v>
      </c>
      <c r="I77" s="29" t="n">
        <f aca="false">I27</f>
        <v>2.03036447325</v>
      </c>
      <c r="J77" s="29" t="n">
        <f aca="false">I77*I$86</f>
        <v>1.9694535390525</v>
      </c>
      <c r="K77" s="29" t="n">
        <f aca="false">J77*J$86</f>
        <v>1.91036993288093</v>
      </c>
      <c r="L77" s="29" t="n">
        <f aca="false">K77*K$86</f>
        <v>1.8530588348945</v>
      </c>
    </row>
    <row r="78" customFormat="false" ht="15" hidden="false" customHeight="false" outlineLevel="0" collapsed="false">
      <c r="A78" s="28" t="n">
        <f aca="false">EDATE(Data_Params!$B$3,7)</f>
        <v>46296</v>
      </c>
      <c r="B78" s="23" t="n">
        <f aca="false">B28</f>
        <v>302</v>
      </c>
      <c r="D78" s="29" t="n">
        <f aca="false">D28</f>
        <v>0.987606530870968</v>
      </c>
      <c r="E78" s="29" t="n">
        <f aca="false">E28</f>
        <v>6.21964722656667</v>
      </c>
      <c r="F78" s="29" t="n">
        <f aca="false">F28</f>
        <v>14.8079978047742</v>
      </c>
      <c r="G78" s="29" t="n">
        <f aca="false">G28</f>
        <v>15.7921158797097</v>
      </c>
      <c r="H78" s="29" t="n">
        <f aca="false">H28</f>
        <v>16.5188777368929</v>
      </c>
      <c r="I78" s="29" t="n">
        <f aca="false">H78*H$86</f>
        <v>16.2186036240047</v>
      </c>
      <c r="J78" s="29" t="n">
        <f aca="false">I78*I$86</f>
        <v>15.7320455152845</v>
      </c>
      <c r="K78" s="29" t="n">
        <f aca="false">J78*J$86</f>
        <v>15.260084149826</v>
      </c>
    </row>
    <row r="79" customFormat="false" ht="15" hidden="false" customHeight="false" outlineLevel="0" collapsed="false">
      <c r="A79" s="28" t="n">
        <f aca="false">EDATE(Data_Params!$B$3,8)</f>
        <v>46327</v>
      </c>
      <c r="B79" s="23" t="n">
        <f aca="false">B29</f>
        <v>349</v>
      </c>
      <c r="D79" s="29" t="n">
        <f aca="false">D29</f>
        <v>0.478716380966667</v>
      </c>
      <c r="E79" s="29" t="n">
        <f aca="false">E29</f>
        <v>2.64661306070968</v>
      </c>
      <c r="F79" s="29" t="n">
        <f aca="false">F29</f>
        <v>5.645781064</v>
      </c>
      <c r="G79" s="29" t="n">
        <f aca="false">G29</f>
        <v>5.91594707932143</v>
      </c>
      <c r="H79" s="29" t="n">
        <f aca="false">G79*G$86</f>
        <v>6.1506136934874</v>
      </c>
      <c r="I79" s="29" t="n">
        <f aca="false">H79*H$86</f>
        <v>6.03881008915385</v>
      </c>
      <c r="J79" s="29" t="n">
        <f aca="false">I79*I$86</f>
        <v>5.85764578647924</v>
      </c>
    </row>
    <row r="80" customFormat="false" ht="15" hidden="false" customHeight="false" outlineLevel="0" collapsed="false">
      <c r="A80" s="28" t="n">
        <f aca="false">EDATE(Data_Params!$B$3,9)</f>
        <v>46357</v>
      </c>
      <c r="B80" s="23" t="n">
        <f aca="false">B30</f>
        <v>335</v>
      </c>
      <c r="D80" s="29" t="n">
        <f aca="false">D30</f>
        <v>0.655222098129032</v>
      </c>
      <c r="E80" s="29" t="n">
        <f aca="false">E30</f>
        <v>3.17842641687097</v>
      </c>
      <c r="F80" s="29" t="n">
        <f aca="false">F30</f>
        <v>5.88272660207143</v>
      </c>
      <c r="G80" s="29" t="n">
        <f aca="false">F80*F$86</f>
        <v>6.28133567132455</v>
      </c>
      <c r="H80" s="29" t="n">
        <f aca="false">G80*G$86</f>
        <v>6.53049607703236</v>
      </c>
      <c r="I80" s="29" t="n">
        <f aca="false">H80*H$86</f>
        <v>6.41178710978387</v>
      </c>
    </row>
    <row r="81" customFormat="false" ht="15" hidden="false" customHeight="false" outlineLevel="0" collapsed="false">
      <c r="A81" s="28" t="n">
        <f aca="false">EDATE(Data_Params!$B$3,10)</f>
        <v>46388</v>
      </c>
      <c r="B81" s="23" t="n">
        <f aca="false">B31</f>
        <v>385</v>
      </c>
      <c r="D81" s="29" t="n">
        <f aca="false">D31</f>
        <v>1.4209448453871</v>
      </c>
      <c r="E81" s="29" t="n">
        <f aca="false">E31</f>
        <v>6.15769955392857</v>
      </c>
      <c r="F81" s="29" t="n">
        <f aca="false">E81*E$86</f>
        <v>13.581229434931</v>
      </c>
      <c r="G81" s="29" t="n">
        <f aca="false">F81*F$86</f>
        <v>14.5014831863912</v>
      </c>
      <c r="H81" s="29" t="n">
        <f aca="false">G81*G$86</f>
        <v>15.0767104347265</v>
      </c>
    </row>
    <row r="82" customFormat="false" ht="15" hidden="false" customHeight="false" outlineLevel="0" collapsed="false">
      <c r="A82" s="28" t="n">
        <f aca="false">EDATE(Data_Params!$B$3,11)</f>
        <v>46419</v>
      </c>
      <c r="B82" s="23" t="n">
        <f aca="false">B32</f>
        <v>441</v>
      </c>
      <c r="D82" s="29" t="n">
        <f aca="false">D32</f>
        <v>1.132861639</v>
      </c>
      <c r="E82" s="29" t="n">
        <f aca="false">D82*D$86</f>
        <v>5.46990800820005</v>
      </c>
      <c r="F82" s="29" t="n">
        <f aca="false">E82*E$86</f>
        <v>12.0642579256625</v>
      </c>
      <c r="G82" s="29" t="n">
        <f aca="false">F82*F$86</f>
        <v>12.8817228442743</v>
      </c>
    </row>
    <row r="83" customFormat="false" ht="15" hidden="false" customHeight="false" outlineLevel="0" collapsed="false">
      <c r="A83" s="28" t="n">
        <f aca="false">EDATE(Data_Params!$B$3,12)</f>
        <v>46447</v>
      </c>
      <c r="B83" s="23" t="n">
        <f aca="false">B82*(1+$C$7)</f>
        <v>476.770794086419</v>
      </c>
      <c r="D83" s="29" t="n">
        <f aca="false">B83*$C$8</f>
        <v>1.30563681106021</v>
      </c>
      <c r="E83" s="29" t="n">
        <f aca="false">D83*D$86</f>
        <v>6.30413547670582</v>
      </c>
      <c r="F83" s="29" t="n">
        <f aca="false">E83*E$86</f>
        <v>13.9042039235913</v>
      </c>
    </row>
    <row r="84" customFormat="false" ht="15" hidden="false" customHeight="false" outlineLevel="0" collapsed="false">
      <c r="A84" s="28" t="n">
        <f aca="false">EDATE(Data_Params!$B$3,13)</f>
        <v>46478</v>
      </c>
      <c r="B84" s="23" t="n">
        <f aca="false">B83*(1+$C$7)</f>
        <v>515.443061437175</v>
      </c>
      <c r="D84" s="29" t="n">
        <f aca="false">B84*$C$8</f>
        <v>1.41154081450711</v>
      </c>
      <c r="E84" s="29" t="n">
        <f aca="false">D84*D$86</f>
        <v>6.81548226135464</v>
      </c>
    </row>
    <row r="85" customFormat="false" ht="15" hidden="false" customHeight="false" outlineLevel="0" collapsed="false">
      <c r="A85" s="28" t="n">
        <f aca="false">EDATE(Data_Params!$B$3,14)</f>
        <v>46508</v>
      </c>
      <c r="B85" s="23" t="n">
        <f aca="false">B84*(1+$C$7)</f>
        <v>557.252148997135</v>
      </c>
      <c r="D85" s="29" t="n">
        <f aca="false">B85*$C$8</f>
        <v>1.52603500004069</v>
      </c>
    </row>
    <row r="86" customFormat="false" ht="15" hidden="false" customHeight="false" outlineLevel="0" collapsed="false">
      <c r="A86" s="2" t="s">
        <v>183</v>
      </c>
      <c r="D86" s="38" t="n">
        <f aca="false">IF(SUM(D21:D31)=0,$C$6,SUMPRODUCT((D21:D31&gt;0)*E21:E31)/SUM(D21:D31))</f>
        <v>4.82839900292541</v>
      </c>
      <c r="E86" s="38" t="n">
        <f aca="false">IF(SUM(E21:E30)=0,$C$6,SUMPRODUCT((E21:E30&gt;0)*F21:F30)/SUM(E21:E30))</f>
        <v>2.20556870564857</v>
      </c>
      <c r="F86" s="38" t="n">
        <f aca="false">IF(SUM(F21:F29)=0,$C$6,SUMPRODUCT((F21:F29&gt;0)*G21:G29)/SUM(F21:F29))</f>
        <v>1.06775923754688</v>
      </c>
      <c r="G86" s="38" t="n">
        <f aca="false">IF(SUM(G21:G28)=0,$C$6,SUMPRODUCT((G21:G28&gt;0)*H21:H28)/SUM(G21:G28))</f>
        <v>1.03966678724802</v>
      </c>
      <c r="H86" s="38" t="n">
        <f aca="false">IF(SUM(H21:H27)=0,$C$6,SUMPRODUCT((H21:H27&gt;0)*I21:I27)/SUM(H21:H27))</f>
        <v>0.981822366042607</v>
      </c>
      <c r="I86" s="38" t="n">
        <f aca="false">IF(SUM(I21:I26)=0,$C$6,SUMPRODUCT((I21:I26&gt;0)*J21:J26)/SUM(I21:I26))</f>
        <v>0.97</v>
      </c>
      <c r="J86" s="38" t="n">
        <f aca="false">IF(SUM(J21:J25)=0,$C$6,SUMPRODUCT((J21:J25&gt;0)*K21:K25)/SUM(J21:J25))</f>
        <v>0.97</v>
      </c>
      <c r="K86" s="38" t="n">
        <f aca="false">IF(SUM(K21:K24)=0,$C$6,SUMPRODUCT((K21:K24&gt;0)*L21:L24)/SUM(K21:K24))</f>
        <v>0.97</v>
      </c>
      <c r="L86" s="38" t="n">
        <f aca="false">IF(SUM(L21:L23)=0,$C$6,SUMPRODUCT((L21:L23&gt;0)*M21:M23)/SUM(L21:L23))</f>
        <v>0.97</v>
      </c>
      <c r="M86" s="38" t="n">
        <f aca="false">IF(SUM(M21:M22)=0,$C$6,SUMPRODUCT((M21:M22&gt;0)*N21:N22)/SUM(M21:M22))</f>
        <v>0.97</v>
      </c>
      <c r="N86" s="38" t="n">
        <f aca="false">IF(SUM(N21:N21)=0,$C$6,SUMPRODUCT((N21:N21&gt;0)*O21:O21)/SUM(N21:N21))</f>
        <v>0.97</v>
      </c>
      <c r="O86" s="38" t="n">
        <f aca="false">$C$6</f>
        <v>0.97</v>
      </c>
      <c r="P86" s="38" t="n">
        <f aca="false">$C$6</f>
        <v>0.97</v>
      </c>
      <c r="Q86" s="38" t="n">
        <f aca="false">$C$6</f>
        <v>0.97</v>
      </c>
    </row>
    <row r="89" customFormat="false" ht="15" hidden="false" customHeight="false" outlineLevel="0" collapsed="false">
      <c r="A89" s="2" t="s">
        <v>185</v>
      </c>
    </row>
    <row r="90" customFormat="false" ht="15" hidden="false" customHeight="false" outlineLevel="0" collapsed="false">
      <c r="A90" s="8" t="s">
        <v>165</v>
      </c>
      <c r="B90" s="8" t="s">
        <v>97</v>
      </c>
      <c r="C90" s="8"/>
      <c r="D90" s="8" t="s">
        <v>99</v>
      </c>
      <c r="E90" s="8" t="s">
        <v>100</v>
      </c>
      <c r="F90" s="8" t="s">
        <v>101</v>
      </c>
      <c r="G90" s="8" t="s">
        <v>102</v>
      </c>
      <c r="H90" s="8" t="s">
        <v>103</v>
      </c>
      <c r="I90" s="8" t="s">
        <v>104</v>
      </c>
      <c r="J90" s="8" t="s">
        <v>105</v>
      </c>
      <c r="K90" s="8" t="s">
        <v>106</v>
      </c>
      <c r="L90" s="8" t="s">
        <v>107</v>
      </c>
      <c r="M90" s="8" t="s">
        <v>108</v>
      </c>
      <c r="N90" s="8" t="s">
        <v>109</v>
      </c>
      <c r="O90" s="8" t="s">
        <v>110</v>
      </c>
      <c r="P90" s="8" t="s">
        <v>180</v>
      </c>
      <c r="Q90" s="8" t="s">
        <v>181</v>
      </c>
      <c r="R90" s="8" t="s">
        <v>182</v>
      </c>
    </row>
    <row r="91" customFormat="false" ht="15" hidden="false" customHeight="false" outlineLevel="0" collapsed="false">
      <c r="A91" s="28" t="n">
        <f aca="false">EDATE(Data_Params!$B$3,0)</f>
        <v>46082</v>
      </c>
      <c r="B91" s="23" t="n">
        <f aca="false">B21</f>
        <v>0</v>
      </c>
      <c r="D91" s="29" t="n">
        <f aca="false">D21</f>
        <v>0</v>
      </c>
      <c r="E91" s="29" t="n">
        <f aca="false">E21</f>
        <v>0</v>
      </c>
      <c r="F91" s="29" t="n">
        <f aca="false">F21</f>
        <v>0</v>
      </c>
      <c r="G91" s="29" t="n">
        <f aca="false">G21</f>
        <v>0</v>
      </c>
      <c r="H91" s="29" t="n">
        <f aca="false">H21</f>
        <v>0</v>
      </c>
      <c r="I91" s="29" t="n">
        <f aca="false">I21</f>
        <v>0</v>
      </c>
      <c r="J91" s="29" t="n">
        <f aca="false">J21</f>
        <v>0</v>
      </c>
      <c r="K91" s="29" t="n">
        <f aca="false">K21</f>
        <v>0</v>
      </c>
      <c r="L91" s="29" t="n">
        <f aca="false">L21</f>
        <v>0</v>
      </c>
      <c r="M91" s="29" t="n">
        <f aca="false">M21</f>
        <v>0</v>
      </c>
      <c r="N91" s="29" t="n">
        <f aca="false">N21</f>
        <v>0</v>
      </c>
      <c r="O91" s="29" t="n">
        <f aca="false">O21</f>
        <v>0</v>
      </c>
      <c r="P91" s="29" t="n">
        <f aca="false">O91*O$106</f>
        <v>0</v>
      </c>
      <c r="Q91" s="29" t="n">
        <f aca="false">P91*P$106</f>
        <v>0</v>
      </c>
      <c r="R91" s="29" t="n">
        <f aca="false">Q91*Q$106</f>
        <v>0</v>
      </c>
    </row>
    <row r="92" customFormat="false" ht="15" hidden="false" customHeight="false" outlineLevel="0" collapsed="false">
      <c r="A92" s="28" t="n">
        <f aca="false">EDATE(Data_Params!$B$3,1)</f>
        <v>46113</v>
      </c>
      <c r="B92" s="23" t="n">
        <f aca="false">B22</f>
        <v>0</v>
      </c>
      <c r="D92" s="29" t="n">
        <f aca="false">D22</f>
        <v>0</v>
      </c>
      <c r="E92" s="29" t="n">
        <f aca="false">E22</f>
        <v>0</v>
      </c>
      <c r="F92" s="29" t="n">
        <f aca="false">F22</f>
        <v>0</v>
      </c>
      <c r="G92" s="29" t="n">
        <f aca="false">G22</f>
        <v>0</v>
      </c>
      <c r="H92" s="29" t="n">
        <f aca="false">H22</f>
        <v>0</v>
      </c>
      <c r="I92" s="29" t="n">
        <f aca="false">I22</f>
        <v>0</v>
      </c>
      <c r="J92" s="29" t="n">
        <f aca="false">J22</f>
        <v>0</v>
      </c>
      <c r="K92" s="29" t="n">
        <f aca="false">K22</f>
        <v>0</v>
      </c>
      <c r="L92" s="29" t="n">
        <f aca="false">L22</f>
        <v>0</v>
      </c>
      <c r="M92" s="29" t="n">
        <f aca="false">M22</f>
        <v>0</v>
      </c>
      <c r="N92" s="29" t="n">
        <f aca="false">N22</f>
        <v>0</v>
      </c>
      <c r="O92" s="29" t="n">
        <f aca="false">N92*N$106</f>
        <v>0</v>
      </c>
      <c r="P92" s="29" t="n">
        <f aca="false">O92*O$106</f>
        <v>0</v>
      </c>
      <c r="Q92" s="29" t="n">
        <f aca="false">P92*P$106</f>
        <v>0</v>
      </c>
    </row>
    <row r="93" customFormat="false" ht="15" hidden="false" customHeight="false" outlineLevel="0" collapsed="false">
      <c r="A93" s="28" t="n">
        <f aca="false">EDATE(Data_Params!$B$3,2)</f>
        <v>46143</v>
      </c>
      <c r="B93" s="23" t="n">
        <f aca="false">B23</f>
        <v>0</v>
      </c>
      <c r="D93" s="29" t="n">
        <f aca="false">D23</f>
        <v>0</v>
      </c>
      <c r="E93" s="29" t="n">
        <f aca="false">E23</f>
        <v>0</v>
      </c>
      <c r="F93" s="29" t="n">
        <f aca="false">F23</f>
        <v>0</v>
      </c>
      <c r="G93" s="29" t="n">
        <f aca="false">G23</f>
        <v>0</v>
      </c>
      <c r="H93" s="29" t="n">
        <f aca="false">H23</f>
        <v>0</v>
      </c>
      <c r="I93" s="29" t="n">
        <f aca="false">I23</f>
        <v>0</v>
      </c>
      <c r="J93" s="29" t="n">
        <f aca="false">J23</f>
        <v>0</v>
      </c>
      <c r="K93" s="29" t="n">
        <f aca="false">K23</f>
        <v>0</v>
      </c>
      <c r="L93" s="29" t="n">
        <f aca="false">L23</f>
        <v>0</v>
      </c>
      <c r="M93" s="29" t="n">
        <f aca="false">M23</f>
        <v>0</v>
      </c>
      <c r="N93" s="29" t="n">
        <f aca="false">M93*M$106</f>
        <v>0</v>
      </c>
      <c r="O93" s="29" t="n">
        <f aca="false">N93*N$106</f>
        <v>0</v>
      </c>
      <c r="P93" s="29" t="n">
        <f aca="false">O93*O$106</f>
        <v>0</v>
      </c>
    </row>
    <row r="94" customFormat="false" ht="15" hidden="false" customHeight="false" outlineLevel="0" collapsed="false">
      <c r="A94" s="28" t="n">
        <f aca="false">EDATE(Data_Params!$B$3,3)</f>
        <v>46174</v>
      </c>
      <c r="B94" s="23" t="n">
        <f aca="false">B24</f>
        <v>0</v>
      </c>
      <c r="D94" s="29" t="n">
        <f aca="false">D24</f>
        <v>0</v>
      </c>
      <c r="E94" s="29" t="n">
        <f aca="false">E24</f>
        <v>0</v>
      </c>
      <c r="F94" s="29" t="n">
        <f aca="false">F24</f>
        <v>0</v>
      </c>
      <c r="G94" s="29" t="n">
        <f aca="false">G24</f>
        <v>0</v>
      </c>
      <c r="H94" s="29" t="n">
        <f aca="false">H24</f>
        <v>0</v>
      </c>
      <c r="I94" s="29" t="n">
        <f aca="false">I24</f>
        <v>0</v>
      </c>
      <c r="J94" s="29" t="n">
        <f aca="false">J24</f>
        <v>0</v>
      </c>
      <c r="K94" s="29" t="n">
        <f aca="false">K24</f>
        <v>0</v>
      </c>
      <c r="L94" s="29" t="n">
        <f aca="false">L24</f>
        <v>0</v>
      </c>
      <c r="M94" s="29" t="n">
        <f aca="false">L94*L$106</f>
        <v>0</v>
      </c>
      <c r="N94" s="29" t="n">
        <f aca="false">M94*M$106</f>
        <v>0</v>
      </c>
      <c r="O94" s="29" t="n">
        <f aca="false">N94*N$106</f>
        <v>0</v>
      </c>
    </row>
    <row r="95" customFormat="false" ht="15" hidden="false" customHeight="false" outlineLevel="0" collapsed="false">
      <c r="A95" s="28" t="n">
        <f aca="false">EDATE(Data_Params!$B$3,4)</f>
        <v>46204</v>
      </c>
      <c r="B95" s="23" t="n">
        <f aca="false">B25</f>
        <v>0</v>
      </c>
      <c r="D95" s="29" t="n">
        <f aca="false">D25</f>
        <v>0</v>
      </c>
      <c r="E95" s="29" t="n">
        <f aca="false">E25</f>
        <v>0</v>
      </c>
      <c r="F95" s="29" t="n">
        <f aca="false">F25</f>
        <v>0</v>
      </c>
      <c r="G95" s="29" t="n">
        <f aca="false">G25</f>
        <v>0</v>
      </c>
      <c r="H95" s="29" t="n">
        <f aca="false">H25</f>
        <v>0</v>
      </c>
      <c r="I95" s="29" t="n">
        <f aca="false">I25</f>
        <v>0</v>
      </c>
      <c r="J95" s="29" t="n">
        <f aca="false">J25</f>
        <v>0</v>
      </c>
      <c r="K95" s="29" t="n">
        <f aca="false">K25</f>
        <v>0</v>
      </c>
      <c r="L95" s="29" t="n">
        <f aca="false">K95*K$106</f>
        <v>0</v>
      </c>
      <c r="M95" s="29" t="n">
        <f aca="false">L95*L$106</f>
        <v>0</v>
      </c>
      <c r="N95" s="29" t="n">
        <f aca="false">M95*M$106</f>
        <v>0</v>
      </c>
    </row>
    <row r="96" customFormat="false" ht="15" hidden="false" customHeight="false" outlineLevel="0" collapsed="false">
      <c r="A96" s="28" t="n">
        <f aca="false">EDATE(Data_Params!$B$3,5)</f>
        <v>46235</v>
      </c>
      <c r="B96" s="23" t="n">
        <f aca="false">B26</f>
        <v>0</v>
      </c>
      <c r="D96" s="29" t="n">
        <f aca="false">D26</f>
        <v>0</v>
      </c>
      <c r="E96" s="29" t="n">
        <f aca="false">E26</f>
        <v>0</v>
      </c>
      <c r="F96" s="29" t="n">
        <f aca="false">F26</f>
        <v>0</v>
      </c>
      <c r="G96" s="29" t="n">
        <f aca="false">G26</f>
        <v>0</v>
      </c>
      <c r="H96" s="29" t="n">
        <f aca="false">H26</f>
        <v>0</v>
      </c>
      <c r="I96" s="29" t="n">
        <f aca="false">I26</f>
        <v>0</v>
      </c>
      <c r="J96" s="29" t="n">
        <f aca="false">J26</f>
        <v>0</v>
      </c>
      <c r="K96" s="29" t="n">
        <f aca="false">J96*J$106</f>
        <v>0</v>
      </c>
      <c r="L96" s="29" t="n">
        <f aca="false">K96*K$106</f>
        <v>0</v>
      </c>
      <c r="M96" s="29" t="n">
        <f aca="false">L96*L$106</f>
        <v>0</v>
      </c>
    </row>
    <row r="97" customFormat="false" ht="15" hidden="false" customHeight="false" outlineLevel="0" collapsed="false">
      <c r="A97" s="28" t="n">
        <f aca="false">EDATE(Data_Params!$B$3,6)</f>
        <v>46266</v>
      </c>
      <c r="B97" s="23" t="n">
        <f aca="false">B27</f>
        <v>204</v>
      </c>
      <c r="D97" s="29" t="n">
        <f aca="false">D27</f>
        <v>0.3777115850625</v>
      </c>
      <c r="E97" s="29" t="n">
        <f aca="false">E27</f>
        <v>0.725910468096774</v>
      </c>
      <c r="F97" s="29" t="n">
        <f aca="false">F27</f>
        <v>1.8299240047</v>
      </c>
      <c r="G97" s="29" t="n">
        <f aca="false">G27</f>
        <v>2.08556663087097</v>
      </c>
      <c r="H97" s="29" t="n">
        <f aca="false">H27</f>
        <v>2.06795500232258</v>
      </c>
      <c r="I97" s="29" t="n">
        <f aca="false">I27</f>
        <v>2.03036447325</v>
      </c>
      <c r="J97" s="29" t="n">
        <f aca="false">I97*I$106</f>
        <v>2.03036447325</v>
      </c>
      <c r="K97" s="29" t="n">
        <f aca="false">J97*J$106</f>
        <v>2.03036447325</v>
      </c>
      <c r="L97" s="29" t="n">
        <f aca="false">K97*K$106</f>
        <v>2.03036447325</v>
      </c>
    </row>
    <row r="98" customFormat="false" ht="15" hidden="false" customHeight="false" outlineLevel="0" collapsed="false">
      <c r="A98" s="28" t="n">
        <f aca="false">EDATE(Data_Params!$B$3,7)</f>
        <v>46296</v>
      </c>
      <c r="B98" s="23" t="n">
        <f aca="false">B28</f>
        <v>302</v>
      </c>
      <c r="D98" s="29" t="n">
        <f aca="false">D28</f>
        <v>0.987606530870968</v>
      </c>
      <c r="E98" s="29" t="n">
        <f aca="false">E28</f>
        <v>6.21964722656667</v>
      </c>
      <c r="F98" s="29" t="n">
        <f aca="false">F28</f>
        <v>14.8079978047742</v>
      </c>
      <c r="G98" s="29" t="n">
        <f aca="false">G28</f>
        <v>15.7921158797097</v>
      </c>
      <c r="H98" s="29" t="n">
        <f aca="false">H28</f>
        <v>16.5188777368929</v>
      </c>
      <c r="I98" s="29" t="n">
        <f aca="false">H98*H$106</f>
        <v>16.2186036240047</v>
      </c>
      <c r="J98" s="29" t="n">
        <f aca="false">I98*I$106</f>
        <v>16.2186036240047</v>
      </c>
      <c r="K98" s="29" t="n">
        <f aca="false">J98*J$106</f>
        <v>16.2186036240047</v>
      </c>
    </row>
    <row r="99" customFormat="false" ht="15" hidden="false" customHeight="false" outlineLevel="0" collapsed="false">
      <c r="A99" s="28" t="n">
        <f aca="false">EDATE(Data_Params!$B$3,8)</f>
        <v>46327</v>
      </c>
      <c r="B99" s="23" t="n">
        <f aca="false">B29</f>
        <v>349</v>
      </c>
      <c r="D99" s="29" t="n">
        <f aca="false">D29</f>
        <v>0.478716380966667</v>
      </c>
      <c r="E99" s="29" t="n">
        <f aca="false">E29</f>
        <v>2.64661306070968</v>
      </c>
      <c r="F99" s="29" t="n">
        <f aca="false">F29</f>
        <v>5.645781064</v>
      </c>
      <c r="G99" s="29" t="n">
        <f aca="false">G29</f>
        <v>5.91594707932143</v>
      </c>
      <c r="H99" s="29" t="n">
        <f aca="false">G99*G$106</f>
        <v>6.18820221720889</v>
      </c>
      <c r="I99" s="29" t="n">
        <f aca="false">H99*H$106</f>
        <v>6.07571534245013</v>
      </c>
      <c r="J99" s="29" t="n">
        <f aca="false">I99*I$106</f>
        <v>6.07571534245013</v>
      </c>
    </row>
    <row r="100" customFormat="false" ht="15" hidden="false" customHeight="false" outlineLevel="0" collapsed="false">
      <c r="A100" s="28" t="n">
        <f aca="false">EDATE(Data_Params!$B$3,9)</f>
        <v>46357</v>
      </c>
      <c r="B100" s="23" t="n">
        <f aca="false">B30</f>
        <v>335</v>
      </c>
      <c r="D100" s="29" t="n">
        <f aca="false">D30</f>
        <v>0.655222098129032</v>
      </c>
      <c r="E100" s="29" t="n">
        <f aca="false">E30</f>
        <v>3.17842641687097</v>
      </c>
      <c r="F100" s="29" t="n">
        <f aca="false">F30</f>
        <v>5.88272660207143</v>
      </c>
      <c r="G100" s="29" t="n">
        <f aca="false">F100*F$106</f>
        <v>6.70455071812039</v>
      </c>
      <c r="H100" s="29" t="n">
        <f aca="false">G100*G$106</f>
        <v>7.01309782913422</v>
      </c>
      <c r="I100" s="29" t="n">
        <f aca="false">H100*H$106</f>
        <v>6.88561630388882</v>
      </c>
    </row>
    <row r="101" customFormat="false" ht="15" hidden="false" customHeight="false" outlineLevel="0" collapsed="false">
      <c r="A101" s="28" t="n">
        <f aca="false">EDATE(Data_Params!$B$3,10)</f>
        <v>46388</v>
      </c>
      <c r="B101" s="23" t="n">
        <f aca="false">B31</f>
        <v>385</v>
      </c>
      <c r="D101" s="29" t="n">
        <f aca="false">D31</f>
        <v>1.4209448453871</v>
      </c>
      <c r="E101" s="29" t="n">
        <f aca="false">E31</f>
        <v>6.15769955392857</v>
      </c>
      <c r="F101" s="29" t="n">
        <f aca="false">E101*E$106</f>
        <v>15.522743813032</v>
      </c>
      <c r="G101" s="29" t="n">
        <f aca="false">F101*F$106</f>
        <v>17.691290148044</v>
      </c>
      <c r="H101" s="29" t="n">
        <f aca="false">G101*G$106</f>
        <v>18.5054530494497</v>
      </c>
    </row>
    <row r="102" customFormat="false" ht="15" hidden="false" customHeight="false" outlineLevel="0" collapsed="false">
      <c r="A102" s="28" t="n">
        <f aca="false">EDATE(Data_Params!$B$3,11)</f>
        <v>46419</v>
      </c>
      <c r="B102" s="23" t="n">
        <f aca="false">B32</f>
        <v>441</v>
      </c>
      <c r="D102" s="29" t="n">
        <f aca="false">D32</f>
        <v>1.132861639</v>
      </c>
      <c r="E102" s="29" t="n">
        <f aca="false">D102*D$106</f>
        <v>7.13441996467588</v>
      </c>
      <c r="F102" s="29" t="n">
        <f aca="false">E102*E$106</f>
        <v>17.9849264155133</v>
      </c>
      <c r="G102" s="29" t="n">
        <f aca="false">F102*F$106</f>
        <v>20.4974426776885</v>
      </c>
    </row>
    <row r="103" customFormat="false" ht="15" hidden="false" customHeight="false" outlineLevel="0" collapsed="false">
      <c r="A103" s="28" t="n">
        <f aca="false">EDATE(Data_Params!$B$3,12)</f>
        <v>46447</v>
      </c>
      <c r="B103" s="23" t="n">
        <f aca="false">B102*(1+$D$7)</f>
        <v>512.541588172837</v>
      </c>
      <c r="D103" s="29" t="n">
        <f aca="false">B103*$D$8</f>
        <v>1.89167098119665</v>
      </c>
      <c r="E103" s="29" t="n">
        <f aca="false">D103*D$106</f>
        <v>11.9131716974374</v>
      </c>
      <c r="F103" s="29" t="n">
        <f aca="false">E103*E$106</f>
        <v>30.0315256761762</v>
      </c>
    </row>
    <row r="104" customFormat="false" ht="15" hidden="false" customHeight="false" outlineLevel="0" collapsed="false">
      <c r="A104" s="28" t="n">
        <f aca="false">EDATE(Data_Params!$B$3,13)</f>
        <v>46478</v>
      </c>
      <c r="B104" s="23" t="n">
        <f aca="false">B103*(1+$D$7)</f>
        <v>595.689069403025</v>
      </c>
      <c r="D104" s="29" t="n">
        <f aca="false">B104*$D$8</f>
        <v>2.19854886395238</v>
      </c>
      <c r="E104" s="29" t="n">
        <f aca="false">D104*D$106</f>
        <v>13.8457957868033</v>
      </c>
    </row>
    <row r="105" customFormat="false" ht="15" hidden="false" customHeight="false" outlineLevel="0" collapsed="false">
      <c r="A105" s="28" t="n">
        <f aca="false">EDATE(Data_Params!$B$3,14)</f>
        <v>46508</v>
      </c>
      <c r="B105" s="23" t="n">
        <f aca="false">B104*(1+$D$7)</f>
        <v>692.325219249492</v>
      </c>
      <c r="D105" s="29" t="n">
        <f aca="false">B105*$D$8</f>
        <v>2.55521026395859</v>
      </c>
    </row>
    <row r="106" customFormat="false" ht="15" hidden="false" customHeight="false" outlineLevel="0" collapsed="false">
      <c r="A106" s="2" t="s">
        <v>183</v>
      </c>
      <c r="D106" s="38" t="n">
        <f aca="false">IF(COUNT(D36:D46)=0,$D$6,MAX(D36:D46))</f>
        <v>6.29769754669562</v>
      </c>
      <c r="E106" s="38" t="n">
        <f aca="false">IF(COUNT(E36:E45)=0,$D$6,MAX(E36:E45))</f>
        <v>2.52086735916315</v>
      </c>
      <c r="F106" s="38" t="n">
        <f aca="false">IF(COUNT(F36:F44)=0,$D$6,MAX(F36:F44))</f>
        <v>1.13970122557788</v>
      </c>
      <c r="G106" s="38" t="n">
        <f aca="false">IF(COUNT(G36:G43)=0,$D$6,MAX(G36:G43))</f>
        <v>1.04602054991991</v>
      </c>
      <c r="H106" s="38" t="n">
        <f aca="false">IF(COUNT(H36:H42)=0,$D$6,MAX(H36:H42))</f>
        <v>0.981822366042607</v>
      </c>
      <c r="I106" s="38" t="n">
        <f aca="false">IF(COUNT(I36:I41)=0,$D$6,MAX(I36:I41))</f>
        <v>1</v>
      </c>
      <c r="J106" s="38" t="n">
        <f aca="false">IF(COUNT(J36:J40)=0,$D$6,MAX(J36:J40))</f>
        <v>1</v>
      </c>
      <c r="K106" s="38" t="n">
        <f aca="false">IF(COUNT(K36:K39)=0,$D$6,MAX(K36:K39))</f>
        <v>1</v>
      </c>
      <c r="L106" s="38" t="n">
        <f aca="false">IF(COUNT(L36:L38)=0,$D$6,MAX(L36:L38))</f>
        <v>1</v>
      </c>
      <c r="M106" s="38" t="n">
        <f aca="false">IF(COUNT(M36:M37)=0,$D$6,MAX(M36:M37))</f>
        <v>1</v>
      </c>
      <c r="N106" s="38" t="n">
        <f aca="false">IF(COUNT(N36:N36)=0,$D$6,MAX(N36:N36))</f>
        <v>1</v>
      </c>
      <c r="O106" s="38" t="n">
        <f aca="false">$D$6</f>
        <v>1</v>
      </c>
      <c r="P106" s="38" t="n">
        <f aca="false">$D$6</f>
        <v>1</v>
      </c>
      <c r="Q106" s="38" t="n">
        <f aca="false">$D$6</f>
        <v>1</v>
      </c>
    </row>
    <row r="109" customFormat="false" ht="15" hidden="false" customHeight="false" outlineLevel="0" collapsed="false">
      <c r="A109" s="2" t="s">
        <v>186</v>
      </c>
    </row>
    <row r="110" customFormat="false" ht="15" hidden="false" customHeight="false" outlineLevel="0" collapsed="false">
      <c r="A110" s="8" t="s">
        <v>36</v>
      </c>
      <c r="B110" s="9" t="n">
        <f aca="false">EDATE(Data_Params!$B$2,1)</f>
        <v>46447</v>
      </c>
      <c r="C110" s="9" t="n">
        <f aca="false">EDATE(Data_Params!$B$2,2)</f>
        <v>46478</v>
      </c>
      <c r="D110" s="9" t="n">
        <f aca="false">EDATE(Data_Params!$B$2,3)</f>
        <v>46508</v>
      </c>
    </row>
    <row r="111" customFormat="false" ht="15" hidden="false" customHeight="false" outlineLevel="0" collapsed="false">
      <c r="A111" s="3" t="s">
        <v>37</v>
      </c>
      <c r="B111" s="24" t="n">
        <f aca="false">(SUM(P51,O52,N53,M54,L55,K56,J57,I58,H59,G60,F61,E62,D63)+$C$16*$B$6^1)*(1-$B$17)^1</f>
        <v>43.2364602507334</v>
      </c>
      <c r="C111" s="24" t="n">
        <f aca="false">(SUM(Q51,P52,O53,N54,M55,L56,K57,J58,I59,H60,G61,F62,E63,D64)+$C$16*$B$6^2)*(1-$B$17)^2</f>
        <v>44.4133094304535</v>
      </c>
      <c r="D111" s="24" t="n">
        <f aca="false">(SUM(R51,Q52,P53,O54,N55,M56,L57,K58,J59,I60,H61,G62,F63,E64,D65)+$C$16*$B$6^3)*(1-$B$17)^3</f>
        <v>44.4198760633094</v>
      </c>
    </row>
    <row r="112" customFormat="false" ht="15" hidden="false" customHeight="false" outlineLevel="0" collapsed="false">
      <c r="A112" s="3" t="s">
        <v>38</v>
      </c>
      <c r="B112" s="24" t="n">
        <f aca="false">(SUM(P71,O72,N73,M74,L75,K76,J77,I78,H79,G80,F81,E82,D83)+$C$16*$C$6^1)*(1-$C$17)^1</f>
        <v>50.9767807820604</v>
      </c>
      <c r="C112" s="24" t="n">
        <f aca="false">(SUM(Q71,P72,O73,N74,M75,L76,K77,J78,I79,H80,G81,F82,E83,D84)+$C$16*$C$6^2)*(1-$C$17)^2</f>
        <v>64.4931390176183</v>
      </c>
      <c r="D112" s="24" t="n">
        <f aca="false">(SUM(R71,Q72,P73,O74,N75,M76,L77,K78,J79,I80,H81,G82,F83,E84,D85)+$C$16*$C$6^3)*(1-$C$17)^3</f>
        <v>79.586730344971</v>
      </c>
    </row>
    <row r="113" customFormat="false" ht="15" hidden="false" customHeight="false" outlineLevel="0" collapsed="false">
      <c r="A113" s="3" t="s">
        <v>39</v>
      </c>
      <c r="B113" s="24" t="n">
        <f aca="false">(SUM(P91,O92,N93,M94,L95,K96,J97,I98,H99,G100,F101,E102,D103)+$C$16*$D$6^1)*(1-$D$17)^1</f>
        <v>55.6905557914885</v>
      </c>
      <c r="C113" s="24" t="n">
        <f aca="false">(SUM(Q91,P92,O93,N94,M95,L96,K97,J98,I99,H100,G101,F102,E103,D104)+$C$16*$D$6^2)*(1-$D$17)^2</f>
        <v>81.1257183937862</v>
      </c>
      <c r="D113" s="24" t="n">
        <f aca="false">(SUM(R91,Q92,P93,O94,N95,M96,L97,K98,J99,I100,H101,G102,F103,E104,D105)+$C$16*$D$6^3)*(1-$D$17)^3</f>
        <v>116.64572719767</v>
      </c>
    </row>
    <row r="115" customFormat="false" ht="15" hidden="false" customHeight="false" outlineLevel="0" collapsed="false">
      <c r="A115" s="2" t="s">
        <v>187</v>
      </c>
    </row>
    <row r="116" customFormat="false" ht="15" hidden="false" customHeight="false" outlineLevel="0" collapsed="false">
      <c r="A116" s="8" t="s">
        <v>58</v>
      </c>
      <c r="B116" s="9" t="n">
        <f aca="false">EDATE(Data_Params!$B$3,0)</f>
        <v>46082</v>
      </c>
      <c r="C116" s="9" t="n">
        <f aca="false">EDATE(Data_Params!$B$3,1)</f>
        <v>46113</v>
      </c>
      <c r="D116" s="9" t="n">
        <f aca="false">EDATE(Data_Params!$B$3,2)</f>
        <v>46143</v>
      </c>
      <c r="E116" s="9" t="n">
        <f aca="false">EDATE(Data_Params!$B$3,3)</f>
        <v>46174</v>
      </c>
      <c r="F116" s="9" t="n">
        <f aca="false">EDATE(Data_Params!$B$3,4)</f>
        <v>46204</v>
      </c>
      <c r="G116" s="9" t="n">
        <f aca="false">EDATE(Data_Params!$B$3,5)</f>
        <v>46235</v>
      </c>
      <c r="H116" s="9" t="n">
        <f aca="false">EDATE(Data_Params!$B$3,6)</f>
        <v>46266</v>
      </c>
      <c r="I116" s="9" t="n">
        <f aca="false">EDATE(Data_Params!$B$3,7)</f>
        <v>46296</v>
      </c>
      <c r="J116" s="9" t="n">
        <f aca="false">EDATE(Data_Params!$B$3,8)</f>
        <v>46327</v>
      </c>
      <c r="K116" s="9" t="n">
        <f aca="false">EDATE(Data_Params!$B$3,9)</f>
        <v>46357</v>
      </c>
      <c r="L116" s="9" t="n">
        <f aca="false">EDATE(Data_Params!$B$3,10)</f>
        <v>46388</v>
      </c>
      <c r="M116" s="9" t="n">
        <f aca="false">EDATE(Data_Params!$B$3,11)</f>
        <v>46419</v>
      </c>
    </row>
    <row r="117" customFormat="false" ht="15" hidden="false" customHeight="false" outlineLevel="0" collapsed="false">
      <c r="A117" s="3" t="s">
        <v>49</v>
      </c>
      <c r="B117" s="39" t="n">
        <f aca="false">Monthly!B15</f>
        <v>0</v>
      </c>
      <c r="C117" s="39" t="n">
        <f aca="false">Monthly!C15</f>
        <v>0</v>
      </c>
      <c r="D117" s="39" t="n">
        <f aca="false">Monthly!D15</f>
        <v>0</v>
      </c>
      <c r="E117" s="39" t="n">
        <f aca="false">Monthly!E15</f>
        <v>0</v>
      </c>
      <c r="F117" s="39" t="n">
        <f aca="false">Monthly!F15</f>
        <v>0</v>
      </c>
      <c r="G117" s="39" t="n">
        <f aca="false">Monthly!G15</f>
        <v>0</v>
      </c>
      <c r="H117" s="39" t="n">
        <f aca="false">Monthly!H15</f>
        <v>0.076635969875</v>
      </c>
      <c r="I117" s="39" t="n">
        <f aca="false">Monthly!I15</f>
        <v>0.324499816193548</v>
      </c>
      <c r="J117" s="39" t="n">
        <f aca="false">Monthly!J15</f>
        <v>1.54566210316667</v>
      </c>
      <c r="K117" s="39" t="n">
        <f aca="false">Monthly!K15</f>
        <v>5.33849546706452</v>
      </c>
      <c r="L117" s="39" t="n">
        <f aca="false">Monthly!L15</f>
        <v>10.1530242860968</v>
      </c>
      <c r="M117" s="39" t="n">
        <f aca="false">Monthly!M15</f>
        <v>13.2328181720357</v>
      </c>
    </row>
    <row r="118" customFormat="false" ht="15" hidden="false" customHeight="false" outlineLevel="0" collapsed="false">
      <c r="A118" s="3" t="s">
        <v>188</v>
      </c>
      <c r="B118" s="25" t="n">
        <f aca="false">IF(L117&gt;0,M117/L117-1,0)</f>
        <v>0.303337586826845</v>
      </c>
    </row>
    <row r="121" customFormat="false" ht="15" hidden="false" customHeight="false" outlineLevel="0" collapsed="false">
      <c r="A121" s="40" t="s">
        <v>189</v>
      </c>
    </row>
    <row r="122" customFormat="false" ht="15" hidden="false" customHeight="false" outlineLevel="0" collapsed="false">
      <c r="A122" s="8" t="s">
        <v>66</v>
      </c>
      <c r="B122" s="9" t="str">
        <f aca="false">"Low "&amp;TEXT(EDATE(Data_Params!$B$2,1),"mmm")</f>
        <v>Low Mar</v>
      </c>
      <c r="C122" s="9" t="str">
        <f aca="false">"Low "&amp;TEXT(EDATE(Data_Params!$B$2,2),"mmm")</f>
        <v>Low Apr</v>
      </c>
      <c r="D122" s="9" t="str">
        <f aca="false">"Low "&amp;TEXT(EDATE(Data_Params!$B$2,3),"mmm")</f>
        <v>Low May</v>
      </c>
      <c r="E122" s="9" t="str">
        <f aca="false">"Base "&amp;TEXT(EDATE(Data_Params!$B$2,1),"mmm")</f>
        <v>Base Mar</v>
      </c>
      <c r="F122" s="9" t="str">
        <f aca="false">"Base "&amp;TEXT(EDATE(Data_Params!$B$2,2),"mmm")</f>
        <v>Base Apr</v>
      </c>
      <c r="G122" s="9" t="str">
        <f aca="false">"Base "&amp;TEXT(EDATE(Data_Params!$B$2,3),"mmm")</f>
        <v>Base May</v>
      </c>
      <c r="H122" s="9" t="str">
        <f aca="false">"High "&amp;TEXT(EDATE(Data_Params!$B$2,1),"mmm")</f>
        <v>High Mar</v>
      </c>
      <c r="I122" s="9" t="str">
        <f aca="false">"High "&amp;TEXT(EDATE(Data_Params!$B$2,2),"mmm")</f>
        <v>High Apr</v>
      </c>
      <c r="J122" s="9" t="str">
        <f aca="false">"High "&amp;TEXT(EDATE(Data_Params!$B$2,3),"mmm")</f>
        <v>High May</v>
      </c>
    </row>
    <row r="123" customFormat="false" ht="15" hidden="false" customHeight="false" outlineLevel="0" collapsed="false">
      <c r="A123" s="3" t="s">
        <v>190</v>
      </c>
      <c r="B123" s="24" t="n">
        <f aca="false">B111</f>
        <v>43.2364602507334</v>
      </c>
      <c r="C123" s="24" t="n">
        <f aca="false">C111</f>
        <v>44.4133094304535</v>
      </c>
      <c r="D123" s="24" t="n">
        <f aca="false">D111</f>
        <v>44.4198760633094</v>
      </c>
      <c r="E123" s="24" t="n">
        <f aca="false">B112</f>
        <v>50.9767807820604</v>
      </c>
      <c r="F123" s="24" t="n">
        <f aca="false">C112</f>
        <v>64.4931390176183</v>
      </c>
      <c r="G123" s="24" t="n">
        <f aca="false">D112</f>
        <v>79.586730344971</v>
      </c>
      <c r="H123" s="24" t="n">
        <f aca="false">B113</f>
        <v>55.6905557914885</v>
      </c>
      <c r="I123" s="24" t="n">
        <f aca="false">C113</f>
        <v>81.1257183937862</v>
      </c>
      <c r="J123" s="24" t="n">
        <f aca="false">D113</f>
        <v>116.64572719767</v>
      </c>
    </row>
    <row r="124" customFormat="false" ht="15" hidden="false" customHeight="false" outlineLevel="0" collapsed="false">
      <c r="A124" s="3" t="s">
        <v>191</v>
      </c>
      <c r="B124" s="24" t="n">
        <f aca="false">M117*(1+$B$9)^1</f>
        <v>13.2328181720357</v>
      </c>
      <c r="C124" s="24" t="n">
        <f aca="false">M117*(1+$B$9)^2</f>
        <v>13.2328181720357</v>
      </c>
      <c r="D124" s="24" t="n">
        <f aca="false">M117*(1+$B$9)^3</f>
        <v>13.2328181720357</v>
      </c>
      <c r="E124" s="24" t="n">
        <f aca="false">M117*(1+$C$9)^1</f>
        <v>15.2398237376476</v>
      </c>
      <c r="F124" s="24" t="n">
        <f aca="false">M117*(1+$C$9)^2</f>
        <v>17.5512294157698</v>
      </c>
      <c r="G124" s="24" t="n">
        <f aca="false">M117*(1+$C$9)^3</f>
        <v>20.2132032041818</v>
      </c>
      <c r="H124" s="24" t="n">
        <f aca="false">M117*(1+$D$9)^1</f>
        <v>17.2468293032594</v>
      </c>
      <c r="I124" s="24" t="n">
        <f aca="false">M117*(1+$D$9)^2</f>
        <v>22.4784408845247</v>
      </c>
      <c r="J124" s="24" t="n">
        <f aca="false">M117*(1+$D$9)^3</f>
        <v>29.2969968980663</v>
      </c>
    </row>
    <row r="125" customFormat="false" ht="15" hidden="false" customHeight="false" outlineLevel="0" collapsed="false">
      <c r="A125" s="3" t="s">
        <v>192</v>
      </c>
      <c r="B125" s="39" t="n">
        <f aca="false">Forecast_Ent!K53</f>
        <v>170.508513603774</v>
      </c>
      <c r="C125" s="39" t="n">
        <f aca="false">Forecast_Ent!L53</f>
        <v>170.795126908081</v>
      </c>
      <c r="D125" s="39" t="n">
        <f aca="false">Forecast_Ent!M53</f>
        <v>170.795126908081</v>
      </c>
      <c r="E125" s="39" t="n">
        <f aca="false">Forecast_Ent!N53</f>
        <v>180.596927422868</v>
      </c>
      <c r="F125" s="39" t="n">
        <f aca="false">Forecast_Ent!O53</f>
        <v>186.464381684607</v>
      </c>
      <c r="G125" s="39" t="n">
        <f aca="false">Forecast_Ent!P53</f>
        <v>192.058313135145</v>
      </c>
      <c r="H125" s="39" t="n">
        <f aca="false">Forecast_Ent!Q53</f>
        <v>190.975039790175</v>
      </c>
      <c r="I125" s="39" t="n">
        <f aca="false">Forecast_Ent!R53</f>
        <v>203.063733422527</v>
      </c>
      <c r="J125" s="39" t="n">
        <f aca="false">Forecast_Ent!S53</f>
        <v>215.247557427879</v>
      </c>
    </row>
    <row r="126" customFormat="false" ht="15" hidden="false" customHeight="false" outlineLevel="0" collapsed="false">
      <c r="A126" s="3" t="s">
        <v>193</v>
      </c>
      <c r="B126" s="39" t="n">
        <f aca="false">Forecast_Ent!B144</f>
        <v>0</v>
      </c>
      <c r="C126" s="39" t="n">
        <f aca="false">Forecast_Ent!C144</f>
        <v>0</v>
      </c>
      <c r="D126" s="39" t="n">
        <f aca="false">Forecast_Ent!D144</f>
        <v>0</v>
      </c>
      <c r="E126" s="39" t="n">
        <f aca="false">Forecast_Ent!E144</f>
        <v>1.75084889643464</v>
      </c>
      <c r="F126" s="39" t="n">
        <f aca="false">Forecast_Ent!F144</f>
        <v>10.8940780259472</v>
      </c>
      <c r="G126" s="39" t="n">
        <f aca="false">Forecast_Ent!G144</f>
        <v>25.2727258135852</v>
      </c>
      <c r="H126" s="39" t="n">
        <f aca="false">Forecast_Ent!H144</f>
        <v>2.50121270919234</v>
      </c>
      <c r="I126" s="39" t="n">
        <f aca="false">Forecast_Ent!I144</f>
        <v>16.6489293085655</v>
      </c>
      <c r="J126" s="39" t="n">
        <f aca="false">Forecast_Ent!J144</f>
        <v>36.848079639326</v>
      </c>
    </row>
    <row r="127" customFormat="false" ht="15" hidden="false" customHeight="false" outlineLevel="0" collapsed="false">
      <c r="A127" s="2" t="s">
        <v>194</v>
      </c>
      <c r="B127" s="41" t="n">
        <f aca="false">SUM(B123:B126)</f>
        <v>226.977792026543</v>
      </c>
      <c r="C127" s="41" t="n">
        <f aca="false">SUM(C123:C126)</f>
        <v>228.44125451057</v>
      </c>
      <c r="D127" s="41" t="n">
        <f aca="false">SUM(D123:D126)</f>
        <v>228.447821143426</v>
      </c>
      <c r="E127" s="41" t="n">
        <f aca="false">SUM(E123:E126)</f>
        <v>248.564380839011</v>
      </c>
      <c r="F127" s="41" t="n">
        <f aca="false">SUM(F123:F126)</f>
        <v>279.402828143942</v>
      </c>
      <c r="G127" s="41" t="n">
        <f aca="false">SUM(G123:G126)</f>
        <v>317.130972497883</v>
      </c>
      <c r="H127" s="41" t="n">
        <f aca="false">SUM(H123:H126)</f>
        <v>266.413637594115</v>
      </c>
      <c r="I127" s="41" t="n">
        <f aca="false">SUM(I123:I126)</f>
        <v>323.316822009403</v>
      </c>
      <c r="J127" s="41" t="n">
        <f aca="false">SUM(J123:J126)</f>
        <v>398.038361162941</v>
      </c>
    </row>
    <row r="128" customFormat="false" ht="15" hidden="false" customHeight="false" outlineLevel="0" collapsed="false">
      <c r="A128" s="3" t="s">
        <v>195</v>
      </c>
      <c r="B128" s="11" t="n">
        <f aca="false">IF(Monthly!M12=0,0,B127/(Monthly!M12-Monthly!M9/MAX(1,Monthly!M11))-1)</f>
        <v>0.0521733974840273</v>
      </c>
      <c r="C128" s="11" t="n">
        <f aca="false">IF(Monthly!M12=0,0,C127/(Monthly!M12-Monthly!M9/MAX(1,Monthly!M11))-1)</f>
        <v>0.0589573928703637</v>
      </c>
      <c r="D128" s="11" t="n">
        <f aca="false">IF(Monthly!M12=0,0,D127/(Monthly!M12-Monthly!M9/MAX(1,Monthly!M11))-1)</f>
        <v>0.058987833013165</v>
      </c>
      <c r="E128" s="11" t="n">
        <f aca="false">IF(Monthly!M12=0,0,E127/(Monthly!M12-Monthly!M9/MAX(1,Monthly!M11))-1)</f>
        <v>0.152239726828921</v>
      </c>
      <c r="F128" s="11" t="n">
        <f aca="false">IF(Monthly!M12=0,0,F127/(Monthly!M12-Monthly!M9/MAX(1,Monthly!M11))-1)</f>
        <v>0.295193773496919</v>
      </c>
      <c r="G128" s="11" t="n">
        <f aca="false">IF(Monthly!M12=0,0,G127/(Monthly!M12-Monthly!M9/MAX(1,Monthly!M11))-1)</f>
        <v>0.470085552429245</v>
      </c>
      <c r="H128" s="11" t="n">
        <f aca="false">IF(Monthly!M12=0,0,H127/(Monthly!M12-Monthly!M9/MAX(1,Monthly!M11))-1)</f>
        <v>0.234981359633184</v>
      </c>
      <c r="I128" s="11" t="n">
        <f aca="false">IF(Monthly!M12=0,0,I127/(Monthly!M12-Monthly!M9/MAX(1,Monthly!M11))-1)</f>
        <v>0.498760544104644</v>
      </c>
      <c r="J128" s="11" t="n">
        <f aca="false">IF(Monthly!M12=0,0,J127/(Monthly!M12-Monthly!M9/MAX(1,Monthly!M11))-1)</f>
        <v>0.845138112652052</v>
      </c>
    </row>
    <row r="130" customFormat="false" ht="15" hidden="false" customHeight="false" outlineLevel="0" collapsed="false">
      <c r="A130" s="8" t="s">
        <v>22</v>
      </c>
      <c r="B130" s="9" t="str">
        <f aca="false">"Low "&amp;TEXT(EDATE(Data_Params!$B$2,1),"mmm")</f>
        <v>Low Mar</v>
      </c>
      <c r="C130" s="9" t="str">
        <f aca="false">"Low "&amp;TEXT(EDATE(Data_Params!$B$2,2),"mmm")</f>
        <v>Low Apr</v>
      </c>
      <c r="D130" s="9" t="str">
        <f aca="false">"Low "&amp;TEXT(EDATE(Data_Params!$B$2,3),"mmm")</f>
        <v>Low May</v>
      </c>
      <c r="E130" s="9" t="str">
        <f aca="false">"Base "&amp;TEXT(EDATE(Data_Params!$B$2,1),"mmm")</f>
        <v>Base Mar</v>
      </c>
      <c r="F130" s="9" t="str">
        <f aca="false">"Base "&amp;TEXT(EDATE(Data_Params!$B$2,2),"mmm")</f>
        <v>Base Apr</v>
      </c>
      <c r="G130" s="9" t="str">
        <f aca="false">"Base "&amp;TEXT(EDATE(Data_Params!$B$2,3),"mmm")</f>
        <v>Base May</v>
      </c>
      <c r="H130" s="9" t="str">
        <f aca="false">"High "&amp;TEXT(EDATE(Data_Params!$B$2,1),"mmm")</f>
        <v>High Mar</v>
      </c>
      <c r="I130" s="9" t="str">
        <f aca="false">"High "&amp;TEXT(EDATE(Data_Params!$B$2,2),"mmm")</f>
        <v>High Apr</v>
      </c>
      <c r="J130" s="9" t="str">
        <f aca="false">"High "&amp;TEXT(EDATE(Data_Params!$B$2,3),"mmm")</f>
        <v>High May</v>
      </c>
    </row>
    <row r="131" customFormat="false" ht="15" hidden="false" customHeight="false" outlineLevel="0" collapsed="false">
      <c r="A131" s="3" t="s">
        <v>61</v>
      </c>
      <c r="B131" s="21" t="n">
        <f aca="false">B123*DAY(EOMONTH(Data_Params!$B$2,1))*1000*$C$14/1000</f>
        <v>54.4408564780486</v>
      </c>
      <c r="C131" s="21" t="n">
        <f aca="false">C123*DAY(EOMONTH(Data_Params!$B$2,2))*1000*$C$14/1000</f>
        <v>54.1187197488953</v>
      </c>
      <c r="D131" s="21" t="n">
        <f aca="false">D123*DAY(EOMONTH(Data_Params!$B$2,3))*1000*$C$14/1000</f>
        <v>55.9309453991279</v>
      </c>
      <c r="E131" s="21" t="n">
        <f aca="false">E123*DAY(EOMONTH(Data_Params!$B$2,1))*1000*$C$14/1000</f>
        <v>64.1870215594724</v>
      </c>
      <c r="F131" s="21" t="n">
        <f aca="false">F123*DAY(EOMONTH(Data_Params!$B$2,2))*1000*$C$14/1000</f>
        <v>78.5864904232468</v>
      </c>
      <c r="G131" s="21" t="n">
        <f aca="false">G123*DAY(EOMONTH(Data_Params!$B$2,3))*1000*$C$14/1000</f>
        <v>100.211019568704</v>
      </c>
      <c r="H131" s="21" t="n">
        <f aca="false">H123*DAY(EOMONTH(Data_Params!$B$2,1))*1000*$C$14/1000</f>
        <v>70.1223351182121</v>
      </c>
      <c r="I131" s="21" t="n">
        <f aca="false">I123*DAY(EOMONTH(Data_Params!$B$2,2))*1000*$C$14/1000</f>
        <v>98.8537011648736</v>
      </c>
      <c r="J131" s="21" t="n">
        <f aca="false">J123*DAY(EOMONTH(Data_Params!$B$2,3))*1000*$C$14/1000</f>
        <v>146.87357050785</v>
      </c>
    </row>
    <row r="132" customFormat="false" ht="15" hidden="false" customHeight="false" outlineLevel="0" collapsed="false">
      <c r="A132" s="3" t="s">
        <v>191</v>
      </c>
      <c r="B132" s="21" t="n">
        <f aca="false">B124*DAY(EOMONTH(Data_Params!$B$2,1))*1000*$C$15/1000</f>
        <v>16.367672796991</v>
      </c>
      <c r="C132" s="21" t="n">
        <f aca="false">C124*DAY(EOMONTH(Data_Params!$B$2,2))*1000*$C$15/1000</f>
        <v>15.8396833519268</v>
      </c>
      <c r="D132" s="21" t="n">
        <f aca="false">D124*DAY(EOMONTH(Data_Params!$B$2,3))*1000*$C$15/1000</f>
        <v>16.367672796991</v>
      </c>
      <c r="E132" s="21" t="n">
        <f aca="false">E124*DAY(EOMONTH(Data_Params!$B$2,1))*1000*$C$15/1000</f>
        <v>18.8501379810963</v>
      </c>
      <c r="F132" s="21" t="n">
        <f aca="false">F124*DAY(EOMONTH(Data_Params!$B$2,2))*1000*$C$15/1000</f>
        <v>21.0088216106765</v>
      </c>
      <c r="G132" s="21" t="n">
        <f aca="false">G124*DAY(EOMONTH(Data_Params!$B$2,3))*1000*$C$15/1000</f>
        <v>25.0017110432525</v>
      </c>
      <c r="H132" s="21" t="n">
        <f aca="false">H124*DAY(EOMONTH(Data_Params!$B$2,1))*1000*$C$15/1000</f>
        <v>21.3326031652016</v>
      </c>
      <c r="I132" s="21" t="n">
        <f aca="false">I124*DAY(EOMONTH(Data_Params!$B$2,2))*1000*$C$15/1000</f>
        <v>26.9066937387761</v>
      </c>
      <c r="J132" s="21" t="n">
        <f aca="false">J124*DAY(EOMONTH(Data_Params!$B$2,3))*1000*$C$15/1000</f>
        <v>36.2374554632182</v>
      </c>
    </row>
    <row r="133" customFormat="false" ht="15" hidden="false" customHeight="false" outlineLevel="0" collapsed="false">
      <c r="A133" s="3" t="s">
        <v>196</v>
      </c>
      <c r="B133" s="21" t="n">
        <f aca="false">Forecast_Ent!B97/1000</f>
        <v>204.584092416242</v>
      </c>
      <c r="C133" s="21" t="n">
        <f aca="false">Forecast_Ent!C97/1000</f>
        <v>199.920089435073</v>
      </c>
      <c r="D133" s="21" t="n">
        <f aca="false">Forecast_Ent!D97/1000</f>
        <v>204.584092416242</v>
      </c>
      <c r="E133" s="21" t="n">
        <f aca="false">Forecast_Ent!E97/1000</f>
        <v>209.802371767677</v>
      </c>
      <c r="F133" s="21" t="n">
        <f aca="false">Forecast_Ent!F97/1000</f>
        <v>209.732094592195</v>
      </c>
      <c r="G133" s="21" t="n">
        <f aca="false">Forecast_Ent!G97/1000</f>
        <v>221.13402601096</v>
      </c>
      <c r="H133" s="21" t="n">
        <f aca="false">Forecast_Ent!H97/1000</f>
        <v>220.732874112377</v>
      </c>
      <c r="I133" s="21" t="n">
        <f aca="false">Forecast_Ent!I97/1000</f>
        <v>226.30513354188</v>
      </c>
      <c r="J133" s="21" t="n">
        <f aca="false">Forecast_Ent!J97/1000</f>
        <v>244.781222939539</v>
      </c>
    </row>
    <row r="134" customFormat="false" ht="15" hidden="false" customHeight="false" outlineLevel="0" collapsed="false">
      <c r="A134" s="3" t="s">
        <v>193</v>
      </c>
      <c r="B134" s="21" t="n">
        <f aca="false">Forecast_Ent!B145/1000</f>
        <v>0</v>
      </c>
      <c r="C134" s="21" t="n">
        <f aca="false">Forecast_Ent!C145/1000</f>
        <v>0</v>
      </c>
      <c r="D134" s="21" t="n">
        <f aca="false">Forecast_Ent!D145/1000</f>
        <v>0</v>
      </c>
      <c r="E134" s="21" t="n">
        <f aca="false">Forecast_Ent!E145/1000</f>
        <v>1.93766447368421</v>
      </c>
      <c r="F134" s="21" t="n">
        <f aca="false">Forecast_Ent!F145/1000</f>
        <v>11.6675575657895</v>
      </c>
      <c r="G134" s="21" t="n">
        <f aca="false">Forecast_Ent!G145/1000</f>
        <v>27.9693256578947</v>
      </c>
      <c r="H134" s="21" t="n">
        <f aca="false">Forecast_Ent!H145/1000</f>
        <v>2.76809210526316</v>
      </c>
      <c r="I134" s="21" t="n">
        <f aca="false">Forecast_Ent!I145/1000</f>
        <v>17.8310032894737</v>
      </c>
      <c r="J134" s="21" t="n">
        <f aca="false">Forecast_Ent!J145/1000</f>
        <v>40.7797697368421</v>
      </c>
    </row>
    <row r="135" customFormat="false" ht="15" hidden="false" customHeight="false" outlineLevel="0" collapsed="false">
      <c r="A135" s="2" t="s">
        <v>197</v>
      </c>
      <c r="B135" s="22" t="n">
        <f aca="false">SUM(B131:B134)</f>
        <v>275.392621691282</v>
      </c>
      <c r="C135" s="22" t="n">
        <f aca="false">SUM(C131:C134)</f>
        <v>269.878492535895</v>
      </c>
      <c r="D135" s="22" t="n">
        <f aca="false">SUM(D131:D134)</f>
        <v>276.882710612361</v>
      </c>
      <c r="E135" s="22" t="n">
        <f aca="false">SUM(E131:E134)</f>
        <v>294.77719578193</v>
      </c>
      <c r="F135" s="22" t="n">
        <f aca="false">SUM(F131:F134)</f>
        <v>320.994964191908</v>
      </c>
      <c r="G135" s="22" t="n">
        <f aca="false">SUM(G131:G134)</f>
        <v>374.316082280811</v>
      </c>
      <c r="H135" s="22" t="n">
        <f aca="false">SUM(H131:H134)</f>
        <v>314.955904501054</v>
      </c>
      <c r="I135" s="22" t="n">
        <f aca="false">SUM(I131:I134)</f>
        <v>369.896531735003</v>
      </c>
      <c r="J135" s="22" t="n">
        <f aca="false">SUM(J131:J134)</f>
        <v>468.67201864745</v>
      </c>
    </row>
    <row r="138" customFormat="false" ht="15" hidden="false" customHeight="false" outlineLevel="0" collapsed="false">
      <c r="A138" s="2" t="s">
        <v>198</v>
      </c>
    </row>
    <row r="139" customFormat="false" ht="23.85" hidden="false" customHeight="false" outlineLevel="0" collapsed="false">
      <c r="A139" s="8" t="s">
        <v>66</v>
      </c>
      <c r="B139" s="8" t="s">
        <v>199</v>
      </c>
      <c r="C139" s="8" t="s">
        <v>49</v>
      </c>
      <c r="D139" s="8" t="s">
        <v>200</v>
      </c>
      <c r="E139" s="8" t="s">
        <v>201</v>
      </c>
      <c r="F139" s="8" t="s">
        <v>202</v>
      </c>
    </row>
    <row r="140" customFormat="false" ht="15" hidden="false" customHeight="false" outlineLevel="0" collapsed="false">
      <c r="A140" s="3" t="s">
        <v>61</v>
      </c>
      <c r="B140" s="24" t="n">
        <f aca="false">IF(COUNTIFS(Data_FcHistory!$A:$A,EDATE(Data_Params!$B$2,-1),Data_FcHistory!$B:$B,Data_Params!$B$2,Data_FcHistory!$C:$C,"base",Data_FcHistory!$D:$D,"self_serve")=0,"none on file",SUMIFS(Data_FcHistory!$E:$E,Data_FcHistory!$A:$A,EDATE(Data_Params!$B$2,-1),Data_FcHistory!$B:$B,Data_Params!$B$2,Data_FcHistory!$C:$C,"base",Data_FcHistory!$D:$D,"self_serve"))</f>
        <v>39.352295</v>
      </c>
      <c r="C140" s="39" t="n">
        <f aca="false">Monthly!M14</f>
        <v>37.6384770844643</v>
      </c>
      <c r="D140" s="24" t="n">
        <f aca="false">IF(ISNUMBER(B140),C140-B140,"")</f>
        <v>-1.71381791553571</v>
      </c>
      <c r="E140" s="25" t="n">
        <f aca="false">IF(AND(ISNUMBER(B140),N(B140)&lt;&gt;0),D140/B140,"")</f>
        <v>-0.0435506471867959</v>
      </c>
      <c r="F140" s="3" t="str">
        <f aca="false">IF(E140="","",IF(ABS(E140)&gt;0.1,"FLAG","ok"))</f>
        <v>ok</v>
      </c>
    </row>
    <row r="141" customFormat="false" ht="15" hidden="false" customHeight="false" outlineLevel="0" collapsed="false">
      <c r="A141" s="3" t="s">
        <v>191</v>
      </c>
      <c r="B141" s="24" t="n">
        <f aca="false">IF(COUNTIFS(Data_FcHistory!$A:$A,EDATE(Data_Params!$B$2,-1),Data_FcHistory!$B:$B,Data_Params!$B$2,Data_FcHistory!$C:$C,"base",Data_FcHistory!$D:$D,"gateway_aggregate")=0,"none on file",SUMIFS(Data_FcHistory!$E:$E,Data_FcHistory!$A:$A,EDATE(Data_Params!$B$2,-1),Data_FcHistory!$B:$B,Data_Params!$B$2,Data_FcHistory!$C:$C,"base",Data_FcHistory!$D:$D,"gateway_aggregate"))</f>
        <v>14.731283</v>
      </c>
      <c r="C141" s="39" t="n">
        <f aca="false">Monthly!M15</f>
        <v>13.2328181720357</v>
      </c>
      <c r="D141" s="24" t="n">
        <f aca="false">IF(ISNUMBER(B141),C141-B141,"")</f>
        <v>-1.49846482796428</v>
      </c>
      <c r="E141" s="25" t="n">
        <f aca="false">IF(AND(ISNUMBER(B141),N(B141)&lt;&gt;0),D141/B141,"")</f>
        <v>-0.10171991319183</v>
      </c>
      <c r="F141" s="3" t="str">
        <f aca="false">IF(E141="","",IF(ABS(E141)&gt;0.1,"FLAG","ok"))</f>
        <v>FLAG</v>
      </c>
    </row>
    <row r="142" customFormat="false" ht="15" hidden="false" customHeight="false" outlineLevel="0" collapsed="false">
      <c r="A142" s="3" t="s">
        <v>203</v>
      </c>
      <c r="B142" s="24" t="n">
        <f aca="false">IF(COUNTIFS(Data_FcHistory!$A:$A,EDATE(Data_Params!$B$2,-1),Data_FcHistory!$B:$B,Data_Params!$B$2,Data_FcHistory!$C:$C,"base",Data_FcHistory!$D:$D,"enterprise")=0,"none on file",SUMIFS(Data_FcHistory!$E:$E,Data_FcHistory!$A:$A,EDATE(Data_Params!$B$2,-1),Data_FcHistory!$B:$B,Data_Params!$B$2,Data_FcHistory!$C:$C,"base",Data_FcHistory!$D:$D,"enterprise"))</f>
        <v>170.988605</v>
      </c>
      <c r="C142" s="39" t="n">
        <f aca="false">Monthly!M13</f>
        <v>164.85150534775</v>
      </c>
      <c r="D142" s="24" t="n">
        <f aca="false">IF(ISNUMBER(B142),C142-B142,"")</f>
        <v>-6.13709965225002</v>
      </c>
      <c r="E142" s="25" t="n">
        <f aca="false">IF(AND(ISNUMBER(B142),N(B142)&lt;&gt;0),D142/B142,"")</f>
        <v>-0.035891863392008</v>
      </c>
      <c r="F142" s="3" t="str">
        <f aca="false">IF(E142="","",IF(ABS(E142)&gt;0.1,"FLAG","ok"))</f>
        <v>ok</v>
      </c>
    </row>
    <row r="143" customFormat="false" ht="15" hidden="false" customHeight="false" outlineLevel="0" collapsed="false">
      <c r="A143" s="2" t="s">
        <v>87</v>
      </c>
      <c r="B143" s="41" t="n">
        <f aca="false">IF(COUNT(B140:B142)=0,"none on file",SUM(B140:B142))</f>
        <v>225.072183</v>
      </c>
      <c r="C143" s="41" t="n">
        <f aca="false">SUM(C140:C142)</f>
        <v>215.72280060425</v>
      </c>
      <c r="D143" s="41" t="n">
        <f aca="false">IF(ISNUMBER(B143),C143-B143,"")</f>
        <v>-9.34938239575001</v>
      </c>
      <c r="E143" s="27" t="n">
        <f aca="false">IF(AND(ISNUMBER(B143),N(B143)&lt;&gt;0),D143/B143,"")</f>
        <v>-0.0415394842273779</v>
      </c>
      <c r="F143" s="2" t="str">
        <f aca="false">IF(E143="","",IF(ABS(E143)&gt;0.1,"FLAG","ok"))</f>
        <v>ok</v>
      </c>
    </row>
    <row r="144" customFormat="false" ht="15" hidden="false" customHeight="false" outlineLevel="0" collapsed="false">
      <c r="A144" s="7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19" min="3" style="0" width="12"/>
  </cols>
  <sheetData>
    <row r="1" customFormat="false" ht="17.35" hidden="false" customHeight="false" outlineLevel="0" collapsed="false">
      <c r="A1" s="1" t="str">
        <f aca="false">Data_Params!$B$14&amp;" | Enterprise forecast"</f>
        <v>Example Co (synthetic data) | Enterprise forecast</v>
      </c>
    </row>
    <row r="2" customFormat="false" ht="15" hidden="false" customHeight="false" outlineLevel="0" collapsed="false">
      <c r="A2" s="7" t="s">
        <v>205</v>
      </c>
    </row>
    <row r="4" customFormat="false" ht="15" hidden="false" customHeight="false" outlineLevel="0" collapsed="false">
      <c r="A4" s="2" t="s">
        <v>206</v>
      </c>
    </row>
    <row r="5" customFormat="false" ht="15" hidden="false" customHeight="false" outlineLevel="0" collapsed="false">
      <c r="A5" s="3" t="s">
        <v>207</v>
      </c>
      <c r="B5" s="42" t="n">
        <f aca="false">EDATE(Data_Params!$B$2,1)</f>
        <v>46447</v>
      </c>
      <c r="C5" s="42" t="n">
        <f aca="false">EDATE(Data_Params!$B$2,2)</f>
        <v>46478</v>
      </c>
      <c r="D5" s="42" t="n">
        <f aca="false">EDATE(Data_Params!$B$2,3)</f>
        <v>46508</v>
      </c>
      <c r="F5" s="2" t="s">
        <v>208</v>
      </c>
    </row>
    <row r="6" customFormat="false" ht="15" hidden="false" customHeight="false" outlineLevel="0" collapsed="false">
      <c r="A6" s="3" t="s">
        <v>209</v>
      </c>
      <c r="B6" s="30" t="n">
        <f aca="false">EDATE(Data_Params!$B$2,1)</f>
        <v>46447</v>
      </c>
      <c r="C6" s="30" t="n">
        <f aca="false">EDATE(Data_Params!$B$2,2)</f>
        <v>46478</v>
      </c>
      <c r="D6" s="30" t="n">
        <f aca="false">EDATE(Data_Params!$B$2,3)</f>
        <v>46508</v>
      </c>
      <c r="F6" s="30" t="n">
        <f aca="false">EOMONTH(Data_Params!$B$2,0)</f>
        <v>46446</v>
      </c>
    </row>
    <row r="7" customFormat="false" ht="15" hidden="false" customHeight="false" outlineLevel="0" collapsed="false">
      <c r="A7" s="3" t="s">
        <v>210</v>
      </c>
      <c r="B7" s="30" t="n">
        <f aca="false">EOMONTH(B6,0)</f>
        <v>46477</v>
      </c>
      <c r="C7" s="30" t="n">
        <f aca="false">EOMONTH(C6,0)</f>
        <v>46507</v>
      </c>
      <c r="D7" s="30" t="n">
        <f aca="false">EOMONTH(D6,0)</f>
        <v>46538</v>
      </c>
      <c r="F7" s="2" t="s">
        <v>211</v>
      </c>
    </row>
    <row r="8" customFormat="false" ht="15" hidden="false" customHeight="false" outlineLevel="0" collapsed="false">
      <c r="A8" s="3" t="s">
        <v>212</v>
      </c>
      <c r="B8" s="23" t="n">
        <f aca="false">B7-B6+1</f>
        <v>31</v>
      </c>
      <c r="C8" s="23" t="n">
        <f aca="false">C7-C6+1</f>
        <v>30</v>
      </c>
      <c r="D8" s="23" t="n">
        <f aca="false">D7-D6+1</f>
        <v>31</v>
      </c>
      <c r="F8" s="13" t="n">
        <f aca="false">Overrides!$E$25</f>
        <v>0.042</v>
      </c>
    </row>
    <row r="9" customFormat="false" ht="15" hidden="false" customHeight="false" outlineLevel="0" collapsed="false">
      <c r="A9" s="3" t="s">
        <v>213</v>
      </c>
      <c r="B9" s="23" t="n">
        <v>1</v>
      </c>
      <c r="C9" s="23" t="n">
        <v>2</v>
      </c>
      <c r="D9" s="23" t="n">
        <v>3</v>
      </c>
    </row>
    <row r="11" customFormat="false" ht="15" hidden="false" customHeight="false" outlineLevel="0" collapsed="false">
      <c r="A11" s="2" t="s">
        <v>214</v>
      </c>
    </row>
    <row r="12" customFormat="false" ht="35.05" hidden="false" customHeight="false" outlineLevel="0" collapsed="false">
      <c r="A12" s="8" t="s">
        <v>114</v>
      </c>
      <c r="B12" s="8" t="s">
        <v>115</v>
      </c>
      <c r="C12" s="8" t="s">
        <v>116</v>
      </c>
      <c r="D12" s="8" t="s">
        <v>117</v>
      </c>
      <c r="E12" s="8" t="s">
        <v>118</v>
      </c>
      <c r="F12" s="8" t="s">
        <v>215</v>
      </c>
      <c r="G12" s="8" t="s">
        <v>216</v>
      </c>
      <c r="H12" s="8" t="s">
        <v>217</v>
      </c>
      <c r="I12" s="8" t="s">
        <v>218</v>
      </c>
      <c r="J12" s="8" t="s">
        <v>219</v>
      </c>
      <c r="K12" s="8" t="s">
        <v>220</v>
      </c>
      <c r="L12" s="8" t="s">
        <v>221</v>
      </c>
      <c r="M12" s="8" t="s">
        <v>222</v>
      </c>
      <c r="N12" s="8" t="s">
        <v>223</v>
      </c>
      <c r="O12" s="8" t="s">
        <v>224</v>
      </c>
      <c r="P12" s="8" t="s">
        <v>225</v>
      </c>
      <c r="Q12" s="8" t="s">
        <v>226</v>
      </c>
      <c r="R12" s="8" t="s">
        <v>227</v>
      </c>
      <c r="S12" s="8" t="s">
        <v>228</v>
      </c>
    </row>
    <row r="13" customFormat="false" ht="15" hidden="false" customHeight="false" outlineLevel="0" collapsed="false">
      <c r="A13" s="3" t="str">
        <f aca="false">IF(INDEX(Data_Contracts!$A:$A,1+1)="","",INDEX(Data_Contracts!$A:$A,1+1))</f>
        <v>Quanta Assist</v>
      </c>
      <c r="B13" s="30" t="n">
        <f aca="false">IF(INDEX(Data_Contracts!$C:$C,1+1)="","",INDEX(Data_Contracts!$C:$C,1+1))</f>
        <v>46296</v>
      </c>
      <c r="C13" s="30" t="str">
        <f aca="false">IF(INDEX(Data_Contracts!$D:$D,1+1)="","",INDEX(Data_Contracts!$D:$D,1+1))</f>
        <v/>
      </c>
      <c r="D13" s="31" t="n">
        <f aca="false">IF(INDEX(Data_Contracts!$E:$E,1+1)="","",INDEX(Data_Contracts!$E:$E,1+1))</f>
        <v>30000</v>
      </c>
      <c r="E13" s="26" t="n">
        <f aca="false">IF(INDEX(Data_Contracts!$F:$F,1+1)="","",INDEX(Data_Contracts!$F:$F,1+1))</f>
        <v>0.0357</v>
      </c>
      <c r="F13" s="23" t="n">
        <f aca="false">IF($A13="","",$F$6-$B13)</f>
        <v>150</v>
      </c>
      <c r="G13" s="29" t="n">
        <f aca="false">IF($A13="",0,N(INDEX(Data_Contracts!$H:$H,1+1)))</f>
        <v>42.4399270722857</v>
      </c>
      <c r="H13" s="29" t="n">
        <f aca="false">IF(OR($A13="",N($E13)=0),0,$D13/$E13*Forecast!$B$11/30.4/1000)</f>
        <v>22.1141088014153</v>
      </c>
      <c r="I13" s="29" t="n">
        <f aca="false">IF(OR($A13="",N($E13)=0),0,$D13/$E13*Forecast!$C$11/30.4/1000)</f>
        <v>27.6426360017691</v>
      </c>
      <c r="J13" s="29" t="n">
        <f aca="false">IF(OR($A13="",N($E13)=0),0,$D13/$E13*Forecast!$D$11/30.4/1000)</f>
        <v>33.171163202123</v>
      </c>
      <c r="K13" s="29" t="n">
        <f aca="false">IF(OR($A13="",AND($C13&lt;&gt;"",N($C13)&lt;B$6)),0,IF($F13&lt;Forecast!$C$13,$G13+(H13-$G13)*MIN(1,B$9*30.4/(Forecast!$C$13-$F13)),$G13)*(1+Forecast!$B$12)^B$9)</f>
        <v>42.4399270722857</v>
      </c>
      <c r="L13" s="29" t="n">
        <f aca="false">IF(OR($A13="",AND($C13&lt;&gt;"",N($C13)&lt;C$6)),0,IF($F13&lt;Forecast!$C$13,$G13+(H13-$G13)*MIN(1,C$9*30.4/(Forecast!$C$13-$F13)),$G13)*(1+Forecast!$B$12)^C$9)</f>
        <v>42.4399270722857</v>
      </c>
      <c r="M13" s="29" t="n">
        <f aca="false">IF(OR($A13="",AND($C13&lt;&gt;"",N($C13)&lt;D$6)),0,IF($F13&lt;Forecast!$C$13,$G13+(H13-$G13)*MIN(1,D$9*30.4/(Forecast!$C$13-$F13)),$G13)*(1+Forecast!$B$12)^D$9)</f>
        <v>42.4399270722857</v>
      </c>
      <c r="N13" s="29" t="n">
        <f aca="false">IF(OR($A13="",AND($C13&lt;&gt;"",N($C13)&lt;B$6)),0,IF($F13&lt;Forecast!$C$13,$G13+(I13-$G13)*MIN(1,B$9*30.4/(Forecast!$C$13-$F13)),$G13)*(1+Forecast!$C$12)^B$9)</f>
        <v>43.7131248844543</v>
      </c>
      <c r="O13" s="29" t="n">
        <f aca="false">IF(OR($A13="",AND($C13&lt;&gt;"",N($C13)&lt;C$6)),0,IF($F13&lt;Forecast!$C$13,$G13+(I13-$G13)*MIN(1,C$9*30.4/(Forecast!$C$13-$F13)),$G13)*(1+Forecast!$C$12)^C$9)</f>
        <v>45.0245186309879</v>
      </c>
      <c r="P13" s="29" t="n">
        <f aca="false">IF(OR($A13="",AND($C13&lt;&gt;"",N($C13)&lt;D$6)),0,IF($F13&lt;Forecast!$C$13,$G13+(I13-$G13)*MIN(1,D$9*30.4/(Forecast!$C$13-$F13)),$G13)*(1+Forecast!$C$12)^D$9)</f>
        <v>46.3752541899176</v>
      </c>
      <c r="Q13" s="29" t="n">
        <f aca="false">IF(OR($A13="",AND($C13&lt;&gt;"",N($C13)&lt;B$6)),0,IF($F13&lt;Forecast!$C$13,$G13+(J13-$G13)*MIN(1,B$9*30.4/(Forecast!$C$13-$F13)),$G13)*(1+Forecast!$D$12)^B$9)</f>
        <v>44.9863226966229</v>
      </c>
      <c r="R13" s="29" t="n">
        <f aca="false">IF(OR($A13="",AND($C13&lt;&gt;"",N($C13)&lt;C$6)),0,IF($F13&lt;Forecast!$C$13,$G13+(J13-$G13)*MIN(1,C$9*30.4/(Forecast!$C$13-$F13)),$G13)*(1+Forecast!$D$12)^C$9)</f>
        <v>47.6855020584202</v>
      </c>
      <c r="S13" s="29" t="n">
        <f aca="false">IF(OR($A13="",AND($C13&lt;&gt;"",N($C13)&lt;D$6)),0,IF($F13&lt;Forecast!$C$13,$G13+(J13-$G13)*MIN(1,D$9*30.4/(Forecast!$C$13-$F13)),$G13)*(1+Forecast!$D$12)^D$9)</f>
        <v>50.5466321819254</v>
      </c>
    </row>
    <row r="14" customFormat="false" ht="15" hidden="false" customHeight="false" outlineLevel="0" collapsed="false">
      <c r="A14" s="3" t="str">
        <f aca="false">IF(INDEX(Data_Contracts!$A:$A,2+1)="","",INDEX(Data_Contracts!$A:$A,2+1))</f>
        <v>Ledgerline Payments</v>
      </c>
      <c r="B14" s="30" t="n">
        <f aca="false">IF(INDEX(Data_Contracts!$C:$C,2+1)="","",INDEX(Data_Contracts!$C:$C,2+1))</f>
        <v>46310</v>
      </c>
      <c r="C14" s="30" t="str">
        <f aca="false">IF(INDEX(Data_Contracts!$D:$D,2+1)="","",INDEX(Data_Contracts!$D:$D,2+1))</f>
        <v/>
      </c>
      <c r="D14" s="31" t="n">
        <f aca="false">IF(INDEX(Data_Contracts!$E:$E,2+1)="","",INDEX(Data_Contracts!$E:$E,2+1))</f>
        <v>40000</v>
      </c>
      <c r="E14" s="26" t="n">
        <f aca="false">IF(INDEX(Data_Contracts!$F:$F,2+1)="","",INDEX(Data_Contracts!$F:$F,2+1))</f>
        <v>0.0336</v>
      </c>
      <c r="F14" s="23" t="n">
        <f aca="false">IF($A14="","",$F$6-$B14)</f>
        <v>136</v>
      </c>
      <c r="G14" s="29" t="n">
        <f aca="false">IF($A14="",0,N(INDEX(Data_Contracts!$H:$H,2+1)))</f>
        <v>46.5364760164286</v>
      </c>
      <c r="H14" s="29" t="n">
        <f aca="false">IF(OR($A14="",N($E14)=0),0,$D14/$E14*Forecast!$B$11/30.4/1000)</f>
        <v>31.328320802005</v>
      </c>
      <c r="I14" s="29" t="n">
        <f aca="false">IF(OR($A14="",N($E14)=0),0,$D14/$E14*Forecast!$C$11/30.4/1000)</f>
        <v>39.1604010025063</v>
      </c>
      <c r="J14" s="29" t="n">
        <f aca="false">IF(OR($A14="",N($E14)=0),0,$D14/$E14*Forecast!$D$11/30.4/1000)</f>
        <v>46.9924812030075</v>
      </c>
      <c r="K14" s="29" t="n">
        <f aca="false">IF(OR($A14="",AND($C14&lt;&gt;"",N($C14)&lt;B$6)),0,IF($F14&lt;Forecast!$C$13,$G14+(H14-$G14)*MIN(1,B$9*30.4/(Forecast!$C$13-$F14)),$G14)*(1+Forecast!$B$12)^B$9)</f>
        <v>46.5364760164286</v>
      </c>
      <c r="L14" s="29" t="n">
        <f aca="false">IF(OR($A14="",AND($C14&lt;&gt;"",N($C14)&lt;C$6)),0,IF($F14&lt;Forecast!$C$13,$G14+(H14-$G14)*MIN(1,C$9*30.4/(Forecast!$C$13-$F14)),$G14)*(1+Forecast!$B$12)^C$9)</f>
        <v>46.5364760164286</v>
      </c>
      <c r="M14" s="29" t="n">
        <f aca="false">IF(OR($A14="",AND($C14&lt;&gt;"",N($C14)&lt;D$6)),0,IF($F14&lt;Forecast!$C$13,$G14+(H14-$G14)*MIN(1,D$9*30.4/(Forecast!$C$13-$F14)),$G14)*(1+Forecast!$B$12)^D$9)</f>
        <v>46.5364760164286</v>
      </c>
      <c r="N14" s="29" t="n">
        <f aca="false">IF(OR($A14="",AND($C14&lt;&gt;"",N($C14)&lt;B$6)),0,IF($F14&lt;Forecast!$C$13,$G14+(I14-$G14)*MIN(1,B$9*30.4/(Forecast!$C$13-$F14)),$G14)*(1+Forecast!$C$12)^B$9)</f>
        <v>47.9325702969214</v>
      </c>
      <c r="O14" s="29" t="n">
        <f aca="false">IF(OR($A14="",AND($C14&lt;&gt;"",N($C14)&lt;C$6)),0,IF($F14&lt;Forecast!$C$13,$G14+(I14-$G14)*MIN(1,C$9*30.4/(Forecast!$C$13-$F14)),$G14)*(1+Forecast!$C$12)^C$9)</f>
        <v>49.3705474058291</v>
      </c>
      <c r="P14" s="29" t="n">
        <f aca="false">IF(OR($A14="",AND($C14&lt;&gt;"",N($C14)&lt;D$6)),0,IF($F14&lt;Forecast!$C$13,$G14+(I14-$G14)*MIN(1,D$9*30.4/(Forecast!$C$13-$F14)),$G14)*(1+Forecast!$C$12)^D$9)</f>
        <v>50.8516638280039</v>
      </c>
      <c r="Q14" s="29" t="n">
        <f aca="false">IF(OR($A14="",AND($C14&lt;&gt;"",N($C14)&lt;B$6)),0,IF($F14&lt;Forecast!$C$13,$G14+(J14-$G14)*MIN(1,B$9*30.4/(Forecast!$C$13-$F14)),$G14)*(1+Forecast!$D$12)^B$9)</f>
        <v>49.3286645774143</v>
      </c>
      <c r="R14" s="29" t="n">
        <f aca="false">IF(OR($A14="",AND($C14&lt;&gt;"",N($C14)&lt;C$6)),0,IF($F14&lt;Forecast!$C$13,$G14+(J14-$G14)*MIN(1,C$9*30.4/(Forecast!$C$13-$F14)),$G14)*(1+Forecast!$D$12)^C$9)</f>
        <v>52.2883844520592</v>
      </c>
      <c r="S14" s="29" t="n">
        <f aca="false">IF(OR($A14="",AND($C14&lt;&gt;"",N($C14)&lt;D$6)),0,IF($F14&lt;Forecast!$C$13,$G14+(J14-$G14)*MIN(1,D$9*30.4/(Forecast!$C$13-$F14)),$G14)*(1+Forecast!$D$12)^D$9)</f>
        <v>55.4256875191827</v>
      </c>
    </row>
    <row r="15" customFormat="false" ht="15" hidden="false" customHeight="false" outlineLevel="0" collapsed="false">
      <c r="A15" s="3" t="str">
        <f aca="false">IF(INDEX(Data_Contracts!$A:$A,3+1)="","",INDEX(Data_Contracts!$A:$A,3+1))</f>
        <v>Northwind Insurance</v>
      </c>
      <c r="B15" s="30" t="n">
        <f aca="false">IF(INDEX(Data_Contracts!$C:$C,3+1)="","",INDEX(Data_Contracts!$C:$C,3+1))</f>
        <v>46327</v>
      </c>
      <c r="C15" s="30" t="str">
        <f aca="false">IF(INDEX(Data_Contracts!$D:$D,3+1)="","",INDEX(Data_Contracts!$D:$D,3+1))</f>
        <v/>
      </c>
      <c r="D15" s="31" t="n">
        <f aca="false">IF(INDEX(Data_Contracts!$E:$E,3+1)="","",INDEX(Data_Contracts!$E:$E,3+1))</f>
        <v>20000</v>
      </c>
      <c r="E15" s="26" t="n">
        <f aca="false">IF(INDEX(Data_Contracts!$F:$F,3+1)="","",INDEX(Data_Contracts!$F:$F,3+1))</f>
        <v>0.0357</v>
      </c>
      <c r="F15" s="23" t="n">
        <f aca="false">IF($A15="","",$F$6-$B15)</f>
        <v>119</v>
      </c>
      <c r="G15" s="29" t="n">
        <f aca="false">IF($A15="",0,N(INDEX(Data_Contracts!$H:$H,3+1)))</f>
        <v>9.38668000671428</v>
      </c>
      <c r="H15" s="29" t="n">
        <f aca="false">IF(OR($A15="",N($E15)=0),0,$D15/$E15*Forecast!$B$11/30.4/1000)</f>
        <v>14.7427392009435</v>
      </c>
      <c r="I15" s="29" t="n">
        <f aca="false">IF(OR($A15="",N($E15)=0),0,$D15/$E15*Forecast!$C$11/30.4/1000)</f>
        <v>18.4284240011794</v>
      </c>
      <c r="J15" s="29" t="n">
        <f aca="false">IF(OR($A15="",N($E15)=0),0,$D15/$E15*Forecast!$D$11/30.4/1000)</f>
        <v>22.1141088014153</v>
      </c>
      <c r="K15" s="29" t="n">
        <f aca="false">IF(OR($A15="",AND($C15&lt;&gt;"",N($C15)&lt;B$6)),0,IF($F15&lt;Forecast!$C$13,$G15+(H15-$G15)*MIN(1,B$9*30.4/(Forecast!$C$13-$F15)),$G15)*(1+Forecast!$B$12)^B$9)</f>
        <v>9.38668000671428</v>
      </c>
      <c r="L15" s="29" t="n">
        <f aca="false">IF(OR($A15="",AND($C15&lt;&gt;"",N($C15)&lt;C$6)),0,IF($F15&lt;Forecast!$C$13,$G15+(H15-$G15)*MIN(1,C$9*30.4/(Forecast!$C$13-$F15)),$G15)*(1+Forecast!$B$12)^C$9)</f>
        <v>9.38668000671428</v>
      </c>
      <c r="M15" s="29" t="n">
        <f aca="false">IF(OR($A15="",AND($C15&lt;&gt;"",N($C15)&lt;D$6)),0,IF($F15&lt;Forecast!$C$13,$G15+(H15-$G15)*MIN(1,D$9*30.4/(Forecast!$C$13-$F15)),$G15)*(1+Forecast!$B$12)^D$9)</f>
        <v>9.38668000671428</v>
      </c>
      <c r="N15" s="29" t="n">
        <f aca="false">IF(OR($A15="",AND($C15&lt;&gt;"",N($C15)&lt;B$6)),0,IF($F15&lt;Forecast!$C$13,$G15+(I15-$G15)*MIN(1,B$9*30.4/(Forecast!$C$13-$F15)),$G15)*(1+Forecast!$C$12)^B$9)</f>
        <v>9.66828040691571</v>
      </c>
      <c r="O15" s="29" t="n">
        <f aca="false">IF(OR($A15="",AND($C15&lt;&gt;"",N($C15)&lt;C$6)),0,IF($F15&lt;Forecast!$C$13,$G15+(I15-$G15)*MIN(1,C$9*30.4/(Forecast!$C$13-$F15)),$G15)*(1+Forecast!$C$12)^C$9)</f>
        <v>9.95832881912318</v>
      </c>
      <c r="P15" s="29" t="n">
        <f aca="false">IF(OR($A15="",AND($C15&lt;&gt;"",N($C15)&lt;D$6)),0,IF($F15&lt;Forecast!$C$13,$G15+(I15-$G15)*MIN(1,D$9*30.4/(Forecast!$C$13-$F15)),$G15)*(1+Forecast!$C$12)^D$9)</f>
        <v>10.2570786836969</v>
      </c>
      <c r="Q15" s="29" t="n">
        <f aca="false">IF(OR($A15="",AND($C15&lt;&gt;"",N($C15)&lt;B$6)),0,IF($F15&lt;Forecast!$C$13,$G15+(J15-$G15)*MIN(1,B$9*30.4/(Forecast!$C$13-$F15)),$G15)*(1+Forecast!$D$12)^B$9)</f>
        <v>9.94988080711714</v>
      </c>
      <c r="R15" s="29" t="n">
        <f aca="false">IF(OR($A15="",AND($C15&lt;&gt;"",N($C15)&lt;C$6)),0,IF($F15&lt;Forecast!$C$13,$G15+(J15-$G15)*MIN(1,C$9*30.4/(Forecast!$C$13-$F15)),$G15)*(1+Forecast!$D$12)^C$9)</f>
        <v>10.5468736555442</v>
      </c>
      <c r="S15" s="29" t="n">
        <f aca="false">IF(OR($A15="",AND($C15&lt;&gt;"",N($C15)&lt;D$6)),0,IF($F15&lt;Forecast!$C$13,$G15+(J15-$G15)*MIN(1,D$9*30.4/(Forecast!$C$13-$F15)),$G15)*(1+Forecast!$D$12)^D$9)</f>
        <v>11.1796860748768</v>
      </c>
    </row>
    <row r="16" customFormat="false" ht="15" hidden="false" customHeight="false" outlineLevel="0" collapsed="false">
      <c r="A16" s="3" t="str">
        <f aca="false">IF(INDEX(Data_Contracts!$A:$A,4+1)="","",INDEX(Data_Contracts!$A:$A,4+1))</f>
        <v>Halcyon Games</v>
      </c>
      <c r="B16" s="30" t="n">
        <f aca="false">IF(INDEX(Data_Contracts!$C:$C,4+1)="","",INDEX(Data_Contracts!$C:$C,4+1))</f>
        <v>46341</v>
      </c>
      <c r="C16" s="30" t="str">
        <f aca="false">IF(INDEX(Data_Contracts!$D:$D,4+1)="","",INDEX(Data_Contracts!$D:$D,4+1))</f>
        <v/>
      </c>
      <c r="D16" s="31" t="n">
        <f aca="false">IF(INDEX(Data_Contracts!$E:$E,4+1)="","",INDEX(Data_Contracts!$E:$E,4+1))</f>
        <v>15000</v>
      </c>
      <c r="E16" s="26" t="n">
        <f aca="false">IF(INDEX(Data_Contracts!$F:$F,4+1)="","",INDEX(Data_Contracts!$F:$F,4+1))</f>
        <v>0.0378</v>
      </c>
      <c r="F16" s="23" t="n">
        <f aca="false">IF($A16="","",$F$6-$B16)</f>
        <v>105</v>
      </c>
      <c r="G16" s="29" t="n">
        <f aca="false">IF($A16="",0,N(INDEX(Data_Contracts!$H:$H,4+1)))</f>
        <v>14.4382873527143</v>
      </c>
      <c r="H16" s="29" t="n">
        <f aca="false">IF(OR($A16="",N($E16)=0),0,$D16/$E16*Forecast!$B$11/30.4/1000)</f>
        <v>10.4427736006683</v>
      </c>
      <c r="I16" s="29" t="n">
        <f aca="false">IF(OR($A16="",N($E16)=0),0,$D16/$E16*Forecast!$C$11/30.4/1000)</f>
        <v>13.0534670008354</v>
      </c>
      <c r="J16" s="29" t="n">
        <f aca="false">IF(OR($A16="",N($E16)=0),0,$D16/$E16*Forecast!$D$11/30.4/1000)</f>
        <v>15.6641604010025</v>
      </c>
      <c r="K16" s="29" t="n">
        <f aca="false">IF(OR($A16="",AND($C16&lt;&gt;"",N($C16)&lt;B$6)),0,IF($F16&lt;Forecast!$C$13,$G16+(H16-$G16)*MIN(1,B$9*30.4/(Forecast!$C$13-$F16)),$G16)*(1+Forecast!$B$12)^B$9)</f>
        <v>14.4382873527143</v>
      </c>
      <c r="L16" s="29" t="n">
        <f aca="false">IF(OR($A16="",AND($C16&lt;&gt;"",N($C16)&lt;C$6)),0,IF($F16&lt;Forecast!$C$13,$G16+(H16-$G16)*MIN(1,C$9*30.4/(Forecast!$C$13-$F16)),$G16)*(1+Forecast!$B$12)^C$9)</f>
        <v>14.4382873527143</v>
      </c>
      <c r="M16" s="29" t="n">
        <f aca="false">IF(OR($A16="",AND($C16&lt;&gt;"",N($C16)&lt;D$6)),0,IF($F16&lt;Forecast!$C$13,$G16+(H16-$G16)*MIN(1,D$9*30.4/(Forecast!$C$13-$F16)),$G16)*(1+Forecast!$B$12)^D$9)</f>
        <v>14.4382873527143</v>
      </c>
      <c r="N16" s="29" t="n">
        <f aca="false">IF(OR($A16="",AND($C16&lt;&gt;"",N($C16)&lt;B$6)),0,IF($F16&lt;Forecast!$C$13,$G16+(I16-$G16)*MIN(1,B$9*30.4/(Forecast!$C$13-$F16)),$G16)*(1+Forecast!$C$12)^B$9)</f>
        <v>14.8714359732957</v>
      </c>
      <c r="O16" s="29" t="n">
        <f aca="false">IF(OR($A16="",AND($C16&lt;&gt;"",N($C16)&lt;C$6)),0,IF($F16&lt;Forecast!$C$13,$G16+(I16-$G16)*MIN(1,C$9*30.4/(Forecast!$C$13-$F16)),$G16)*(1+Forecast!$C$12)^C$9)</f>
        <v>15.3175790524946</v>
      </c>
      <c r="P16" s="29" t="n">
        <f aca="false">IF(OR($A16="",AND($C16&lt;&gt;"",N($C16)&lt;D$6)),0,IF($F16&lt;Forecast!$C$13,$G16+(I16-$G16)*MIN(1,D$9*30.4/(Forecast!$C$13-$F16)),$G16)*(1+Forecast!$C$12)^D$9)</f>
        <v>15.7771064240694</v>
      </c>
      <c r="Q16" s="29" t="n">
        <f aca="false">IF(OR($A16="",AND($C16&lt;&gt;"",N($C16)&lt;B$6)),0,IF($F16&lt;Forecast!$C$13,$G16+(J16-$G16)*MIN(1,B$9*30.4/(Forecast!$C$13-$F16)),$G16)*(1+Forecast!$D$12)^B$9)</f>
        <v>15.3045845938771</v>
      </c>
      <c r="R16" s="29" t="n">
        <f aca="false">IF(OR($A16="",AND($C16&lt;&gt;"",N($C16)&lt;C$6)),0,IF($F16&lt;Forecast!$C$13,$G16+(J16-$G16)*MIN(1,C$9*30.4/(Forecast!$C$13-$F16)),$G16)*(1+Forecast!$D$12)^C$9)</f>
        <v>16.2228596695098</v>
      </c>
      <c r="S16" s="29" t="n">
        <f aca="false">IF(OR($A16="",AND($C16&lt;&gt;"",N($C16)&lt;D$6)),0,IF($F16&lt;Forecast!$C$13,$G16+(J16-$G16)*MIN(1,D$9*30.4/(Forecast!$C$13-$F16)),$G16)*(1+Forecast!$D$12)^D$9)</f>
        <v>17.1962312496804</v>
      </c>
    </row>
    <row r="17" customFormat="false" ht="15" hidden="false" customHeight="false" outlineLevel="0" collapsed="false">
      <c r="A17" s="3" t="str">
        <f aca="false">IF(INDEX(Data_Contracts!$A:$A,5+1)="","",INDEX(Data_Contracts!$A:$A,5+1))</f>
        <v>Cobalt Ads</v>
      </c>
      <c r="B17" s="30" t="n">
        <f aca="false">IF(INDEX(Data_Contracts!$C:$C,5+1)="","",INDEX(Data_Contracts!$C:$C,5+1))</f>
        <v>46357</v>
      </c>
      <c r="C17" s="30" t="str">
        <f aca="false">IF(INDEX(Data_Contracts!$D:$D,5+1)="","",INDEX(Data_Contracts!$D:$D,5+1))</f>
        <v/>
      </c>
      <c r="D17" s="31" t="n">
        <f aca="false">IF(INDEX(Data_Contracts!$E:$E,5+1)="","",INDEX(Data_Contracts!$E:$E,5+1))</f>
        <v>25000</v>
      </c>
      <c r="E17" s="26" t="n">
        <f aca="false">IF(INDEX(Data_Contracts!$F:$F,5+1)="","",INDEX(Data_Contracts!$F:$F,5+1))</f>
        <v>0.0357</v>
      </c>
      <c r="F17" s="23" t="n">
        <f aca="false">IF($A17="","",$F$6-$B17)</f>
        <v>89</v>
      </c>
      <c r="G17" s="29" t="n">
        <f aca="false">IF($A17="",0,N(INDEX(Data_Contracts!$H:$H,5+1)))</f>
        <v>29.1177795127143</v>
      </c>
      <c r="H17" s="29" t="n">
        <f aca="false">IF(OR($A17="",N($E17)=0),0,$D17/$E17*Forecast!$B$11/30.4/1000)</f>
        <v>18.4284240011794</v>
      </c>
      <c r="I17" s="29" t="n">
        <f aca="false">IF(OR($A17="",N($E17)=0),0,$D17/$E17*Forecast!$C$11/30.4/1000)</f>
        <v>23.0355300014743</v>
      </c>
      <c r="J17" s="29" t="n">
        <f aca="false">IF(OR($A17="",N($E17)=0),0,$D17/$E17*Forecast!$D$11/30.4/1000)</f>
        <v>27.6426360017691</v>
      </c>
      <c r="K17" s="29" t="n">
        <f aca="false">IF(OR($A17="",AND($C17&lt;&gt;"",N($C17)&lt;B$6)),0,IF($F17&lt;Forecast!$C$13,$G17+(H17-$G17)*MIN(1,B$9*30.4/(Forecast!$C$13-$F17)),$G17)*(1+Forecast!$B$12)^B$9)</f>
        <v>29.1177795127143</v>
      </c>
      <c r="L17" s="29" t="n">
        <f aca="false">IF(OR($A17="",AND($C17&lt;&gt;"",N($C17)&lt;C$6)),0,IF($F17&lt;Forecast!$C$13,$G17+(H17-$G17)*MIN(1,C$9*30.4/(Forecast!$C$13-$F17)),$G17)*(1+Forecast!$B$12)^C$9)</f>
        <v>29.1177795127143</v>
      </c>
      <c r="M17" s="29" t="n">
        <f aca="false">IF(OR($A17="",AND($C17&lt;&gt;"",N($C17)&lt;D$6)),0,IF($F17&lt;Forecast!$C$13,$G17+(H17-$G17)*MIN(1,D$9*30.4/(Forecast!$C$13-$F17)),$G17)*(1+Forecast!$B$12)^D$9)</f>
        <v>29.1177795127143</v>
      </c>
      <c r="N17" s="29" t="n">
        <f aca="false">IF(OR($A17="",AND($C17&lt;&gt;"",N($C17)&lt;B$6)),0,IF($F17&lt;Forecast!$C$13,$G17+(I17-$G17)*MIN(1,B$9*30.4/(Forecast!$C$13-$F17)),$G17)*(1+Forecast!$C$12)^B$9)</f>
        <v>29.9913128980957</v>
      </c>
      <c r="O17" s="29" t="n">
        <f aca="false">IF(OR($A17="",AND($C17&lt;&gt;"",N($C17)&lt;C$6)),0,IF($F17&lt;Forecast!$C$13,$G17+(I17-$G17)*MIN(1,C$9*30.4/(Forecast!$C$13-$F17)),$G17)*(1+Forecast!$C$12)^C$9)</f>
        <v>30.8910522850386</v>
      </c>
      <c r="P17" s="29" t="n">
        <f aca="false">IF(OR($A17="",AND($C17&lt;&gt;"",N($C17)&lt;D$6)),0,IF($F17&lt;Forecast!$C$13,$G17+(I17-$G17)*MIN(1,D$9*30.4/(Forecast!$C$13-$F17)),$G17)*(1+Forecast!$C$12)^D$9)</f>
        <v>31.8177838535898</v>
      </c>
      <c r="Q17" s="29" t="n">
        <f aca="false">IF(OR($A17="",AND($C17&lt;&gt;"",N($C17)&lt;B$6)),0,IF($F17&lt;Forecast!$C$13,$G17+(J17-$G17)*MIN(1,B$9*30.4/(Forecast!$C$13-$F17)),$G17)*(1+Forecast!$D$12)^B$9)</f>
        <v>30.8648462834772</v>
      </c>
      <c r="R17" s="29" t="n">
        <f aca="false">IF(OR($A17="",AND($C17&lt;&gt;"",N($C17)&lt;C$6)),0,IF($F17&lt;Forecast!$C$13,$G17+(J17-$G17)*MIN(1,C$9*30.4/(Forecast!$C$13-$F17)),$G17)*(1+Forecast!$D$12)^C$9)</f>
        <v>32.7167370604858</v>
      </c>
      <c r="S17" s="29" t="n">
        <f aca="false">IF(OR($A17="",AND($C17&lt;&gt;"",N($C17)&lt;D$6)),0,IF($F17&lt;Forecast!$C$13,$G17+(J17-$G17)*MIN(1,D$9*30.4/(Forecast!$C$13-$F17)),$G17)*(1+Forecast!$D$12)^D$9)</f>
        <v>34.6797412841149</v>
      </c>
    </row>
    <row r="18" customFormat="false" ht="15" hidden="false" customHeight="false" outlineLevel="0" collapsed="false">
      <c r="A18" s="3" t="str">
        <f aca="false">IF(INDEX(Data_Contracts!$A:$A,6+1)="","",INDEX(Data_Contracts!$A:$A,6+1))</f>
        <v>Meridian Legal</v>
      </c>
      <c r="B18" s="30" t="n">
        <f aca="false">IF(INDEX(Data_Contracts!$C:$C,6+1)="","",INDEX(Data_Contracts!$C:$C,6+1))</f>
        <v>46371</v>
      </c>
      <c r="C18" s="30" t="str">
        <f aca="false">IF(INDEX(Data_Contracts!$D:$D,6+1)="","",INDEX(Data_Contracts!$D:$D,6+1))</f>
        <v/>
      </c>
      <c r="D18" s="31" t="n">
        <f aca="false">IF(INDEX(Data_Contracts!$E:$E,6+1)="","",INDEX(Data_Contracts!$E:$E,6+1))</f>
        <v>12500</v>
      </c>
      <c r="E18" s="26" t="n">
        <f aca="false">IF(INDEX(Data_Contracts!$F:$F,6+1)="","",INDEX(Data_Contracts!$F:$F,6+1))</f>
        <v>0.0336</v>
      </c>
      <c r="F18" s="23" t="n">
        <f aca="false">IF($A18="","",$F$6-$B18)</f>
        <v>75</v>
      </c>
      <c r="G18" s="29" t="n">
        <f aca="false">IF($A18="",0,N(INDEX(Data_Contracts!$H:$H,6+1)))</f>
        <v>9.01423107928572</v>
      </c>
      <c r="H18" s="29" t="n">
        <f aca="false">IF(OR($A18="",N($E18)=0),0,$D18/$E18*Forecast!$B$11/30.4/1000)</f>
        <v>9.79010025062657</v>
      </c>
      <c r="I18" s="29" t="n">
        <f aca="false">IF(OR($A18="",N($E18)=0),0,$D18/$E18*Forecast!$C$11/30.4/1000)</f>
        <v>12.2376253132832</v>
      </c>
      <c r="J18" s="29" t="n">
        <f aca="false">IF(OR($A18="",N($E18)=0),0,$D18/$E18*Forecast!$D$11/30.4/1000)</f>
        <v>14.6851503759399</v>
      </c>
      <c r="K18" s="29" t="n">
        <f aca="false">IF(OR($A18="",AND($C18&lt;&gt;"",N($C18)&lt;B$6)),0,IF($F18&lt;Forecast!$C$13,$G18+(H18-$G18)*MIN(1,B$9*30.4/(Forecast!$C$13-$F18)),$G18)*(1+Forecast!$B$12)^B$9)</f>
        <v>9.01423107928572</v>
      </c>
      <c r="L18" s="29" t="n">
        <f aca="false">IF(OR($A18="",AND($C18&lt;&gt;"",N($C18)&lt;C$6)),0,IF($F18&lt;Forecast!$C$13,$G18+(H18-$G18)*MIN(1,C$9*30.4/(Forecast!$C$13-$F18)),$G18)*(1+Forecast!$B$12)^C$9)</f>
        <v>9.01423107928572</v>
      </c>
      <c r="M18" s="29" t="n">
        <f aca="false">IF(OR($A18="",AND($C18&lt;&gt;"",N($C18)&lt;D$6)),0,IF($F18&lt;Forecast!$C$13,$G18+(H18-$G18)*MIN(1,D$9*30.4/(Forecast!$C$13-$F18)),$G18)*(1+Forecast!$B$12)^D$9)</f>
        <v>9.01423107928572</v>
      </c>
      <c r="N18" s="29" t="n">
        <f aca="false">IF(OR($A18="",AND($C18&lt;&gt;"",N($C18)&lt;B$6)),0,IF($F18&lt;Forecast!$C$13,$G18+(I18-$G18)*MIN(1,B$9*30.4/(Forecast!$C$13-$F18)),$G18)*(1+Forecast!$C$12)^B$9)</f>
        <v>9.28465801166429</v>
      </c>
      <c r="O18" s="29" t="n">
        <f aca="false">IF(OR($A18="",AND($C18&lt;&gt;"",N($C18)&lt;C$6)),0,IF($F18&lt;Forecast!$C$13,$G18+(I18-$G18)*MIN(1,C$9*30.4/(Forecast!$C$13-$F18)),$G18)*(1+Forecast!$C$12)^C$9)</f>
        <v>9.56319775201421</v>
      </c>
      <c r="P18" s="29" t="n">
        <f aca="false">IF(OR($A18="",AND($C18&lt;&gt;"",N($C18)&lt;D$6)),0,IF($F18&lt;Forecast!$C$13,$G18+(I18-$G18)*MIN(1,D$9*30.4/(Forecast!$C$13-$F18)),$G18)*(1+Forecast!$C$12)^D$9)</f>
        <v>9.85009368457464</v>
      </c>
      <c r="Q18" s="29" t="n">
        <f aca="false">IF(OR($A18="",AND($C18&lt;&gt;"",N($C18)&lt;B$6)),0,IF($F18&lt;Forecast!$C$13,$G18+(J18-$G18)*MIN(1,B$9*30.4/(Forecast!$C$13-$F18)),$G18)*(1+Forecast!$D$12)^B$9)</f>
        <v>9.55508494404286</v>
      </c>
      <c r="R18" s="29" t="n">
        <f aca="false">IF(OR($A18="",AND($C18&lt;&gt;"",N($C18)&lt;C$6)),0,IF($F18&lt;Forecast!$C$13,$G18+(J18-$G18)*MIN(1,C$9*30.4/(Forecast!$C$13-$F18)),$G18)*(1+Forecast!$D$12)^C$9)</f>
        <v>10.1283900406854</v>
      </c>
      <c r="S18" s="29" t="n">
        <f aca="false">IF(OR($A18="",AND($C18&lt;&gt;"",N($C18)&lt;D$6)),0,IF($F18&lt;Forecast!$C$13,$G18+(J18-$G18)*MIN(1,D$9*30.4/(Forecast!$C$13-$F18)),$G18)*(1+Forecast!$D$12)^D$9)</f>
        <v>10.7360934431266</v>
      </c>
    </row>
    <row r="19" customFormat="false" ht="15" hidden="false" customHeight="false" outlineLevel="0" collapsed="false">
      <c r="A19" s="3" t="str">
        <f aca="false">IF(INDEX(Data_Contracts!$A:$A,7+1)="","",INDEX(Data_Contracts!$A:$A,7+1))</f>
        <v>Sable Research</v>
      </c>
      <c r="B19" s="30" t="n">
        <f aca="false">IF(INDEX(Data_Contracts!$C:$C,7+1)="","",INDEX(Data_Contracts!$C:$C,7+1))</f>
        <v>46388</v>
      </c>
      <c r="C19" s="30" t="str">
        <f aca="false">IF(INDEX(Data_Contracts!$D:$D,7+1)="","",INDEX(Data_Contracts!$D:$D,7+1))</f>
        <v/>
      </c>
      <c r="D19" s="31" t="n">
        <f aca="false">IF(INDEX(Data_Contracts!$E:$E,7+1)="","",INDEX(Data_Contracts!$E:$E,7+1))</f>
        <v>17500</v>
      </c>
      <c r="E19" s="26" t="n">
        <f aca="false">IF(INDEX(Data_Contracts!$F:$F,7+1)="","",INDEX(Data_Contracts!$F:$F,7+1))</f>
        <v>0.0357</v>
      </c>
      <c r="F19" s="23" t="n">
        <f aca="false">IF($A19="","",$F$6-$B19)</f>
        <v>58</v>
      </c>
      <c r="G19" s="29" t="n">
        <f aca="false">IF($A19="",0,N(INDEX(Data_Contracts!$H:$H,7+1)))</f>
        <v>15.1179825288571</v>
      </c>
      <c r="H19" s="29" t="n">
        <f aca="false">IF(OR($A19="",N($E19)=0),0,$D19/$E19*Forecast!$B$11/30.4/1000)</f>
        <v>12.8998968008256</v>
      </c>
      <c r="I19" s="29" t="n">
        <f aca="false">IF(OR($A19="",N($E19)=0),0,$D19/$E19*Forecast!$C$11/30.4/1000)</f>
        <v>16.124871001032</v>
      </c>
      <c r="J19" s="29" t="n">
        <f aca="false">IF(OR($A19="",N($E19)=0),0,$D19/$E19*Forecast!$D$11/30.4/1000)</f>
        <v>19.3498452012384</v>
      </c>
      <c r="K19" s="29" t="n">
        <f aca="false">IF(OR($A19="",AND($C19&lt;&gt;"",N($C19)&lt;B$6)),0,IF($F19&lt;Forecast!$C$13,$G19+(H19-$G19)*MIN(1,B$9*30.4/(Forecast!$C$13-$F19)),$G19)*(1+Forecast!$B$12)^B$9)</f>
        <v>12.8998968008256</v>
      </c>
      <c r="L19" s="29" t="n">
        <f aca="false">IF(OR($A19="",AND($C19&lt;&gt;"",N($C19)&lt;C$6)),0,IF($F19&lt;Forecast!$C$13,$G19+(H19-$G19)*MIN(1,C$9*30.4/(Forecast!$C$13-$F19)),$G19)*(1+Forecast!$B$12)^C$9)</f>
        <v>12.8998968008256</v>
      </c>
      <c r="M19" s="29" t="n">
        <f aca="false">IF(OR($A19="",AND($C19&lt;&gt;"",N($C19)&lt;D$6)),0,IF($F19&lt;Forecast!$C$13,$G19+(H19-$G19)*MIN(1,D$9*30.4/(Forecast!$C$13-$F19)),$G19)*(1+Forecast!$B$12)^D$9)</f>
        <v>12.8998968008256</v>
      </c>
      <c r="N19" s="29" t="n">
        <f aca="false">IF(OR($A19="",AND($C19&lt;&gt;"",N($C19)&lt;B$6)),0,IF($F19&lt;Forecast!$C$13,$G19+(I19-$G19)*MIN(1,B$9*30.4/(Forecast!$C$13-$F19)),$G19)*(1+Forecast!$C$12)^B$9)</f>
        <v>16.608617131063</v>
      </c>
      <c r="O19" s="29" t="n">
        <f aca="false">IF(OR($A19="",AND($C19&lt;&gt;"",N($C19)&lt;C$6)),0,IF($F19&lt;Forecast!$C$13,$G19+(I19-$G19)*MIN(1,C$9*30.4/(Forecast!$C$13-$F19)),$G19)*(1+Forecast!$C$12)^C$9)</f>
        <v>17.1068756449948</v>
      </c>
      <c r="P19" s="29" t="n">
        <f aca="false">IF(OR($A19="",AND($C19&lt;&gt;"",N($C19)&lt;D$6)),0,IF($F19&lt;Forecast!$C$13,$G19+(I19-$G19)*MIN(1,D$9*30.4/(Forecast!$C$13-$F19)),$G19)*(1+Forecast!$C$12)^D$9)</f>
        <v>17.6200819143447</v>
      </c>
      <c r="Q19" s="29" t="n">
        <f aca="false">IF(OR($A19="",AND($C19&lt;&gt;"",N($C19)&lt;B$6)),0,IF($F19&lt;Forecast!$C$13,$G19+(J19-$G19)*MIN(1,B$9*30.4/(Forecast!$C$13-$F19)),$G19)*(1+Forecast!$D$12)^B$9)</f>
        <v>20.5108359133127</v>
      </c>
      <c r="R19" s="29" t="n">
        <f aca="false">IF(OR($A19="",AND($C19&lt;&gt;"",N($C19)&lt;C$6)),0,IF($F19&lt;Forecast!$C$13,$G19+(J19-$G19)*MIN(1,C$9*30.4/(Forecast!$C$13-$F19)),$G19)*(1+Forecast!$D$12)^C$9)</f>
        <v>21.7414860681115</v>
      </c>
      <c r="S19" s="29" t="n">
        <f aca="false">IF(OR($A19="",AND($C19&lt;&gt;"",N($C19)&lt;D$6)),0,IF($F19&lt;Forecast!$C$13,$G19+(J19-$G19)*MIN(1,D$9*30.4/(Forecast!$C$13-$F19)),$G19)*(1+Forecast!$D$12)^D$9)</f>
        <v>23.0459752321981</v>
      </c>
    </row>
    <row r="20" customFormat="false" ht="15" hidden="false" customHeight="false" outlineLevel="0" collapsed="false">
      <c r="A20" s="3" t="str">
        <f aca="false">IF(INDEX(Data_Contracts!$A:$A,8+1)="","",INDEX(Data_Contracts!$A:$A,8+1))</f>
        <v>Brightpath Logistics</v>
      </c>
      <c r="B20" s="30" t="n">
        <f aca="false">IF(INDEX(Data_Contracts!$C:$C,8+1)="","",INDEX(Data_Contracts!$C:$C,8+1))</f>
        <v>46419</v>
      </c>
      <c r="C20" s="30" t="str">
        <f aca="false">IF(INDEX(Data_Contracts!$D:$D,8+1)="","",INDEX(Data_Contracts!$D:$D,8+1))</f>
        <v/>
      </c>
      <c r="D20" s="31" t="n">
        <f aca="false">IF(INDEX(Data_Contracts!$E:$E,8+1)="","",INDEX(Data_Contracts!$E:$E,8+1))</f>
        <v>10000</v>
      </c>
      <c r="E20" s="26" t="n">
        <f aca="false">IF(INDEX(Data_Contracts!$F:$F,8+1)="","",INDEX(Data_Contracts!$F:$F,8+1))</f>
        <v>0.0378</v>
      </c>
      <c r="F20" s="23" t="n">
        <f aca="false">IF($A20="","",$F$6-$B20)</f>
        <v>27</v>
      </c>
      <c r="G20" s="29" t="n">
        <f aca="false">IF($A20="",0,N(INDEX(Data_Contracts!$H:$H,8+1)))</f>
        <v>3.32406482014286</v>
      </c>
      <c r="H20" s="29" t="n">
        <f aca="false">IF(OR($A20="",N($E20)=0),0,$D20/$E20*Forecast!$B$11/30.4/1000)</f>
        <v>6.96184906711223</v>
      </c>
      <c r="I20" s="29" t="n">
        <f aca="false">IF(OR($A20="",N($E20)=0),0,$D20/$E20*Forecast!$C$11/30.4/1000)</f>
        <v>8.70231133389028</v>
      </c>
      <c r="J20" s="29" t="n">
        <f aca="false">IF(OR($A20="",N($E20)=0),0,$D20/$E20*Forecast!$D$11/30.4/1000)</f>
        <v>10.4427736006683</v>
      </c>
      <c r="K20" s="29" t="n">
        <f aca="false">IF(OR($A20="",AND($C20&lt;&gt;"",N($C20)&lt;B$6)),0,IF($F20&lt;Forecast!$C$13,$G20+(H20-$G20)*MIN(1,B$9*30.4/(Forecast!$C$13-$F20)),$G20)*(1+Forecast!$B$12)^B$9)</f>
        <v>6.67523576280555</v>
      </c>
      <c r="L20" s="29" t="n">
        <f aca="false">IF(OR($A20="",AND($C20&lt;&gt;"",N($C20)&lt;C$6)),0,IF($F20&lt;Forecast!$C$13,$G20+(H20-$G20)*MIN(1,C$9*30.4/(Forecast!$C$13-$F20)),$G20)*(1+Forecast!$B$12)^C$9)</f>
        <v>6.96184906711223</v>
      </c>
      <c r="M20" s="29" t="n">
        <f aca="false">IF(OR($A20="",AND($C20&lt;&gt;"",N($C20)&lt;D$6)),0,IF($F20&lt;Forecast!$C$13,$G20+(H20-$G20)*MIN(1,D$9*30.4/(Forecast!$C$13-$F20)),$G20)*(1+Forecast!$B$12)^D$9)</f>
        <v>6.96184906711223</v>
      </c>
      <c r="N20" s="29" t="n">
        <f aca="false">IF(OR($A20="",AND($C20&lt;&gt;"",N($C20)&lt;B$6)),0,IF($F20&lt;Forecast!$C$13,$G20+(I20-$G20)*MIN(1,B$9*30.4/(Forecast!$C$13-$F20)),$G20)*(1+Forecast!$C$12)^B$9)</f>
        <v>8.52692782045804</v>
      </c>
      <c r="O20" s="29" t="n">
        <f aca="false">IF(OR($A20="",AND($C20&lt;&gt;"",N($C20)&lt;C$6)),0,IF($F20&lt;Forecast!$C$13,$G20+(I20-$G20)*MIN(1,C$9*30.4/(Forecast!$C$13-$F20)),$G20)*(1+Forecast!$C$12)^C$9)</f>
        <v>9.2322820941242</v>
      </c>
      <c r="P20" s="29" t="n">
        <f aca="false">IF(OR($A20="",AND($C20&lt;&gt;"",N($C20)&lt;D$6)),0,IF($F20&lt;Forecast!$C$13,$G20+(I20-$G20)*MIN(1,D$9*30.4/(Forecast!$C$13-$F20)),$G20)*(1+Forecast!$C$12)^D$9)</f>
        <v>9.50925055694793</v>
      </c>
      <c r="Q20" s="29" t="n">
        <f aca="false">IF(OR($A20="",AND($C20&lt;&gt;"",N($C20)&lt;B$6)),0,IF($F20&lt;Forecast!$C$13,$G20+(J20-$G20)*MIN(1,B$9*30.4/(Forecast!$C$13-$F20)),$G20)*(1+Forecast!$D$12)^B$9)</f>
        <v>10.4748199743106</v>
      </c>
      <c r="R20" s="29" t="n">
        <f aca="false">IF(OR($A20="",AND($C20&lt;&gt;"",N($C20)&lt;C$6)),0,IF($F20&lt;Forecast!$C$13,$G20+(J20-$G20)*MIN(1,C$9*30.4/(Forecast!$C$13-$F20)),$G20)*(1+Forecast!$D$12)^C$9)</f>
        <v>11.7335004177109</v>
      </c>
      <c r="S20" s="29" t="n">
        <f aca="false">IF(OR($A20="",AND($C20&lt;&gt;"",N($C20)&lt;D$6)),0,IF($F20&lt;Forecast!$C$13,$G20+(J20-$G20)*MIN(1,D$9*30.4/(Forecast!$C$13-$F20)),$G20)*(1+Forecast!$D$12)^D$9)</f>
        <v>12.4375104427736</v>
      </c>
    </row>
    <row r="21" customFormat="false" ht="15" hidden="false" customHeight="false" outlineLevel="0" collapsed="false">
      <c r="A21" s="3" t="str">
        <f aca="false">IF(INDEX(Data_Contracts!$A:$A,9+1)="","",INDEX(Data_Contracts!$A:$A,9+1))</f>
        <v/>
      </c>
      <c r="B21" s="30" t="str">
        <f aca="false">IF(INDEX(Data_Contracts!$C:$C,9+1)="","",INDEX(Data_Contracts!$C:$C,9+1))</f>
        <v/>
      </c>
      <c r="C21" s="30" t="str">
        <f aca="false">IF(INDEX(Data_Contracts!$D:$D,9+1)="","",INDEX(Data_Contracts!$D:$D,9+1))</f>
        <v/>
      </c>
      <c r="D21" s="31" t="str">
        <f aca="false">IF(INDEX(Data_Contracts!$E:$E,9+1)="","",INDEX(Data_Contracts!$E:$E,9+1))</f>
        <v/>
      </c>
      <c r="E21" s="26" t="str">
        <f aca="false">IF(INDEX(Data_Contracts!$F:$F,9+1)="","",INDEX(Data_Contracts!$F:$F,9+1))</f>
        <v/>
      </c>
      <c r="F21" s="23" t="str">
        <f aca="false">IF($A21="","",$F$6-$B21)</f>
        <v/>
      </c>
      <c r="G21" s="29" t="n">
        <f aca="false">IF($A21="",0,N(INDEX(Data_Contracts!$H:$H,9+1)))</f>
        <v>0</v>
      </c>
      <c r="H21" s="29" t="n">
        <f aca="false">IF(OR($A21="",N($E21)=0),0,$D21/$E21*Forecast!$B$11/30.4/1000)</f>
        <v>0</v>
      </c>
      <c r="I21" s="29" t="n">
        <f aca="false">IF(OR($A21="",N($E21)=0),0,$D21/$E21*Forecast!$C$11/30.4/1000)</f>
        <v>0</v>
      </c>
      <c r="J21" s="29" t="n">
        <f aca="false">IF(OR($A21="",N($E21)=0),0,$D21/$E21*Forecast!$D$11/30.4/1000)</f>
        <v>0</v>
      </c>
      <c r="K21" s="29" t="n">
        <f aca="false">IF(OR($A21="",AND($C21&lt;&gt;"",N($C21)&lt;B$6)),0,IF($F21&lt;Forecast!$C$13,$G21+(H21-$G21)*MIN(1,B$9*30.4/(Forecast!$C$13-$F21)),$G21)*(1+Forecast!$B$12)^B$9)</f>
        <v>0</v>
      </c>
      <c r="L21" s="29" t="n">
        <f aca="false">IF(OR($A21="",AND($C21&lt;&gt;"",N($C21)&lt;C$6)),0,IF($F21&lt;Forecast!$C$13,$G21+(H21-$G21)*MIN(1,C$9*30.4/(Forecast!$C$13-$F21)),$G21)*(1+Forecast!$B$12)^C$9)</f>
        <v>0</v>
      </c>
      <c r="M21" s="29" t="n">
        <f aca="false">IF(OR($A21="",AND($C21&lt;&gt;"",N($C21)&lt;D$6)),0,IF($F21&lt;Forecast!$C$13,$G21+(H21-$G21)*MIN(1,D$9*30.4/(Forecast!$C$13-$F21)),$G21)*(1+Forecast!$B$12)^D$9)</f>
        <v>0</v>
      </c>
      <c r="N21" s="29" t="n">
        <f aca="false">IF(OR($A21="",AND($C21&lt;&gt;"",N($C21)&lt;B$6)),0,IF($F21&lt;Forecast!$C$13,$G21+(I21-$G21)*MIN(1,B$9*30.4/(Forecast!$C$13-$F21)),$G21)*(1+Forecast!$C$12)^B$9)</f>
        <v>0</v>
      </c>
      <c r="O21" s="29" t="n">
        <f aca="false">IF(OR($A21="",AND($C21&lt;&gt;"",N($C21)&lt;C$6)),0,IF($F21&lt;Forecast!$C$13,$G21+(I21-$G21)*MIN(1,C$9*30.4/(Forecast!$C$13-$F21)),$G21)*(1+Forecast!$C$12)^C$9)</f>
        <v>0</v>
      </c>
      <c r="P21" s="29" t="n">
        <f aca="false">IF(OR($A21="",AND($C21&lt;&gt;"",N($C21)&lt;D$6)),0,IF($F21&lt;Forecast!$C$13,$G21+(I21-$G21)*MIN(1,D$9*30.4/(Forecast!$C$13-$F21)),$G21)*(1+Forecast!$C$12)^D$9)</f>
        <v>0</v>
      </c>
      <c r="Q21" s="29" t="n">
        <f aca="false">IF(OR($A21="",AND($C21&lt;&gt;"",N($C21)&lt;B$6)),0,IF($F21&lt;Forecast!$C$13,$G21+(J21-$G21)*MIN(1,B$9*30.4/(Forecast!$C$13-$F21)),$G21)*(1+Forecast!$D$12)^B$9)</f>
        <v>0</v>
      </c>
      <c r="R21" s="29" t="n">
        <f aca="false">IF(OR($A21="",AND($C21&lt;&gt;"",N($C21)&lt;C$6)),0,IF($F21&lt;Forecast!$C$13,$G21+(J21-$G21)*MIN(1,C$9*30.4/(Forecast!$C$13-$F21)),$G21)*(1+Forecast!$D$12)^C$9)</f>
        <v>0</v>
      </c>
      <c r="S21" s="29" t="n">
        <f aca="false">IF(OR($A21="",AND($C21&lt;&gt;"",N($C21)&lt;D$6)),0,IF($F21&lt;Forecast!$C$13,$G21+(J21-$G21)*MIN(1,D$9*30.4/(Forecast!$C$13-$F21)),$G21)*(1+Forecast!$D$12)^D$9)</f>
        <v>0</v>
      </c>
    </row>
    <row r="22" customFormat="false" ht="15" hidden="false" customHeight="false" outlineLevel="0" collapsed="false">
      <c r="A22" s="3" t="str">
        <f aca="false">IF(INDEX(Data_Contracts!$A:$A,10+1)="","",INDEX(Data_Contracts!$A:$A,10+1))</f>
        <v/>
      </c>
      <c r="B22" s="30" t="str">
        <f aca="false">IF(INDEX(Data_Contracts!$C:$C,10+1)="","",INDEX(Data_Contracts!$C:$C,10+1))</f>
        <v/>
      </c>
      <c r="C22" s="30" t="str">
        <f aca="false">IF(INDEX(Data_Contracts!$D:$D,10+1)="","",INDEX(Data_Contracts!$D:$D,10+1))</f>
        <v/>
      </c>
      <c r="D22" s="31" t="str">
        <f aca="false">IF(INDEX(Data_Contracts!$E:$E,10+1)="","",INDEX(Data_Contracts!$E:$E,10+1))</f>
        <v/>
      </c>
      <c r="E22" s="26" t="str">
        <f aca="false">IF(INDEX(Data_Contracts!$F:$F,10+1)="","",INDEX(Data_Contracts!$F:$F,10+1))</f>
        <v/>
      </c>
      <c r="F22" s="23" t="str">
        <f aca="false">IF($A22="","",$F$6-$B22)</f>
        <v/>
      </c>
      <c r="G22" s="29" t="n">
        <f aca="false">IF($A22="",0,N(INDEX(Data_Contracts!$H:$H,10+1)))</f>
        <v>0</v>
      </c>
      <c r="H22" s="29" t="n">
        <f aca="false">IF(OR($A22="",N($E22)=0),0,$D22/$E22*Forecast!$B$11/30.4/1000)</f>
        <v>0</v>
      </c>
      <c r="I22" s="29" t="n">
        <f aca="false">IF(OR($A22="",N($E22)=0),0,$D22/$E22*Forecast!$C$11/30.4/1000)</f>
        <v>0</v>
      </c>
      <c r="J22" s="29" t="n">
        <f aca="false">IF(OR($A22="",N($E22)=0),0,$D22/$E22*Forecast!$D$11/30.4/1000)</f>
        <v>0</v>
      </c>
      <c r="K22" s="29" t="n">
        <f aca="false">IF(OR($A22="",AND($C22&lt;&gt;"",N($C22)&lt;B$6)),0,IF($F22&lt;Forecast!$C$13,$G22+(H22-$G22)*MIN(1,B$9*30.4/(Forecast!$C$13-$F22)),$G22)*(1+Forecast!$B$12)^B$9)</f>
        <v>0</v>
      </c>
      <c r="L22" s="29" t="n">
        <f aca="false">IF(OR($A22="",AND($C22&lt;&gt;"",N($C22)&lt;C$6)),0,IF($F22&lt;Forecast!$C$13,$G22+(H22-$G22)*MIN(1,C$9*30.4/(Forecast!$C$13-$F22)),$G22)*(1+Forecast!$B$12)^C$9)</f>
        <v>0</v>
      </c>
      <c r="M22" s="29" t="n">
        <f aca="false">IF(OR($A22="",AND($C22&lt;&gt;"",N($C22)&lt;D$6)),0,IF($F22&lt;Forecast!$C$13,$G22+(H22-$G22)*MIN(1,D$9*30.4/(Forecast!$C$13-$F22)),$G22)*(1+Forecast!$B$12)^D$9)</f>
        <v>0</v>
      </c>
      <c r="N22" s="29" t="n">
        <f aca="false">IF(OR($A22="",AND($C22&lt;&gt;"",N($C22)&lt;B$6)),0,IF($F22&lt;Forecast!$C$13,$G22+(I22-$G22)*MIN(1,B$9*30.4/(Forecast!$C$13-$F22)),$G22)*(1+Forecast!$C$12)^B$9)</f>
        <v>0</v>
      </c>
      <c r="O22" s="29" t="n">
        <f aca="false">IF(OR($A22="",AND($C22&lt;&gt;"",N($C22)&lt;C$6)),0,IF($F22&lt;Forecast!$C$13,$G22+(I22-$G22)*MIN(1,C$9*30.4/(Forecast!$C$13-$F22)),$G22)*(1+Forecast!$C$12)^C$9)</f>
        <v>0</v>
      </c>
      <c r="P22" s="29" t="n">
        <f aca="false">IF(OR($A22="",AND($C22&lt;&gt;"",N($C22)&lt;D$6)),0,IF($F22&lt;Forecast!$C$13,$G22+(I22-$G22)*MIN(1,D$9*30.4/(Forecast!$C$13-$F22)),$G22)*(1+Forecast!$C$12)^D$9)</f>
        <v>0</v>
      </c>
      <c r="Q22" s="29" t="n">
        <f aca="false">IF(OR($A22="",AND($C22&lt;&gt;"",N($C22)&lt;B$6)),0,IF($F22&lt;Forecast!$C$13,$G22+(J22-$G22)*MIN(1,B$9*30.4/(Forecast!$C$13-$F22)),$G22)*(1+Forecast!$D$12)^B$9)</f>
        <v>0</v>
      </c>
      <c r="R22" s="29" t="n">
        <f aca="false">IF(OR($A22="",AND($C22&lt;&gt;"",N($C22)&lt;C$6)),0,IF($F22&lt;Forecast!$C$13,$G22+(J22-$G22)*MIN(1,C$9*30.4/(Forecast!$C$13-$F22)),$G22)*(1+Forecast!$D$12)^C$9)</f>
        <v>0</v>
      </c>
      <c r="S22" s="29" t="n">
        <f aca="false">IF(OR($A22="",AND($C22&lt;&gt;"",N($C22)&lt;D$6)),0,IF($F22&lt;Forecast!$C$13,$G22+(J22-$G22)*MIN(1,D$9*30.4/(Forecast!$C$13-$F22)),$G22)*(1+Forecast!$D$12)^D$9)</f>
        <v>0</v>
      </c>
    </row>
    <row r="23" customFormat="false" ht="15" hidden="false" customHeight="false" outlineLevel="0" collapsed="false">
      <c r="A23" s="3" t="str">
        <f aca="false">IF(INDEX(Data_Contracts!$A:$A,11+1)="","",INDEX(Data_Contracts!$A:$A,11+1))</f>
        <v/>
      </c>
      <c r="B23" s="30" t="str">
        <f aca="false">IF(INDEX(Data_Contracts!$C:$C,11+1)="","",INDEX(Data_Contracts!$C:$C,11+1))</f>
        <v/>
      </c>
      <c r="C23" s="30" t="str">
        <f aca="false">IF(INDEX(Data_Contracts!$D:$D,11+1)="","",INDEX(Data_Contracts!$D:$D,11+1))</f>
        <v/>
      </c>
      <c r="D23" s="31" t="str">
        <f aca="false">IF(INDEX(Data_Contracts!$E:$E,11+1)="","",INDEX(Data_Contracts!$E:$E,11+1))</f>
        <v/>
      </c>
      <c r="E23" s="26" t="str">
        <f aca="false">IF(INDEX(Data_Contracts!$F:$F,11+1)="","",INDEX(Data_Contracts!$F:$F,11+1))</f>
        <v/>
      </c>
      <c r="F23" s="23" t="str">
        <f aca="false">IF($A23="","",$F$6-$B23)</f>
        <v/>
      </c>
      <c r="G23" s="29" t="n">
        <f aca="false">IF($A23="",0,N(INDEX(Data_Contracts!$H:$H,11+1)))</f>
        <v>0</v>
      </c>
      <c r="H23" s="29" t="n">
        <f aca="false">IF(OR($A23="",N($E23)=0),0,$D23/$E23*Forecast!$B$11/30.4/1000)</f>
        <v>0</v>
      </c>
      <c r="I23" s="29" t="n">
        <f aca="false">IF(OR($A23="",N($E23)=0),0,$D23/$E23*Forecast!$C$11/30.4/1000)</f>
        <v>0</v>
      </c>
      <c r="J23" s="29" t="n">
        <f aca="false">IF(OR($A23="",N($E23)=0),0,$D23/$E23*Forecast!$D$11/30.4/1000)</f>
        <v>0</v>
      </c>
      <c r="K23" s="29" t="n">
        <f aca="false">IF(OR($A23="",AND($C23&lt;&gt;"",N($C23)&lt;B$6)),0,IF($F23&lt;Forecast!$C$13,$G23+(H23-$G23)*MIN(1,B$9*30.4/(Forecast!$C$13-$F23)),$G23)*(1+Forecast!$B$12)^B$9)</f>
        <v>0</v>
      </c>
      <c r="L23" s="29" t="n">
        <f aca="false">IF(OR($A23="",AND($C23&lt;&gt;"",N($C23)&lt;C$6)),0,IF($F23&lt;Forecast!$C$13,$G23+(H23-$G23)*MIN(1,C$9*30.4/(Forecast!$C$13-$F23)),$G23)*(1+Forecast!$B$12)^C$9)</f>
        <v>0</v>
      </c>
      <c r="M23" s="29" t="n">
        <f aca="false">IF(OR($A23="",AND($C23&lt;&gt;"",N($C23)&lt;D$6)),0,IF($F23&lt;Forecast!$C$13,$G23+(H23-$G23)*MIN(1,D$9*30.4/(Forecast!$C$13-$F23)),$G23)*(1+Forecast!$B$12)^D$9)</f>
        <v>0</v>
      </c>
      <c r="N23" s="29" t="n">
        <f aca="false">IF(OR($A23="",AND($C23&lt;&gt;"",N($C23)&lt;B$6)),0,IF($F23&lt;Forecast!$C$13,$G23+(I23-$G23)*MIN(1,B$9*30.4/(Forecast!$C$13-$F23)),$G23)*(1+Forecast!$C$12)^B$9)</f>
        <v>0</v>
      </c>
      <c r="O23" s="29" t="n">
        <f aca="false">IF(OR($A23="",AND($C23&lt;&gt;"",N($C23)&lt;C$6)),0,IF($F23&lt;Forecast!$C$13,$G23+(I23-$G23)*MIN(1,C$9*30.4/(Forecast!$C$13-$F23)),$G23)*(1+Forecast!$C$12)^C$9)</f>
        <v>0</v>
      </c>
      <c r="P23" s="29" t="n">
        <f aca="false">IF(OR($A23="",AND($C23&lt;&gt;"",N($C23)&lt;D$6)),0,IF($F23&lt;Forecast!$C$13,$G23+(I23-$G23)*MIN(1,D$9*30.4/(Forecast!$C$13-$F23)),$G23)*(1+Forecast!$C$12)^D$9)</f>
        <v>0</v>
      </c>
      <c r="Q23" s="29" t="n">
        <f aca="false">IF(OR($A23="",AND($C23&lt;&gt;"",N($C23)&lt;B$6)),0,IF($F23&lt;Forecast!$C$13,$G23+(J23-$G23)*MIN(1,B$9*30.4/(Forecast!$C$13-$F23)),$G23)*(1+Forecast!$D$12)^B$9)</f>
        <v>0</v>
      </c>
      <c r="R23" s="29" t="n">
        <f aca="false">IF(OR($A23="",AND($C23&lt;&gt;"",N($C23)&lt;C$6)),0,IF($F23&lt;Forecast!$C$13,$G23+(J23-$G23)*MIN(1,C$9*30.4/(Forecast!$C$13-$F23)),$G23)*(1+Forecast!$D$12)^C$9)</f>
        <v>0</v>
      </c>
      <c r="S23" s="29" t="n">
        <f aca="false">IF(OR($A23="",AND($C23&lt;&gt;"",N($C23)&lt;D$6)),0,IF($F23&lt;Forecast!$C$13,$G23+(J23-$G23)*MIN(1,D$9*30.4/(Forecast!$C$13-$F23)),$G23)*(1+Forecast!$D$12)^D$9)</f>
        <v>0</v>
      </c>
    </row>
    <row r="24" customFormat="false" ht="15" hidden="false" customHeight="false" outlineLevel="0" collapsed="false">
      <c r="A24" s="3" t="str">
        <f aca="false">IF(INDEX(Data_Contracts!$A:$A,12+1)="","",INDEX(Data_Contracts!$A:$A,12+1))</f>
        <v/>
      </c>
      <c r="B24" s="30" t="str">
        <f aca="false">IF(INDEX(Data_Contracts!$C:$C,12+1)="","",INDEX(Data_Contracts!$C:$C,12+1))</f>
        <v/>
      </c>
      <c r="C24" s="30" t="str">
        <f aca="false">IF(INDEX(Data_Contracts!$D:$D,12+1)="","",INDEX(Data_Contracts!$D:$D,12+1))</f>
        <v/>
      </c>
      <c r="D24" s="31" t="str">
        <f aca="false">IF(INDEX(Data_Contracts!$E:$E,12+1)="","",INDEX(Data_Contracts!$E:$E,12+1))</f>
        <v/>
      </c>
      <c r="E24" s="26" t="str">
        <f aca="false">IF(INDEX(Data_Contracts!$F:$F,12+1)="","",INDEX(Data_Contracts!$F:$F,12+1))</f>
        <v/>
      </c>
      <c r="F24" s="23" t="str">
        <f aca="false">IF($A24="","",$F$6-$B24)</f>
        <v/>
      </c>
      <c r="G24" s="29" t="n">
        <f aca="false">IF($A24="",0,N(INDEX(Data_Contracts!$H:$H,12+1)))</f>
        <v>0</v>
      </c>
      <c r="H24" s="29" t="n">
        <f aca="false">IF(OR($A24="",N($E24)=0),0,$D24/$E24*Forecast!$B$11/30.4/1000)</f>
        <v>0</v>
      </c>
      <c r="I24" s="29" t="n">
        <f aca="false">IF(OR($A24="",N($E24)=0),0,$D24/$E24*Forecast!$C$11/30.4/1000)</f>
        <v>0</v>
      </c>
      <c r="J24" s="29" t="n">
        <f aca="false">IF(OR($A24="",N($E24)=0),0,$D24/$E24*Forecast!$D$11/30.4/1000)</f>
        <v>0</v>
      </c>
      <c r="K24" s="29" t="n">
        <f aca="false">IF(OR($A24="",AND($C24&lt;&gt;"",N($C24)&lt;B$6)),0,IF($F24&lt;Forecast!$C$13,$G24+(H24-$G24)*MIN(1,B$9*30.4/(Forecast!$C$13-$F24)),$G24)*(1+Forecast!$B$12)^B$9)</f>
        <v>0</v>
      </c>
      <c r="L24" s="29" t="n">
        <f aca="false">IF(OR($A24="",AND($C24&lt;&gt;"",N($C24)&lt;C$6)),0,IF($F24&lt;Forecast!$C$13,$G24+(H24-$G24)*MIN(1,C$9*30.4/(Forecast!$C$13-$F24)),$G24)*(1+Forecast!$B$12)^C$9)</f>
        <v>0</v>
      </c>
      <c r="M24" s="29" t="n">
        <f aca="false">IF(OR($A24="",AND($C24&lt;&gt;"",N($C24)&lt;D$6)),0,IF($F24&lt;Forecast!$C$13,$G24+(H24-$G24)*MIN(1,D$9*30.4/(Forecast!$C$13-$F24)),$G24)*(1+Forecast!$B$12)^D$9)</f>
        <v>0</v>
      </c>
      <c r="N24" s="29" t="n">
        <f aca="false">IF(OR($A24="",AND($C24&lt;&gt;"",N($C24)&lt;B$6)),0,IF($F24&lt;Forecast!$C$13,$G24+(I24-$G24)*MIN(1,B$9*30.4/(Forecast!$C$13-$F24)),$G24)*(1+Forecast!$C$12)^B$9)</f>
        <v>0</v>
      </c>
      <c r="O24" s="29" t="n">
        <f aca="false">IF(OR($A24="",AND($C24&lt;&gt;"",N($C24)&lt;C$6)),0,IF($F24&lt;Forecast!$C$13,$G24+(I24-$G24)*MIN(1,C$9*30.4/(Forecast!$C$13-$F24)),$G24)*(1+Forecast!$C$12)^C$9)</f>
        <v>0</v>
      </c>
      <c r="P24" s="29" t="n">
        <f aca="false">IF(OR($A24="",AND($C24&lt;&gt;"",N($C24)&lt;D$6)),0,IF($F24&lt;Forecast!$C$13,$G24+(I24-$G24)*MIN(1,D$9*30.4/(Forecast!$C$13-$F24)),$G24)*(1+Forecast!$C$12)^D$9)</f>
        <v>0</v>
      </c>
      <c r="Q24" s="29" t="n">
        <f aca="false">IF(OR($A24="",AND($C24&lt;&gt;"",N($C24)&lt;B$6)),0,IF($F24&lt;Forecast!$C$13,$G24+(J24-$G24)*MIN(1,B$9*30.4/(Forecast!$C$13-$F24)),$G24)*(1+Forecast!$D$12)^B$9)</f>
        <v>0</v>
      </c>
      <c r="R24" s="29" t="n">
        <f aca="false">IF(OR($A24="",AND($C24&lt;&gt;"",N($C24)&lt;C$6)),0,IF($F24&lt;Forecast!$C$13,$G24+(J24-$G24)*MIN(1,C$9*30.4/(Forecast!$C$13-$F24)),$G24)*(1+Forecast!$D$12)^C$9)</f>
        <v>0</v>
      </c>
      <c r="S24" s="29" t="n">
        <f aca="false">IF(OR($A24="",AND($C24&lt;&gt;"",N($C24)&lt;D$6)),0,IF($F24&lt;Forecast!$C$13,$G24+(J24-$G24)*MIN(1,D$9*30.4/(Forecast!$C$13-$F24)),$G24)*(1+Forecast!$D$12)^D$9)</f>
        <v>0</v>
      </c>
    </row>
    <row r="25" customFormat="false" ht="15" hidden="false" customHeight="false" outlineLevel="0" collapsed="false">
      <c r="A25" s="3" t="str">
        <f aca="false">IF(INDEX(Data_Contracts!$A:$A,13+1)="","",INDEX(Data_Contracts!$A:$A,13+1))</f>
        <v/>
      </c>
      <c r="B25" s="30" t="str">
        <f aca="false">IF(INDEX(Data_Contracts!$C:$C,13+1)="","",INDEX(Data_Contracts!$C:$C,13+1))</f>
        <v/>
      </c>
      <c r="C25" s="30" t="str">
        <f aca="false">IF(INDEX(Data_Contracts!$D:$D,13+1)="","",INDEX(Data_Contracts!$D:$D,13+1))</f>
        <v/>
      </c>
      <c r="D25" s="31" t="str">
        <f aca="false">IF(INDEX(Data_Contracts!$E:$E,13+1)="","",INDEX(Data_Contracts!$E:$E,13+1))</f>
        <v/>
      </c>
      <c r="E25" s="26" t="str">
        <f aca="false">IF(INDEX(Data_Contracts!$F:$F,13+1)="","",INDEX(Data_Contracts!$F:$F,13+1))</f>
        <v/>
      </c>
      <c r="F25" s="23" t="str">
        <f aca="false">IF($A25="","",$F$6-$B25)</f>
        <v/>
      </c>
      <c r="G25" s="29" t="n">
        <f aca="false">IF($A25="",0,N(INDEX(Data_Contracts!$H:$H,13+1)))</f>
        <v>0</v>
      </c>
      <c r="H25" s="29" t="n">
        <f aca="false">IF(OR($A25="",N($E25)=0),0,$D25/$E25*Forecast!$B$11/30.4/1000)</f>
        <v>0</v>
      </c>
      <c r="I25" s="29" t="n">
        <f aca="false">IF(OR($A25="",N($E25)=0),0,$D25/$E25*Forecast!$C$11/30.4/1000)</f>
        <v>0</v>
      </c>
      <c r="J25" s="29" t="n">
        <f aca="false">IF(OR($A25="",N($E25)=0),0,$D25/$E25*Forecast!$D$11/30.4/1000)</f>
        <v>0</v>
      </c>
      <c r="K25" s="29" t="n">
        <f aca="false">IF(OR($A25="",AND($C25&lt;&gt;"",N($C25)&lt;B$6)),0,IF($F25&lt;Forecast!$C$13,$G25+(H25-$G25)*MIN(1,B$9*30.4/(Forecast!$C$13-$F25)),$G25)*(1+Forecast!$B$12)^B$9)</f>
        <v>0</v>
      </c>
      <c r="L25" s="29" t="n">
        <f aca="false">IF(OR($A25="",AND($C25&lt;&gt;"",N($C25)&lt;C$6)),0,IF($F25&lt;Forecast!$C$13,$G25+(H25-$G25)*MIN(1,C$9*30.4/(Forecast!$C$13-$F25)),$G25)*(1+Forecast!$B$12)^C$9)</f>
        <v>0</v>
      </c>
      <c r="M25" s="29" t="n">
        <f aca="false">IF(OR($A25="",AND($C25&lt;&gt;"",N($C25)&lt;D$6)),0,IF($F25&lt;Forecast!$C$13,$G25+(H25-$G25)*MIN(1,D$9*30.4/(Forecast!$C$13-$F25)),$G25)*(1+Forecast!$B$12)^D$9)</f>
        <v>0</v>
      </c>
      <c r="N25" s="29" t="n">
        <f aca="false">IF(OR($A25="",AND($C25&lt;&gt;"",N($C25)&lt;B$6)),0,IF($F25&lt;Forecast!$C$13,$G25+(I25-$G25)*MIN(1,B$9*30.4/(Forecast!$C$13-$F25)),$G25)*(1+Forecast!$C$12)^B$9)</f>
        <v>0</v>
      </c>
      <c r="O25" s="29" t="n">
        <f aca="false">IF(OR($A25="",AND($C25&lt;&gt;"",N($C25)&lt;C$6)),0,IF($F25&lt;Forecast!$C$13,$G25+(I25-$G25)*MIN(1,C$9*30.4/(Forecast!$C$13-$F25)),$G25)*(1+Forecast!$C$12)^C$9)</f>
        <v>0</v>
      </c>
      <c r="P25" s="29" t="n">
        <f aca="false">IF(OR($A25="",AND($C25&lt;&gt;"",N($C25)&lt;D$6)),0,IF($F25&lt;Forecast!$C$13,$G25+(I25-$G25)*MIN(1,D$9*30.4/(Forecast!$C$13-$F25)),$G25)*(1+Forecast!$C$12)^D$9)</f>
        <v>0</v>
      </c>
      <c r="Q25" s="29" t="n">
        <f aca="false">IF(OR($A25="",AND($C25&lt;&gt;"",N($C25)&lt;B$6)),0,IF($F25&lt;Forecast!$C$13,$G25+(J25-$G25)*MIN(1,B$9*30.4/(Forecast!$C$13-$F25)),$G25)*(1+Forecast!$D$12)^B$9)</f>
        <v>0</v>
      </c>
      <c r="R25" s="29" t="n">
        <f aca="false">IF(OR($A25="",AND($C25&lt;&gt;"",N($C25)&lt;C$6)),0,IF($F25&lt;Forecast!$C$13,$G25+(J25-$G25)*MIN(1,C$9*30.4/(Forecast!$C$13-$F25)),$G25)*(1+Forecast!$D$12)^C$9)</f>
        <v>0</v>
      </c>
      <c r="S25" s="29" t="n">
        <f aca="false">IF(OR($A25="",AND($C25&lt;&gt;"",N($C25)&lt;D$6)),0,IF($F25&lt;Forecast!$C$13,$G25+(J25-$G25)*MIN(1,D$9*30.4/(Forecast!$C$13-$F25)),$G25)*(1+Forecast!$D$12)^D$9)</f>
        <v>0</v>
      </c>
    </row>
    <row r="26" customFormat="false" ht="15" hidden="false" customHeight="false" outlineLevel="0" collapsed="false">
      <c r="A26" s="3" t="str">
        <f aca="false">IF(INDEX(Data_Contracts!$A:$A,14+1)="","",INDEX(Data_Contracts!$A:$A,14+1))</f>
        <v/>
      </c>
      <c r="B26" s="30" t="str">
        <f aca="false">IF(INDEX(Data_Contracts!$C:$C,14+1)="","",INDEX(Data_Contracts!$C:$C,14+1))</f>
        <v/>
      </c>
      <c r="C26" s="30" t="str">
        <f aca="false">IF(INDEX(Data_Contracts!$D:$D,14+1)="","",INDEX(Data_Contracts!$D:$D,14+1))</f>
        <v/>
      </c>
      <c r="D26" s="31" t="str">
        <f aca="false">IF(INDEX(Data_Contracts!$E:$E,14+1)="","",INDEX(Data_Contracts!$E:$E,14+1))</f>
        <v/>
      </c>
      <c r="E26" s="26" t="str">
        <f aca="false">IF(INDEX(Data_Contracts!$F:$F,14+1)="","",INDEX(Data_Contracts!$F:$F,14+1))</f>
        <v/>
      </c>
      <c r="F26" s="23" t="str">
        <f aca="false">IF($A26="","",$F$6-$B26)</f>
        <v/>
      </c>
      <c r="G26" s="29" t="n">
        <f aca="false">IF($A26="",0,N(INDEX(Data_Contracts!$H:$H,14+1)))</f>
        <v>0</v>
      </c>
      <c r="H26" s="29" t="n">
        <f aca="false">IF(OR($A26="",N($E26)=0),0,$D26/$E26*Forecast!$B$11/30.4/1000)</f>
        <v>0</v>
      </c>
      <c r="I26" s="29" t="n">
        <f aca="false">IF(OR($A26="",N($E26)=0),0,$D26/$E26*Forecast!$C$11/30.4/1000)</f>
        <v>0</v>
      </c>
      <c r="J26" s="29" t="n">
        <f aca="false">IF(OR($A26="",N($E26)=0),0,$D26/$E26*Forecast!$D$11/30.4/1000)</f>
        <v>0</v>
      </c>
      <c r="K26" s="29" t="n">
        <f aca="false">IF(OR($A26="",AND($C26&lt;&gt;"",N($C26)&lt;B$6)),0,IF($F26&lt;Forecast!$C$13,$G26+(H26-$G26)*MIN(1,B$9*30.4/(Forecast!$C$13-$F26)),$G26)*(1+Forecast!$B$12)^B$9)</f>
        <v>0</v>
      </c>
      <c r="L26" s="29" t="n">
        <f aca="false">IF(OR($A26="",AND($C26&lt;&gt;"",N($C26)&lt;C$6)),0,IF($F26&lt;Forecast!$C$13,$G26+(H26-$G26)*MIN(1,C$9*30.4/(Forecast!$C$13-$F26)),$G26)*(1+Forecast!$B$12)^C$9)</f>
        <v>0</v>
      </c>
      <c r="M26" s="29" t="n">
        <f aca="false">IF(OR($A26="",AND($C26&lt;&gt;"",N($C26)&lt;D$6)),0,IF($F26&lt;Forecast!$C$13,$G26+(H26-$G26)*MIN(1,D$9*30.4/(Forecast!$C$13-$F26)),$G26)*(1+Forecast!$B$12)^D$9)</f>
        <v>0</v>
      </c>
      <c r="N26" s="29" t="n">
        <f aca="false">IF(OR($A26="",AND($C26&lt;&gt;"",N($C26)&lt;B$6)),0,IF($F26&lt;Forecast!$C$13,$G26+(I26-$G26)*MIN(1,B$9*30.4/(Forecast!$C$13-$F26)),$G26)*(1+Forecast!$C$12)^B$9)</f>
        <v>0</v>
      </c>
      <c r="O26" s="29" t="n">
        <f aca="false">IF(OR($A26="",AND($C26&lt;&gt;"",N($C26)&lt;C$6)),0,IF($F26&lt;Forecast!$C$13,$G26+(I26-$G26)*MIN(1,C$9*30.4/(Forecast!$C$13-$F26)),$G26)*(1+Forecast!$C$12)^C$9)</f>
        <v>0</v>
      </c>
      <c r="P26" s="29" t="n">
        <f aca="false">IF(OR($A26="",AND($C26&lt;&gt;"",N($C26)&lt;D$6)),0,IF($F26&lt;Forecast!$C$13,$G26+(I26-$G26)*MIN(1,D$9*30.4/(Forecast!$C$13-$F26)),$G26)*(1+Forecast!$C$12)^D$9)</f>
        <v>0</v>
      </c>
      <c r="Q26" s="29" t="n">
        <f aca="false">IF(OR($A26="",AND($C26&lt;&gt;"",N($C26)&lt;B$6)),0,IF($F26&lt;Forecast!$C$13,$G26+(J26-$G26)*MIN(1,B$9*30.4/(Forecast!$C$13-$F26)),$G26)*(1+Forecast!$D$12)^B$9)</f>
        <v>0</v>
      </c>
      <c r="R26" s="29" t="n">
        <f aca="false">IF(OR($A26="",AND($C26&lt;&gt;"",N($C26)&lt;C$6)),0,IF($F26&lt;Forecast!$C$13,$G26+(J26-$G26)*MIN(1,C$9*30.4/(Forecast!$C$13-$F26)),$G26)*(1+Forecast!$D$12)^C$9)</f>
        <v>0</v>
      </c>
      <c r="S26" s="29" t="n">
        <f aca="false">IF(OR($A26="",AND($C26&lt;&gt;"",N($C26)&lt;D$6)),0,IF($F26&lt;Forecast!$C$13,$G26+(J26-$G26)*MIN(1,D$9*30.4/(Forecast!$C$13-$F26)),$G26)*(1+Forecast!$D$12)^D$9)</f>
        <v>0</v>
      </c>
    </row>
    <row r="27" customFormat="false" ht="15" hidden="false" customHeight="false" outlineLevel="0" collapsed="false">
      <c r="A27" s="3" t="str">
        <f aca="false">IF(INDEX(Data_Contracts!$A:$A,15+1)="","",INDEX(Data_Contracts!$A:$A,15+1))</f>
        <v/>
      </c>
      <c r="B27" s="30" t="str">
        <f aca="false">IF(INDEX(Data_Contracts!$C:$C,15+1)="","",INDEX(Data_Contracts!$C:$C,15+1))</f>
        <v/>
      </c>
      <c r="C27" s="30" t="str">
        <f aca="false">IF(INDEX(Data_Contracts!$D:$D,15+1)="","",INDEX(Data_Contracts!$D:$D,15+1))</f>
        <v/>
      </c>
      <c r="D27" s="31" t="str">
        <f aca="false">IF(INDEX(Data_Contracts!$E:$E,15+1)="","",INDEX(Data_Contracts!$E:$E,15+1))</f>
        <v/>
      </c>
      <c r="E27" s="26" t="str">
        <f aca="false">IF(INDEX(Data_Contracts!$F:$F,15+1)="","",INDEX(Data_Contracts!$F:$F,15+1))</f>
        <v/>
      </c>
      <c r="F27" s="23" t="str">
        <f aca="false">IF($A27="","",$F$6-$B27)</f>
        <v/>
      </c>
      <c r="G27" s="29" t="n">
        <f aca="false">IF($A27="",0,N(INDEX(Data_Contracts!$H:$H,15+1)))</f>
        <v>0</v>
      </c>
      <c r="H27" s="29" t="n">
        <f aca="false">IF(OR($A27="",N($E27)=0),0,$D27/$E27*Forecast!$B$11/30.4/1000)</f>
        <v>0</v>
      </c>
      <c r="I27" s="29" t="n">
        <f aca="false">IF(OR($A27="",N($E27)=0),0,$D27/$E27*Forecast!$C$11/30.4/1000)</f>
        <v>0</v>
      </c>
      <c r="J27" s="29" t="n">
        <f aca="false">IF(OR($A27="",N($E27)=0),0,$D27/$E27*Forecast!$D$11/30.4/1000)</f>
        <v>0</v>
      </c>
      <c r="K27" s="29" t="n">
        <f aca="false">IF(OR($A27="",AND($C27&lt;&gt;"",N($C27)&lt;B$6)),0,IF($F27&lt;Forecast!$C$13,$G27+(H27-$G27)*MIN(1,B$9*30.4/(Forecast!$C$13-$F27)),$G27)*(1+Forecast!$B$12)^B$9)</f>
        <v>0</v>
      </c>
      <c r="L27" s="29" t="n">
        <f aca="false">IF(OR($A27="",AND($C27&lt;&gt;"",N($C27)&lt;C$6)),0,IF($F27&lt;Forecast!$C$13,$G27+(H27-$G27)*MIN(1,C$9*30.4/(Forecast!$C$13-$F27)),$G27)*(1+Forecast!$B$12)^C$9)</f>
        <v>0</v>
      </c>
      <c r="M27" s="29" t="n">
        <f aca="false">IF(OR($A27="",AND($C27&lt;&gt;"",N($C27)&lt;D$6)),0,IF($F27&lt;Forecast!$C$13,$G27+(H27-$G27)*MIN(1,D$9*30.4/(Forecast!$C$13-$F27)),$G27)*(1+Forecast!$B$12)^D$9)</f>
        <v>0</v>
      </c>
      <c r="N27" s="29" t="n">
        <f aca="false">IF(OR($A27="",AND($C27&lt;&gt;"",N($C27)&lt;B$6)),0,IF($F27&lt;Forecast!$C$13,$G27+(I27-$G27)*MIN(1,B$9*30.4/(Forecast!$C$13-$F27)),$G27)*(1+Forecast!$C$12)^B$9)</f>
        <v>0</v>
      </c>
      <c r="O27" s="29" t="n">
        <f aca="false">IF(OR($A27="",AND($C27&lt;&gt;"",N($C27)&lt;C$6)),0,IF($F27&lt;Forecast!$C$13,$G27+(I27-$G27)*MIN(1,C$9*30.4/(Forecast!$C$13-$F27)),$G27)*(1+Forecast!$C$12)^C$9)</f>
        <v>0</v>
      </c>
      <c r="P27" s="29" t="n">
        <f aca="false">IF(OR($A27="",AND($C27&lt;&gt;"",N($C27)&lt;D$6)),0,IF($F27&lt;Forecast!$C$13,$G27+(I27-$G27)*MIN(1,D$9*30.4/(Forecast!$C$13-$F27)),$G27)*(1+Forecast!$C$12)^D$9)</f>
        <v>0</v>
      </c>
      <c r="Q27" s="29" t="n">
        <f aca="false">IF(OR($A27="",AND($C27&lt;&gt;"",N($C27)&lt;B$6)),0,IF($F27&lt;Forecast!$C$13,$G27+(J27-$G27)*MIN(1,B$9*30.4/(Forecast!$C$13-$F27)),$G27)*(1+Forecast!$D$12)^B$9)</f>
        <v>0</v>
      </c>
      <c r="R27" s="29" t="n">
        <f aca="false">IF(OR($A27="",AND($C27&lt;&gt;"",N($C27)&lt;C$6)),0,IF($F27&lt;Forecast!$C$13,$G27+(J27-$G27)*MIN(1,C$9*30.4/(Forecast!$C$13-$F27)),$G27)*(1+Forecast!$D$12)^C$9)</f>
        <v>0</v>
      </c>
      <c r="S27" s="29" t="n">
        <f aca="false">IF(OR($A27="",AND($C27&lt;&gt;"",N($C27)&lt;D$6)),0,IF($F27&lt;Forecast!$C$13,$G27+(J27-$G27)*MIN(1,D$9*30.4/(Forecast!$C$13-$F27)),$G27)*(1+Forecast!$D$12)^D$9)</f>
        <v>0</v>
      </c>
    </row>
    <row r="28" customFormat="false" ht="15" hidden="false" customHeight="false" outlineLevel="0" collapsed="false">
      <c r="A28" s="3" t="str">
        <f aca="false">IF(INDEX(Data_Contracts!$A:$A,16+1)="","",INDEX(Data_Contracts!$A:$A,16+1))</f>
        <v/>
      </c>
      <c r="B28" s="30" t="str">
        <f aca="false">IF(INDEX(Data_Contracts!$C:$C,16+1)="","",INDEX(Data_Contracts!$C:$C,16+1))</f>
        <v/>
      </c>
      <c r="C28" s="30" t="str">
        <f aca="false">IF(INDEX(Data_Contracts!$D:$D,16+1)="","",INDEX(Data_Contracts!$D:$D,16+1))</f>
        <v/>
      </c>
      <c r="D28" s="31" t="str">
        <f aca="false">IF(INDEX(Data_Contracts!$E:$E,16+1)="","",INDEX(Data_Contracts!$E:$E,16+1))</f>
        <v/>
      </c>
      <c r="E28" s="26" t="str">
        <f aca="false">IF(INDEX(Data_Contracts!$F:$F,16+1)="","",INDEX(Data_Contracts!$F:$F,16+1))</f>
        <v/>
      </c>
      <c r="F28" s="23" t="str">
        <f aca="false">IF($A28="","",$F$6-$B28)</f>
        <v/>
      </c>
      <c r="G28" s="29" t="n">
        <f aca="false">IF($A28="",0,N(INDEX(Data_Contracts!$H:$H,16+1)))</f>
        <v>0</v>
      </c>
      <c r="H28" s="29" t="n">
        <f aca="false">IF(OR($A28="",N($E28)=0),0,$D28/$E28*Forecast!$B$11/30.4/1000)</f>
        <v>0</v>
      </c>
      <c r="I28" s="29" t="n">
        <f aca="false">IF(OR($A28="",N($E28)=0),0,$D28/$E28*Forecast!$C$11/30.4/1000)</f>
        <v>0</v>
      </c>
      <c r="J28" s="29" t="n">
        <f aca="false">IF(OR($A28="",N($E28)=0),0,$D28/$E28*Forecast!$D$11/30.4/1000)</f>
        <v>0</v>
      </c>
      <c r="K28" s="29" t="n">
        <f aca="false">IF(OR($A28="",AND($C28&lt;&gt;"",N($C28)&lt;B$6)),0,IF($F28&lt;Forecast!$C$13,$G28+(H28-$G28)*MIN(1,B$9*30.4/(Forecast!$C$13-$F28)),$G28)*(1+Forecast!$B$12)^B$9)</f>
        <v>0</v>
      </c>
      <c r="L28" s="29" t="n">
        <f aca="false">IF(OR($A28="",AND($C28&lt;&gt;"",N($C28)&lt;C$6)),0,IF($F28&lt;Forecast!$C$13,$G28+(H28-$G28)*MIN(1,C$9*30.4/(Forecast!$C$13-$F28)),$G28)*(1+Forecast!$B$12)^C$9)</f>
        <v>0</v>
      </c>
      <c r="M28" s="29" t="n">
        <f aca="false">IF(OR($A28="",AND($C28&lt;&gt;"",N($C28)&lt;D$6)),0,IF($F28&lt;Forecast!$C$13,$G28+(H28-$G28)*MIN(1,D$9*30.4/(Forecast!$C$13-$F28)),$G28)*(1+Forecast!$B$12)^D$9)</f>
        <v>0</v>
      </c>
      <c r="N28" s="29" t="n">
        <f aca="false">IF(OR($A28="",AND($C28&lt;&gt;"",N($C28)&lt;B$6)),0,IF($F28&lt;Forecast!$C$13,$G28+(I28-$G28)*MIN(1,B$9*30.4/(Forecast!$C$13-$F28)),$G28)*(1+Forecast!$C$12)^B$9)</f>
        <v>0</v>
      </c>
      <c r="O28" s="29" t="n">
        <f aca="false">IF(OR($A28="",AND($C28&lt;&gt;"",N($C28)&lt;C$6)),0,IF($F28&lt;Forecast!$C$13,$G28+(I28-$G28)*MIN(1,C$9*30.4/(Forecast!$C$13-$F28)),$G28)*(1+Forecast!$C$12)^C$9)</f>
        <v>0</v>
      </c>
      <c r="P28" s="29" t="n">
        <f aca="false">IF(OR($A28="",AND($C28&lt;&gt;"",N($C28)&lt;D$6)),0,IF($F28&lt;Forecast!$C$13,$G28+(I28-$G28)*MIN(1,D$9*30.4/(Forecast!$C$13-$F28)),$G28)*(1+Forecast!$C$12)^D$9)</f>
        <v>0</v>
      </c>
      <c r="Q28" s="29" t="n">
        <f aca="false">IF(OR($A28="",AND($C28&lt;&gt;"",N($C28)&lt;B$6)),0,IF($F28&lt;Forecast!$C$13,$G28+(J28-$G28)*MIN(1,B$9*30.4/(Forecast!$C$13-$F28)),$G28)*(1+Forecast!$D$12)^B$9)</f>
        <v>0</v>
      </c>
      <c r="R28" s="29" t="n">
        <f aca="false">IF(OR($A28="",AND($C28&lt;&gt;"",N($C28)&lt;C$6)),0,IF($F28&lt;Forecast!$C$13,$G28+(J28-$G28)*MIN(1,C$9*30.4/(Forecast!$C$13-$F28)),$G28)*(1+Forecast!$D$12)^C$9)</f>
        <v>0</v>
      </c>
      <c r="S28" s="29" t="n">
        <f aca="false">IF(OR($A28="",AND($C28&lt;&gt;"",N($C28)&lt;D$6)),0,IF($F28&lt;Forecast!$C$13,$G28+(J28-$G28)*MIN(1,D$9*30.4/(Forecast!$C$13-$F28)),$G28)*(1+Forecast!$D$12)^D$9)</f>
        <v>0</v>
      </c>
    </row>
    <row r="29" customFormat="false" ht="15" hidden="false" customHeight="false" outlineLevel="0" collapsed="false">
      <c r="A29" s="3" t="str">
        <f aca="false">IF(INDEX(Data_Contracts!$A:$A,17+1)="","",INDEX(Data_Contracts!$A:$A,17+1))</f>
        <v/>
      </c>
      <c r="B29" s="30" t="str">
        <f aca="false">IF(INDEX(Data_Contracts!$C:$C,17+1)="","",INDEX(Data_Contracts!$C:$C,17+1))</f>
        <v/>
      </c>
      <c r="C29" s="30" t="str">
        <f aca="false">IF(INDEX(Data_Contracts!$D:$D,17+1)="","",INDEX(Data_Contracts!$D:$D,17+1))</f>
        <v/>
      </c>
      <c r="D29" s="31" t="str">
        <f aca="false">IF(INDEX(Data_Contracts!$E:$E,17+1)="","",INDEX(Data_Contracts!$E:$E,17+1))</f>
        <v/>
      </c>
      <c r="E29" s="26" t="str">
        <f aca="false">IF(INDEX(Data_Contracts!$F:$F,17+1)="","",INDEX(Data_Contracts!$F:$F,17+1))</f>
        <v/>
      </c>
      <c r="F29" s="23" t="str">
        <f aca="false">IF($A29="","",$F$6-$B29)</f>
        <v/>
      </c>
      <c r="G29" s="29" t="n">
        <f aca="false">IF($A29="",0,N(INDEX(Data_Contracts!$H:$H,17+1)))</f>
        <v>0</v>
      </c>
      <c r="H29" s="29" t="n">
        <f aca="false">IF(OR($A29="",N($E29)=0),0,$D29/$E29*Forecast!$B$11/30.4/1000)</f>
        <v>0</v>
      </c>
      <c r="I29" s="29" t="n">
        <f aca="false">IF(OR($A29="",N($E29)=0),0,$D29/$E29*Forecast!$C$11/30.4/1000)</f>
        <v>0</v>
      </c>
      <c r="J29" s="29" t="n">
        <f aca="false">IF(OR($A29="",N($E29)=0),0,$D29/$E29*Forecast!$D$11/30.4/1000)</f>
        <v>0</v>
      </c>
      <c r="K29" s="29" t="n">
        <f aca="false">IF(OR($A29="",AND($C29&lt;&gt;"",N($C29)&lt;B$6)),0,IF($F29&lt;Forecast!$C$13,$G29+(H29-$G29)*MIN(1,B$9*30.4/(Forecast!$C$13-$F29)),$G29)*(1+Forecast!$B$12)^B$9)</f>
        <v>0</v>
      </c>
      <c r="L29" s="29" t="n">
        <f aca="false">IF(OR($A29="",AND($C29&lt;&gt;"",N($C29)&lt;C$6)),0,IF($F29&lt;Forecast!$C$13,$G29+(H29-$G29)*MIN(1,C$9*30.4/(Forecast!$C$13-$F29)),$G29)*(1+Forecast!$B$12)^C$9)</f>
        <v>0</v>
      </c>
      <c r="M29" s="29" t="n">
        <f aca="false">IF(OR($A29="",AND($C29&lt;&gt;"",N($C29)&lt;D$6)),0,IF($F29&lt;Forecast!$C$13,$G29+(H29-$G29)*MIN(1,D$9*30.4/(Forecast!$C$13-$F29)),$G29)*(1+Forecast!$B$12)^D$9)</f>
        <v>0</v>
      </c>
      <c r="N29" s="29" t="n">
        <f aca="false">IF(OR($A29="",AND($C29&lt;&gt;"",N($C29)&lt;B$6)),0,IF($F29&lt;Forecast!$C$13,$G29+(I29-$G29)*MIN(1,B$9*30.4/(Forecast!$C$13-$F29)),$G29)*(1+Forecast!$C$12)^B$9)</f>
        <v>0</v>
      </c>
      <c r="O29" s="29" t="n">
        <f aca="false">IF(OR($A29="",AND($C29&lt;&gt;"",N($C29)&lt;C$6)),0,IF($F29&lt;Forecast!$C$13,$G29+(I29-$G29)*MIN(1,C$9*30.4/(Forecast!$C$13-$F29)),$G29)*(1+Forecast!$C$12)^C$9)</f>
        <v>0</v>
      </c>
      <c r="P29" s="29" t="n">
        <f aca="false">IF(OR($A29="",AND($C29&lt;&gt;"",N($C29)&lt;D$6)),0,IF($F29&lt;Forecast!$C$13,$G29+(I29-$G29)*MIN(1,D$9*30.4/(Forecast!$C$13-$F29)),$G29)*(1+Forecast!$C$12)^D$9)</f>
        <v>0</v>
      </c>
      <c r="Q29" s="29" t="n">
        <f aca="false">IF(OR($A29="",AND($C29&lt;&gt;"",N($C29)&lt;B$6)),0,IF($F29&lt;Forecast!$C$13,$G29+(J29-$G29)*MIN(1,B$9*30.4/(Forecast!$C$13-$F29)),$G29)*(1+Forecast!$D$12)^B$9)</f>
        <v>0</v>
      </c>
      <c r="R29" s="29" t="n">
        <f aca="false">IF(OR($A29="",AND($C29&lt;&gt;"",N($C29)&lt;C$6)),0,IF($F29&lt;Forecast!$C$13,$G29+(J29-$G29)*MIN(1,C$9*30.4/(Forecast!$C$13-$F29)),$G29)*(1+Forecast!$D$12)^C$9)</f>
        <v>0</v>
      </c>
      <c r="S29" s="29" t="n">
        <f aca="false">IF(OR($A29="",AND($C29&lt;&gt;"",N($C29)&lt;D$6)),0,IF($F29&lt;Forecast!$C$13,$G29+(J29-$G29)*MIN(1,D$9*30.4/(Forecast!$C$13-$F29)),$G29)*(1+Forecast!$D$12)^D$9)</f>
        <v>0</v>
      </c>
    </row>
    <row r="30" customFormat="false" ht="15" hidden="false" customHeight="false" outlineLevel="0" collapsed="false">
      <c r="A30" s="3" t="str">
        <f aca="false">IF(INDEX(Data_Contracts!$A:$A,18+1)="","",INDEX(Data_Contracts!$A:$A,18+1))</f>
        <v/>
      </c>
      <c r="B30" s="30" t="str">
        <f aca="false">IF(INDEX(Data_Contracts!$C:$C,18+1)="","",INDEX(Data_Contracts!$C:$C,18+1))</f>
        <v/>
      </c>
      <c r="C30" s="30" t="str">
        <f aca="false">IF(INDEX(Data_Contracts!$D:$D,18+1)="","",INDEX(Data_Contracts!$D:$D,18+1))</f>
        <v/>
      </c>
      <c r="D30" s="31" t="str">
        <f aca="false">IF(INDEX(Data_Contracts!$E:$E,18+1)="","",INDEX(Data_Contracts!$E:$E,18+1))</f>
        <v/>
      </c>
      <c r="E30" s="26" t="str">
        <f aca="false">IF(INDEX(Data_Contracts!$F:$F,18+1)="","",INDEX(Data_Contracts!$F:$F,18+1))</f>
        <v/>
      </c>
      <c r="F30" s="23" t="str">
        <f aca="false">IF($A30="","",$F$6-$B30)</f>
        <v/>
      </c>
      <c r="G30" s="29" t="n">
        <f aca="false">IF($A30="",0,N(INDEX(Data_Contracts!$H:$H,18+1)))</f>
        <v>0</v>
      </c>
      <c r="H30" s="29" t="n">
        <f aca="false">IF(OR($A30="",N($E30)=0),0,$D30/$E30*Forecast!$B$11/30.4/1000)</f>
        <v>0</v>
      </c>
      <c r="I30" s="29" t="n">
        <f aca="false">IF(OR($A30="",N($E30)=0),0,$D30/$E30*Forecast!$C$11/30.4/1000)</f>
        <v>0</v>
      </c>
      <c r="J30" s="29" t="n">
        <f aca="false">IF(OR($A30="",N($E30)=0),0,$D30/$E30*Forecast!$D$11/30.4/1000)</f>
        <v>0</v>
      </c>
      <c r="K30" s="29" t="n">
        <f aca="false">IF(OR($A30="",AND($C30&lt;&gt;"",N($C30)&lt;B$6)),0,IF($F30&lt;Forecast!$C$13,$G30+(H30-$G30)*MIN(1,B$9*30.4/(Forecast!$C$13-$F30)),$G30)*(1+Forecast!$B$12)^B$9)</f>
        <v>0</v>
      </c>
      <c r="L30" s="29" t="n">
        <f aca="false">IF(OR($A30="",AND($C30&lt;&gt;"",N($C30)&lt;C$6)),0,IF($F30&lt;Forecast!$C$13,$G30+(H30-$G30)*MIN(1,C$9*30.4/(Forecast!$C$13-$F30)),$G30)*(1+Forecast!$B$12)^C$9)</f>
        <v>0</v>
      </c>
      <c r="M30" s="29" t="n">
        <f aca="false">IF(OR($A30="",AND($C30&lt;&gt;"",N($C30)&lt;D$6)),0,IF($F30&lt;Forecast!$C$13,$G30+(H30-$G30)*MIN(1,D$9*30.4/(Forecast!$C$13-$F30)),$G30)*(1+Forecast!$B$12)^D$9)</f>
        <v>0</v>
      </c>
      <c r="N30" s="29" t="n">
        <f aca="false">IF(OR($A30="",AND($C30&lt;&gt;"",N($C30)&lt;B$6)),0,IF($F30&lt;Forecast!$C$13,$G30+(I30-$G30)*MIN(1,B$9*30.4/(Forecast!$C$13-$F30)),$G30)*(1+Forecast!$C$12)^B$9)</f>
        <v>0</v>
      </c>
      <c r="O30" s="29" t="n">
        <f aca="false">IF(OR($A30="",AND($C30&lt;&gt;"",N($C30)&lt;C$6)),0,IF($F30&lt;Forecast!$C$13,$G30+(I30-$G30)*MIN(1,C$9*30.4/(Forecast!$C$13-$F30)),$G30)*(1+Forecast!$C$12)^C$9)</f>
        <v>0</v>
      </c>
      <c r="P30" s="29" t="n">
        <f aca="false">IF(OR($A30="",AND($C30&lt;&gt;"",N($C30)&lt;D$6)),0,IF($F30&lt;Forecast!$C$13,$G30+(I30-$G30)*MIN(1,D$9*30.4/(Forecast!$C$13-$F30)),$G30)*(1+Forecast!$C$12)^D$9)</f>
        <v>0</v>
      </c>
      <c r="Q30" s="29" t="n">
        <f aca="false">IF(OR($A30="",AND($C30&lt;&gt;"",N($C30)&lt;B$6)),0,IF($F30&lt;Forecast!$C$13,$G30+(J30-$G30)*MIN(1,B$9*30.4/(Forecast!$C$13-$F30)),$G30)*(1+Forecast!$D$12)^B$9)</f>
        <v>0</v>
      </c>
      <c r="R30" s="29" t="n">
        <f aca="false">IF(OR($A30="",AND($C30&lt;&gt;"",N($C30)&lt;C$6)),0,IF($F30&lt;Forecast!$C$13,$G30+(J30-$G30)*MIN(1,C$9*30.4/(Forecast!$C$13-$F30)),$G30)*(1+Forecast!$D$12)^C$9)</f>
        <v>0</v>
      </c>
      <c r="S30" s="29" t="n">
        <f aca="false">IF(OR($A30="",AND($C30&lt;&gt;"",N($C30)&lt;D$6)),0,IF($F30&lt;Forecast!$C$13,$G30+(J30-$G30)*MIN(1,D$9*30.4/(Forecast!$C$13-$F30)),$G30)*(1+Forecast!$D$12)^D$9)</f>
        <v>0</v>
      </c>
    </row>
    <row r="31" customFormat="false" ht="15" hidden="false" customHeight="false" outlineLevel="0" collapsed="false">
      <c r="A31" s="3" t="str">
        <f aca="false">IF(INDEX(Data_Contracts!$A:$A,19+1)="","",INDEX(Data_Contracts!$A:$A,19+1))</f>
        <v/>
      </c>
      <c r="B31" s="30" t="str">
        <f aca="false">IF(INDEX(Data_Contracts!$C:$C,19+1)="","",INDEX(Data_Contracts!$C:$C,19+1))</f>
        <v/>
      </c>
      <c r="C31" s="30" t="str">
        <f aca="false">IF(INDEX(Data_Contracts!$D:$D,19+1)="","",INDEX(Data_Contracts!$D:$D,19+1))</f>
        <v/>
      </c>
      <c r="D31" s="31" t="str">
        <f aca="false">IF(INDEX(Data_Contracts!$E:$E,19+1)="","",INDEX(Data_Contracts!$E:$E,19+1))</f>
        <v/>
      </c>
      <c r="E31" s="26" t="str">
        <f aca="false">IF(INDEX(Data_Contracts!$F:$F,19+1)="","",INDEX(Data_Contracts!$F:$F,19+1))</f>
        <v/>
      </c>
      <c r="F31" s="23" t="str">
        <f aca="false">IF($A31="","",$F$6-$B31)</f>
        <v/>
      </c>
      <c r="G31" s="29" t="n">
        <f aca="false">IF($A31="",0,N(INDEX(Data_Contracts!$H:$H,19+1)))</f>
        <v>0</v>
      </c>
      <c r="H31" s="29" t="n">
        <f aca="false">IF(OR($A31="",N($E31)=0),0,$D31/$E31*Forecast!$B$11/30.4/1000)</f>
        <v>0</v>
      </c>
      <c r="I31" s="29" t="n">
        <f aca="false">IF(OR($A31="",N($E31)=0),0,$D31/$E31*Forecast!$C$11/30.4/1000)</f>
        <v>0</v>
      </c>
      <c r="J31" s="29" t="n">
        <f aca="false">IF(OR($A31="",N($E31)=0),0,$D31/$E31*Forecast!$D$11/30.4/1000)</f>
        <v>0</v>
      </c>
      <c r="K31" s="29" t="n">
        <f aca="false">IF(OR($A31="",AND($C31&lt;&gt;"",N($C31)&lt;B$6)),0,IF($F31&lt;Forecast!$C$13,$G31+(H31-$G31)*MIN(1,B$9*30.4/(Forecast!$C$13-$F31)),$G31)*(1+Forecast!$B$12)^B$9)</f>
        <v>0</v>
      </c>
      <c r="L31" s="29" t="n">
        <f aca="false">IF(OR($A31="",AND($C31&lt;&gt;"",N($C31)&lt;C$6)),0,IF($F31&lt;Forecast!$C$13,$G31+(H31-$G31)*MIN(1,C$9*30.4/(Forecast!$C$13-$F31)),$G31)*(1+Forecast!$B$12)^C$9)</f>
        <v>0</v>
      </c>
      <c r="M31" s="29" t="n">
        <f aca="false">IF(OR($A31="",AND($C31&lt;&gt;"",N($C31)&lt;D$6)),0,IF($F31&lt;Forecast!$C$13,$G31+(H31-$G31)*MIN(1,D$9*30.4/(Forecast!$C$13-$F31)),$G31)*(1+Forecast!$B$12)^D$9)</f>
        <v>0</v>
      </c>
      <c r="N31" s="29" t="n">
        <f aca="false">IF(OR($A31="",AND($C31&lt;&gt;"",N($C31)&lt;B$6)),0,IF($F31&lt;Forecast!$C$13,$G31+(I31-$G31)*MIN(1,B$9*30.4/(Forecast!$C$13-$F31)),$G31)*(1+Forecast!$C$12)^B$9)</f>
        <v>0</v>
      </c>
      <c r="O31" s="29" t="n">
        <f aca="false">IF(OR($A31="",AND($C31&lt;&gt;"",N($C31)&lt;C$6)),0,IF($F31&lt;Forecast!$C$13,$G31+(I31-$G31)*MIN(1,C$9*30.4/(Forecast!$C$13-$F31)),$G31)*(1+Forecast!$C$12)^C$9)</f>
        <v>0</v>
      </c>
      <c r="P31" s="29" t="n">
        <f aca="false">IF(OR($A31="",AND($C31&lt;&gt;"",N($C31)&lt;D$6)),0,IF($F31&lt;Forecast!$C$13,$G31+(I31-$G31)*MIN(1,D$9*30.4/(Forecast!$C$13-$F31)),$G31)*(1+Forecast!$C$12)^D$9)</f>
        <v>0</v>
      </c>
      <c r="Q31" s="29" t="n">
        <f aca="false">IF(OR($A31="",AND($C31&lt;&gt;"",N($C31)&lt;B$6)),0,IF($F31&lt;Forecast!$C$13,$G31+(J31-$G31)*MIN(1,B$9*30.4/(Forecast!$C$13-$F31)),$G31)*(1+Forecast!$D$12)^B$9)</f>
        <v>0</v>
      </c>
      <c r="R31" s="29" t="n">
        <f aca="false">IF(OR($A31="",AND($C31&lt;&gt;"",N($C31)&lt;C$6)),0,IF($F31&lt;Forecast!$C$13,$G31+(J31-$G31)*MIN(1,C$9*30.4/(Forecast!$C$13-$F31)),$G31)*(1+Forecast!$D$12)^C$9)</f>
        <v>0</v>
      </c>
      <c r="S31" s="29" t="n">
        <f aca="false">IF(OR($A31="",AND($C31&lt;&gt;"",N($C31)&lt;D$6)),0,IF($F31&lt;Forecast!$C$13,$G31+(J31-$G31)*MIN(1,D$9*30.4/(Forecast!$C$13-$F31)),$G31)*(1+Forecast!$D$12)^D$9)</f>
        <v>0</v>
      </c>
    </row>
    <row r="32" customFormat="false" ht="15" hidden="false" customHeight="false" outlineLevel="0" collapsed="false">
      <c r="A32" s="3" t="str">
        <f aca="false">IF(INDEX(Data_Contracts!$A:$A,20+1)="","",INDEX(Data_Contracts!$A:$A,20+1))</f>
        <v/>
      </c>
      <c r="B32" s="30" t="str">
        <f aca="false">IF(INDEX(Data_Contracts!$C:$C,20+1)="","",INDEX(Data_Contracts!$C:$C,20+1))</f>
        <v/>
      </c>
      <c r="C32" s="30" t="str">
        <f aca="false">IF(INDEX(Data_Contracts!$D:$D,20+1)="","",INDEX(Data_Contracts!$D:$D,20+1))</f>
        <v/>
      </c>
      <c r="D32" s="31" t="str">
        <f aca="false">IF(INDEX(Data_Contracts!$E:$E,20+1)="","",INDEX(Data_Contracts!$E:$E,20+1))</f>
        <v/>
      </c>
      <c r="E32" s="26" t="str">
        <f aca="false">IF(INDEX(Data_Contracts!$F:$F,20+1)="","",INDEX(Data_Contracts!$F:$F,20+1))</f>
        <v/>
      </c>
      <c r="F32" s="23" t="str">
        <f aca="false">IF($A32="","",$F$6-$B32)</f>
        <v/>
      </c>
      <c r="G32" s="29" t="n">
        <f aca="false">IF($A32="",0,N(INDEX(Data_Contracts!$H:$H,20+1)))</f>
        <v>0</v>
      </c>
      <c r="H32" s="29" t="n">
        <f aca="false">IF(OR($A32="",N($E32)=0),0,$D32/$E32*Forecast!$B$11/30.4/1000)</f>
        <v>0</v>
      </c>
      <c r="I32" s="29" t="n">
        <f aca="false">IF(OR($A32="",N($E32)=0),0,$D32/$E32*Forecast!$C$11/30.4/1000)</f>
        <v>0</v>
      </c>
      <c r="J32" s="29" t="n">
        <f aca="false">IF(OR($A32="",N($E32)=0),0,$D32/$E32*Forecast!$D$11/30.4/1000)</f>
        <v>0</v>
      </c>
      <c r="K32" s="29" t="n">
        <f aca="false">IF(OR($A32="",AND($C32&lt;&gt;"",N($C32)&lt;B$6)),0,IF($F32&lt;Forecast!$C$13,$G32+(H32-$G32)*MIN(1,B$9*30.4/(Forecast!$C$13-$F32)),$G32)*(1+Forecast!$B$12)^B$9)</f>
        <v>0</v>
      </c>
      <c r="L32" s="29" t="n">
        <f aca="false">IF(OR($A32="",AND($C32&lt;&gt;"",N($C32)&lt;C$6)),0,IF($F32&lt;Forecast!$C$13,$G32+(H32-$G32)*MIN(1,C$9*30.4/(Forecast!$C$13-$F32)),$G32)*(1+Forecast!$B$12)^C$9)</f>
        <v>0</v>
      </c>
      <c r="M32" s="29" t="n">
        <f aca="false">IF(OR($A32="",AND($C32&lt;&gt;"",N($C32)&lt;D$6)),0,IF($F32&lt;Forecast!$C$13,$G32+(H32-$G32)*MIN(1,D$9*30.4/(Forecast!$C$13-$F32)),$G32)*(1+Forecast!$B$12)^D$9)</f>
        <v>0</v>
      </c>
      <c r="N32" s="29" t="n">
        <f aca="false">IF(OR($A32="",AND($C32&lt;&gt;"",N($C32)&lt;B$6)),0,IF($F32&lt;Forecast!$C$13,$G32+(I32-$G32)*MIN(1,B$9*30.4/(Forecast!$C$13-$F32)),$G32)*(1+Forecast!$C$12)^B$9)</f>
        <v>0</v>
      </c>
      <c r="O32" s="29" t="n">
        <f aca="false">IF(OR($A32="",AND($C32&lt;&gt;"",N($C32)&lt;C$6)),0,IF($F32&lt;Forecast!$C$13,$G32+(I32-$G32)*MIN(1,C$9*30.4/(Forecast!$C$13-$F32)),$G32)*(1+Forecast!$C$12)^C$9)</f>
        <v>0</v>
      </c>
      <c r="P32" s="29" t="n">
        <f aca="false">IF(OR($A32="",AND($C32&lt;&gt;"",N($C32)&lt;D$6)),0,IF($F32&lt;Forecast!$C$13,$G32+(I32-$G32)*MIN(1,D$9*30.4/(Forecast!$C$13-$F32)),$G32)*(1+Forecast!$C$12)^D$9)</f>
        <v>0</v>
      </c>
      <c r="Q32" s="29" t="n">
        <f aca="false">IF(OR($A32="",AND($C32&lt;&gt;"",N($C32)&lt;B$6)),0,IF($F32&lt;Forecast!$C$13,$G32+(J32-$G32)*MIN(1,B$9*30.4/(Forecast!$C$13-$F32)),$G32)*(1+Forecast!$D$12)^B$9)</f>
        <v>0</v>
      </c>
      <c r="R32" s="29" t="n">
        <f aca="false">IF(OR($A32="",AND($C32&lt;&gt;"",N($C32)&lt;C$6)),0,IF($F32&lt;Forecast!$C$13,$G32+(J32-$G32)*MIN(1,C$9*30.4/(Forecast!$C$13-$F32)),$G32)*(1+Forecast!$D$12)^C$9)</f>
        <v>0</v>
      </c>
      <c r="S32" s="29" t="n">
        <f aca="false">IF(OR($A32="",AND($C32&lt;&gt;"",N($C32)&lt;D$6)),0,IF($F32&lt;Forecast!$C$13,$G32+(J32-$G32)*MIN(1,D$9*30.4/(Forecast!$C$13-$F32)),$G32)*(1+Forecast!$D$12)^D$9)</f>
        <v>0</v>
      </c>
    </row>
    <row r="33" customFormat="false" ht="15" hidden="false" customHeight="false" outlineLevel="0" collapsed="false">
      <c r="A33" s="3" t="str">
        <f aca="false">IF(INDEX(Data_Contracts!$A:$A,21+1)="","",INDEX(Data_Contracts!$A:$A,21+1))</f>
        <v/>
      </c>
      <c r="B33" s="30" t="str">
        <f aca="false">IF(INDEX(Data_Contracts!$C:$C,21+1)="","",INDEX(Data_Contracts!$C:$C,21+1))</f>
        <v/>
      </c>
      <c r="C33" s="30" t="str">
        <f aca="false">IF(INDEX(Data_Contracts!$D:$D,21+1)="","",INDEX(Data_Contracts!$D:$D,21+1))</f>
        <v/>
      </c>
      <c r="D33" s="31" t="str">
        <f aca="false">IF(INDEX(Data_Contracts!$E:$E,21+1)="","",INDEX(Data_Contracts!$E:$E,21+1))</f>
        <v/>
      </c>
      <c r="E33" s="26" t="str">
        <f aca="false">IF(INDEX(Data_Contracts!$F:$F,21+1)="","",INDEX(Data_Contracts!$F:$F,21+1))</f>
        <v/>
      </c>
      <c r="F33" s="23" t="str">
        <f aca="false">IF($A33="","",$F$6-$B33)</f>
        <v/>
      </c>
      <c r="G33" s="29" t="n">
        <f aca="false">IF($A33="",0,N(INDEX(Data_Contracts!$H:$H,21+1)))</f>
        <v>0</v>
      </c>
      <c r="H33" s="29" t="n">
        <f aca="false">IF(OR($A33="",N($E33)=0),0,$D33/$E33*Forecast!$B$11/30.4/1000)</f>
        <v>0</v>
      </c>
      <c r="I33" s="29" t="n">
        <f aca="false">IF(OR($A33="",N($E33)=0),0,$D33/$E33*Forecast!$C$11/30.4/1000)</f>
        <v>0</v>
      </c>
      <c r="J33" s="29" t="n">
        <f aca="false">IF(OR($A33="",N($E33)=0),0,$D33/$E33*Forecast!$D$11/30.4/1000)</f>
        <v>0</v>
      </c>
      <c r="K33" s="29" t="n">
        <f aca="false">IF(OR($A33="",AND($C33&lt;&gt;"",N($C33)&lt;B$6)),0,IF($F33&lt;Forecast!$C$13,$G33+(H33-$G33)*MIN(1,B$9*30.4/(Forecast!$C$13-$F33)),$G33)*(1+Forecast!$B$12)^B$9)</f>
        <v>0</v>
      </c>
      <c r="L33" s="29" t="n">
        <f aca="false">IF(OR($A33="",AND($C33&lt;&gt;"",N($C33)&lt;C$6)),0,IF($F33&lt;Forecast!$C$13,$G33+(H33-$G33)*MIN(1,C$9*30.4/(Forecast!$C$13-$F33)),$G33)*(1+Forecast!$B$12)^C$9)</f>
        <v>0</v>
      </c>
      <c r="M33" s="29" t="n">
        <f aca="false">IF(OR($A33="",AND($C33&lt;&gt;"",N($C33)&lt;D$6)),0,IF($F33&lt;Forecast!$C$13,$G33+(H33-$G33)*MIN(1,D$9*30.4/(Forecast!$C$13-$F33)),$G33)*(1+Forecast!$B$12)^D$9)</f>
        <v>0</v>
      </c>
      <c r="N33" s="29" t="n">
        <f aca="false">IF(OR($A33="",AND($C33&lt;&gt;"",N($C33)&lt;B$6)),0,IF($F33&lt;Forecast!$C$13,$G33+(I33-$G33)*MIN(1,B$9*30.4/(Forecast!$C$13-$F33)),$G33)*(1+Forecast!$C$12)^B$9)</f>
        <v>0</v>
      </c>
      <c r="O33" s="29" t="n">
        <f aca="false">IF(OR($A33="",AND($C33&lt;&gt;"",N($C33)&lt;C$6)),0,IF($F33&lt;Forecast!$C$13,$G33+(I33-$G33)*MIN(1,C$9*30.4/(Forecast!$C$13-$F33)),$G33)*(1+Forecast!$C$12)^C$9)</f>
        <v>0</v>
      </c>
      <c r="P33" s="29" t="n">
        <f aca="false">IF(OR($A33="",AND($C33&lt;&gt;"",N($C33)&lt;D$6)),0,IF($F33&lt;Forecast!$C$13,$G33+(I33-$G33)*MIN(1,D$9*30.4/(Forecast!$C$13-$F33)),$G33)*(1+Forecast!$C$12)^D$9)</f>
        <v>0</v>
      </c>
      <c r="Q33" s="29" t="n">
        <f aca="false">IF(OR($A33="",AND($C33&lt;&gt;"",N($C33)&lt;B$6)),0,IF($F33&lt;Forecast!$C$13,$G33+(J33-$G33)*MIN(1,B$9*30.4/(Forecast!$C$13-$F33)),$G33)*(1+Forecast!$D$12)^B$9)</f>
        <v>0</v>
      </c>
      <c r="R33" s="29" t="n">
        <f aca="false">IF(OR($A33="",AND($C33&lt;&gt;"",N($C33)&lt;C$6)),0,IF($F33&lt;Forecast!$C$13,$G33+(J33-$G33)*MIN(1,C$9*30.4/(Forecast!$C$13-$F33)),$G33)*(1+Forecast!$D$12)^C$9)</f>
        <v>0</v>
      </c>
      <c r="S33" s="29" t="n">
        <f aca="false">IF(OR($A33="",AND($C33&lt;&gt;"",N($C33)&lt;D$6)),0,IF($F33&lt;Forecast!$C$13,$G33+(J33-$G33)*MIN(1,D$9*30.4/(Forecast!$C$13-$F33)),$G33)*(1+Forecast!$D$12)^D$9)</f>
        <v>0</v>
      </c>
    </row>
    <row r="34" customFormat="false" ht="15" hidden="false" customHeight="false" outlineLevel="0" collapsed="false">
      <c r="A34" s="3" t="str">
        <f aca="false">IF(INDEX(Data_Contracts!$A:$A,22+1)="","",INDEX(Data_Contracts!$A:$A,22+1))</f>
        <v/>
      </c>
      <c r="B34" s="30" t="str">
        <f aca="false">IF(INDEX(Data_Contracts!$C:$C,22+1)="","",INDEX(Data_Contracts!$C:$C,22+1))</f>
        <v/>
      </c>
      <c r="C34" s="30" t="str">
        <f aca="false">IF(INDEX(Data_Contracts!$D:$D,22+1)="","",INDEX(Data_Contracts!$D:$D,22+1))</f>
        <v/>
      </c>
      <c r="D34" s="31" t="str">
        <f aca="false">IF(INDEX(Data_Contracts!$E:$E,22+1)="","",INDEX(Data_Contracts!$E:$E,22+1))</f>
        <v/>
      </c>
      <c r="E34" s="26" t="str">
        <f aca="false">IF(INDEX(Data_Contracts!$F:$F,22+1)="","",INDEX(Data_Contracts!$F:$F,22+1))</f>
        <v/>
      </c>
      <c r="F34" s="23" t="str">
        <f aca="false">IF($A34="","",$F$6-$B34)</f>
        <v/>
      </c>
      <c r="G34" s="29" t="n">
        <f aca="false">IF($A34="",0,N(INDEX(Data_Contracts!$H:$H,22+1)))</f>
        <v>0</v>
      </c>
      <c r="H34" s="29" t="n">
        <f aca="false">IF(OR($A34="",N($E34)=0),0,$D34/$E34*Forecast!$B$11/30.4/1000)</f>
        <v>0</v>
      </c>
      <c r="I34" s="29" t="n">
        <f aca="false">IF(OR($A34="",N($E34)=0),0,$D34/$E34*Forecast!$C$11/30.4/1000)</f>
        <v>0</v>
      </c>
      <c r="J34" s="29" t="n">
        <f aca="false">IF(OR($A34="",N($E34)=0),0,$D34/$E34*Forecast!$D$11/30.4/1000)</f>
        <v>0</v>
      </c>
      <c r="K34" s="29" t="n">
        <f aca="false">IF(OR($A34="",AND($C34&lt;&gt;"",N($C34)&lt;B$6)),0,IF($F34&lt;Forecast!$C$13,$G34+(H34-$G34)*MIN(1,B$9*30.4/(Forecast!$C$13-$F34)),$G34)*(1+Forecast!$B$12)^B$9)</f>
        <v>0</v>
      </c>
      <c r="L34" s="29" t="n">
        <f aca="false">IF(OR($A34="",AND($C34&lt;&gt;"",N($C34)&lt;C$6)),0,IF($F34&lt;Forecast!$C$13,$G34+(H34-$G34)*MIN(1,C$9*30.4/(Forecast!$C$13-$F34)),$G34)*(1+Forecast!$B$12)^C$9)</f>
        <v>0</v>
      </c>
      <c r="M34" s="29" t="n">
        <f aca="false">IF(OR($A34="",AND($C34&lt;&gt;"",N($C34)&lt;D$6)),0,IF($F34&lt;Forecast!$C$13,$G34+(H34-$G34)*MIN(1,D$9*30.4/(Forecast!$C$13-$F34)),$G34)*(1+Forecast!$B$12)^D$9)</f>
        <v>0</v>
      </c>
      <c r="N34" s="29" t="n">
        <f aca="false">IF(OR($A34="",AND($C34&lt;&gt;"",N($C34)&lt;B$6)),0,IF($F34&lt;Forecast!$C$13,$G34+(I34-$G34)*MIN(1,B$9*30.4/(Forecast!$C$13-$F34)),$G34)*(1+Forecast!$C$12)^B$9)</f>
        <v>0</v>
      </c>
      <c r="O34" s="29" t="n">
        <f aca="false">IF(OR($A34="",AND($C34&lt;&gt;"",N($C34)&lt;C$6)),0,IF($F34&lt;Forecast!$C$13,$G34+(I34-$G34)*MIN(1,C$9*30.4/(Forecast!$C$13-$F34)),$G34)*(1+Forecast!$C$12)^C$9)</f>
        <v>0</v>
      </c>
      <c r="P34" s="29" t="n">
        <f aca="false">IF(OR($A34="",AND($C34&lt;&gt;"",N($C34)&lt;D$6)),0,IF($F34&lt;Forecast!$C$13,$G34+(I34-$G34)*MIN(1,D$9*30.4/(Forecast!$C$13-$F34)),$G34)*(1+Forecast!$C$12)^D$9)</f>
        <v>0</v>
      </c>
      <c r="Q34" s="29" t="n">
        <f aca="false">IF(OR($A34="",AND($C34&lt;&gt;"",N($C34)&lt;B$6)),0,IF($F34&lt;Forecast!$C$13,$G34+(J34-$G34)*MIN(1,B$9*30.4/(Forecast!$C$13-$F34)),$G34)*(1+Forecast!$D$12)^B$9)</f>
        <v>0</v>
      </c>
      <c r="R34" s="29" t="n">
        <f aca="false">IF(OR($A34="",AND($C34&lt;&gt;"",N($C34)&lt;C$6)),0,IF($F34&lt;Forecast!$C$13,$G34+(J34-$G34)*MIN(1,C$9*30.4/(Forecast!$C$13-$F34)),$G34)*(1+Forecast!$D$12)^C$9)</f>
        <v>0</v>
      </c>
      <c r="S34" s="29" t="n">
        <f aca="false">IF(OR($A34="",AND($C34&lt;&gt;"",N($C34)&lt;D$6)),0,IF($F34&lt;Forecast!$C$13,$G34+(J34-$G34)*MIN(1,D$9*30.4/(Forecast!$C$13-$F34)),$G34)*(1+Forecast!$D$12)^D$9)</f>
        <v>0</v>
      </c>
    </row>
    <row r="35" customFormat="false" ht="15" hidden="false" customHeight="false" outlineLevel="0" collapsed="false">
      <c r="A35" s="3" t="str">
        <f aca="false">IF(INDEX(Data_Contracts!$A:$A,23+1)="","",INDEX(Data_Contracts!$A:$A,23+1))</f>
        <v/>
      </c>
      <c r="B35" s="30" t="str">
        <f aca="false">IF(INDEX(Data_Contracts!$C:$C,23+1)="","",INDEX(Data_Contracts!$C:$C,23+1))</f>
        <v/>
      </c>
      <c r="C35" s="30" t="str">
        <f aca="false">IF(INDEX(Data_Contracts!$D:$D,23+1)="","",INDEX(Data_Contracts!$D:$D,23+1))</f>
        <v/>
      </c>
      <c r="D35" s="31" t="str">
        <f aca="false">IF(INDEX(Data_Contracts!$E:$E,23+1)="","",INDEX(Data_Contracts!$E:$E,23+1))</f>
        <v/>
      </c>
      <c r="E35" s="26" t="str">
        <f aca="false">IF(INDEX(Data_Contracts!$F:$F,23+1)="","",INDEX(Data_Contracts!$F:$F,23+1))</f>
        <v/>
      </c>
      <c r="F35" s="23" t="str">
        <f aca="false">IF($A35="","",$F$6-$B35)</f>
        <v/>
      </c>
      <c r="G35" s="29" t="n">
        <f aca="false">IF($A35="",0,N(INDEX(Data_Contracts!$H:$H,23+1)))</f>
        <v>0</v>
      </c>
      <c r="H35" s="29" t="n">
        <f aca="false">IF(OR($A35="",N($E35)=0),0,$D35/$E35*Forecast!$B$11/30.4/1000)</f>
        <v>0</v>
      </c>
      <c r="I35" s="29" t="n">
        <f aca="false">IF(OR($A35="",N($E35)=0),0,$D35/$E35*Forecast!$C$11/30.4/1000)</f>
        <v>0</v>
      </c>
      <c r="J35" s="29" t="n">
        <f aca="false">IF(OR($A35="",N($E35)=0),0,$D35/$E35*Forecast!$D$11/30.4/1000)</f>
        <v>0</v>
      </c>
      <c r="K35" s="29" t="n">
        <f aca="false">IF(OR($A35="",AND($C35&lt;&gt;"",N($C35)&lt;B$6)),0,IF($F35&lt;Forecast!$C$13,$G35+(H35-$G35)*MIN(1,B$9*30.4/(Forecast!$C$13-$F35)),$G35)*(1+Forecast!$B$12)^B$9)</f>
        <v>0</v>
      </c>
      <c r="L35" s="29" t="n">
        <f aca="false">IF(OR($A35="",AND($C35&lt;&gt;"",N($C35)&lt;C$6)),0,IF($F35&lt;Forecast!$C$13,$G35+(H35-$G35)*MIN(1,C$9*30.4/(Forecast!$C$13-$F35)),$G35)*(1+Forecast!$B$12)^C$9)</f>
        <v>0</v>
      </c>
      <c r="M35" s="29" t="n">
        <f aca="false">IF(OR($A35="",AND($C35&lt;&gt;"",N($C35)&lt;D$6)),0,IF($F35&lt;Forecast!$C$13,$G35+(H35-$G35)*MIN(1,D$9*30.4/(Forecast!$C$13-$F35)),$G35)*(1+Forecast!$B$12)^D$9)</f>
        <v>0</v>
      </c>
      <c r="N35" s="29" t="n">
        <f aca="false">IF(OR($A35="",AND($C35&lt;&gt;"",N($C35)&lt;B$6)),0,IF($F35&lt;Forecast!$C$13,$G35+(I35-$G35)*MIN(1,B$9*30.4/(Forecast!$C$13-$F35)),$G35)*(1+Forecast!$C$12)^B$9)</f>
        <v>0</v>
      </c>
      <c r="O35" s="29" t="n">
        <f aca="false">IF(OR($A35="",AND($C35&lt;&gt;"",N($C35)&lt;C$6)),0,IF($F35&lt;Forecast!$C$13,$G35+(I35-$G35)*MIN(1,C$9*30.4/(Forecast!$C$13-$F35)),$G35)*(1+Forecast!$C$12)^C$9)</f>
        <v>0</v>
      </c>
      <c r="P35" s="29" t="n">
        <f aca="false">IF(OR($A35="",AND($C35&lt;&gt;"",N($C35)&lt;D$6)),0,IF($F35&lt;Forecast!$C$13,$G35+(I35-$G35)*MIN(1,D$9*30.4/(Forecast!$C$13-$F35)),$G35)*(1+Forecast!$C$12)^D$9)</f>
        <v>0</v>
      </c>
      <c r="Q35" s="29" t="n">
        <f aca="false">IF(OR($A35="",AND($C35&lt;&gt;"",N($C35)&lt;B$6)),0,IF($F35&lt;Forecast!$C$13,$G35+(J35-$G35)*MIN(1,B$9*30.4/(Forecast!$C$13-$F35)),$G35)*(1+Forecast!$D$12)^B$9)</f>
        <v>0</v>
      </c>
      <c r="R35" s="29" t="n">
        <f aca="false">IF(OR($A35="",AND($C35&lt;&gt;"",N($C35)&lt;C$6)),0,IF($F35&lt;Forecast!$C$13,$G35+(J35-$G35)*MIN(1,C$9*30.4/(Forecast!$C$13-$F35)),$G35)*(1+Forecast!$D$12)^C$9)</f>
        <v>0</v>
      </c>
      <c r="S35" s="29" t="n">
        <f aca="false">IF(OR($A35="",AND($C35&lt;&gt;"",N($C35)&lt;D$6)),0,IF($F35&lt;Forecast!$C$13,$G35+(J35-$G35)*MIN(1,D$9*30.4/(Forecast!$C$13-$F35)),$G35)*(1+Forecast!$D$12)^D$9)</f>
        <v>0</v>
      </c>
    </row>
    <row r="36" customFormat="false" ht="15" hidden="false" customHeight="false" outlineLevel="0" collapsed="false">
      <c r="A36" s="3" t="str">
        <f aca="false">IF(INDEX(Data_Contracts!$A:$A,24+1)="","",INDEX(Data_Contracts!$A:$A,24+1))</f>
        <v/>
      </c>
      <c r="B36" s="30" t="str">
        <f aca="false">IF(INDEX(Data_Contracts!$C:$C,24+1)="","",INDEX(Data_Contracts!$C:$C,24+1))</f>
        <v/>
      </c>
      <c r="C36" s="30" t="str">
        <f aca="false">IF(INDEX(Data_Contracts!$D:$D,24+1)="","",INDEX(Data_Contracts!$D:$D,24+1))</f>
        <v/>
      </c>
      <c r="D36" s="31" t="str">
        <f aca="false">IF(INDEX(Data_Contracts!$E:$E,24+1)="","",INDEX(Data_Contracts!$E:$E,24+1))</f>
        <v/>
      </c>
      <c r="E36" s="26" t="str">
        <f aca="false">IF(INDEX(Data_Contracts!$F:$F,24+1)="","",INDEX(Data_Contracts!$F:$F,24+1))</f>
        <v/>
      </c>
      <c r="F36" s="23" t="str">
        <f aca="false">IF($A36="","",$F$6-$B36)</f>
        <v/>
      </c>
      <c r="G36" s="29" t="n">
        <f aca="false">IF($A36="",0,N(INDEX(Data_Contracts!$H:$H,24+1)))</f>
        <v>0</v>
      </c>
      <c r="H36" s="29" t="n">
        <f aca="false">IF(OR($A36="",N($E36)=0),0,$D36/$E36*Forecast!$B$11/30.4/1000)</f>
        <v>0</v>
      </c>
      <c r="I36" s="29" t="n">
        <f aca="false">IF(OR($A36="",N($E36)=0),0,$D36/$E36*Forecast!$C$11/30.4/1000)</f>
        <v>0</v>
      </c>
      <c r="J36" s="29" t="n">
        <f aca="false">IF(OR($A36="",N($E36)=0),0,$D36/$E36*Forecast!$D$11/30.4/1000)</f>
        <v>0</v>
      </c>
      <c r="K36" s="29" t="n">
        <f aca="false">IF(OR($A36="",AND($C36&lt;&gt;"",N($C36)&lt;B$6)),0,IF($F36&lt;Forecast!$C$13,$G36+(H36-$G36)*MIN(1,B$9*30.4/(Forecast!$C$13-$F36)),$G36)*(1+Forecast!$B$12)^B$9)</f>
        <v>0</v>
      </c>
      <c r="L36" s="29" t="n">
        <f aca="false">IF(OR($A36="",AND($C36&lt;&gt;"",N($C36)&lt;C$6)),0,IF($F36&lt;Forecast!$C$13,$G36+(H36-$G36)*MIN(1,C$9*30.4/(Forecast!$C$13-$F36)),$G36)*(1+Forecast!$B$12)^C$9)</f>
        <v>0</v>
      </c>
      <c r="M36" s="29" t="n">
        <f aca="false">IF(OR($A36="",AND($C36&lt;&gt;"",N($C36)&lt;D$6)),0,IF($F36&lt;Forecast!$C$13,$G36+(H36-$G36)*MIN(1,D$9*30.4/(Forecast!$C$13-$F36)),$G36)*(1+Forecast!$B$12)^D$9)</f>
        <v>0</v>
      </c>
      <c r="N36" s="29" t="n">
        <f aca="false">IF(OR($A36="",AND($C36&lt;&gt;"",N($C36)&lt;B$6)),0,IF($F36&lt;Forecast!$C$13,$G36+(I36-$G36)*MIN(1,B$9*30.4/(Forecast!$C$13-$F36)),$G36)*(1+Forecast!$C$12)^B$9)</f>
        <v>0</v>
      </c>
      <c r="O36" s="29" t="n">
        <f aca="false">IF(OR($A36="",AND($C36&lt;&gt;"",N($C36)&lt;C$6)),0,IF($F36&lt;Forecast!$C$13,$G36+(I36-$G36)*MIN(1,C$9*30.4/(Forecast!$C$13-$F36)),$G36)*(1+Forecast!$C$12)^C$9)</f>
        <v>0</v>
      </c>
      <c r="P36" s="29" t="n">
        <f aca="false">IF(OR($A36="",AND($C36&lt;&gt;"",N($C36)&lt;D$6)),0,IF($F36&lt;Forecast!$C$13,$G36+(I36-$G36)*MIN(1,D$9*30.4/(Forecast!$C$13-$F36)),$G36)*(1+Forecast!$C$12)^D$9)</f>
        <v>0</v>
      </c>
      <c r="Q36" s="29" t="n">
        <f aca="false">IF(OR($A36="",AND($C36&lt;&gt;"",N($C36)&lt;B$6)),0,IF($F36&lt;Forecast!$C$13,$G36+(J36-$G36)*MIN(1,B$9*30.4/(Forecast!$C$13-$F36)),$G36)*(1+Forecast!$D$12)^B$9)</f>
        <v>0</v>
      </c>
      <c r="R36" s="29" t="n">
        <f aca="false">IF(OR($A36="",AND($C36&lt;&gt;"",N($C36)&lt;C$6)),0,IF($F36&lt;Forecast!$C$13,$G36+(J36-$G36)*MIN(1,C$9*30.4/(Forecast!$C$13-$F36)),$G36)*(1+Forecast!$D$12)^C$9)</f>
        <v>0</v>
      </c>
      <c r="S36" s="29" t="n">
        <f aca="false">IF(OR($A36="",AND($C36&lt;&gt;"",N($C36)&lt;D$6)),0,IF($F36&lt;Forecast!$C$13,$G36+(J36-$G36)*MIN(1,D$9*30.4/(Forecast!$C$13-$F36)),$G36)*(1+Forecast!$D$12)^D$9)</f>
        <v>0</v>
      </c>
    </row>
    <row r="37" customFormat="false" ht="15" hidden="false" customHeight="false" outlineLevel="0" collapsed="false">
      <c r="A37" s="3" t="str">
        <f aca="false">IF(INDEX(Data_Contracts!$A:$A,25+1)="","",INDEX(Data_Contracts!$A:$A,25+1))</f>
        <v/>
      </c>
      <c r="B37" s="30" t="str">
        <f aca="false">IF(INDEX(Data_Contracts!$C:$C,25+1)="","",INDEX(Data_Contracts!$C:$C,25+1))</f>
        <v/>
      </c>
      <c r="C37" s="30" t="str">
        <f aca="false">IF(INDEX(Data_Contracts!$D:$D,25+1)="","",INDEX(Data_Contracts!$D:$D,25+1))</f>
        <v/>
      </c>
      <c r="D37" s="31" t="str">
        <f aca="false">IF(INDEX(Data_Contracts!$E:$E,25+1)="","",INDEX(Data_Contracts!$E:$E,25+1))</f>
        <v/>
      </c>
      <c r="E37" s="26" t="str">
        <f aca="false">IF(INDEX(Data_Contracts!$F:$F,25+1)="","",INDEX(Data_Contracts!$F:$F,25+1))</f>
        <v/>
      </c>
      <c r="F37" s="23" t="str">
        <f aca="false">IF($A37="","",$F$6-$B37)</f>
        <v/>
      </c>
      <c r="G37" s="29" t="n">
        <f aca="false">IF($A37="",0,N(INDEX(Data_Contracts!$H:$H,25+1)))</f>
        <v>0</v>
      </c>
      <c r="H37" s="29" t="n">
        <f aca="false">IF(OR($A37="",N($E37)=0),0,$D37/$E37*Forecast!$B$11/30.4/1000)</f>
        <v>0</v>
      </c>
      <c r="I37" s="29" t="n">
        <f aca="false">IF(OR($A37="",N($E37)=0),0,$D37/$E37*Forecast!$C$11/30.4/1000)</f>
        <v>0</v>
      </c>
      <c r="J37" s="29" t="n">
        <f aca="false">IF(OR($A37="",N($E37)=0),0,$D37/$E37*Forecast!$D$11/30.4/1000)</f>
        <v>0</v>
      </c>
      <c r="K37" s="29" t="n">
        <f aca="false">IF(OR($A37="",AND($C37&lt;&gt;"",N($C37)&lt;B$6)),0,IF($F37&lt;Forecast!$C$13,$G37+(H37-$G37)*MIN(1,B$9*30.4/(Forecast!$C$13-$F37)),$G37)*(1+Forecast!$B$12)^B$9)</f>
        <v>0</v>
      </c>
      <c r="L37" s="29" t="n">
        <f aca="false">IF(OR($A37="",AND($C37&lt;&gt;"",N($C37)&lt;C$6)),0,IF($F37&lt;Forecast!$C$13,$G37+(H37-$G37)*MIN(1,C$9*30.4/(Forecast!$C$13-$F37)),$G37)*(1+Forecast!$B$12)^C$9)</f>
        <v>0</v>
      </c>
      <c r="M37" s="29" t="n">
        <f aca="false">IF(OR($A37="",AND($C37&lt;&gt;"",N($C37)&lt;D$6)),0,IF($F37&lt;Forecast!$C$13,$G37+(H37-$G37)*MIN(1,D$9*30.4/(Forecast!$C$13-$F37)),$G37)*(1+Forecast!$B$12)^D$9)</f>
        <v>0</v>
      </c>
      <c r="N37" s="29" t="n">
        <f aca="false">IF(OR($A37="",AND($C37&lt;&gt;"",N($C37)&lt;B$6)),0,IF($F37&lt;Forecast!$C$13,$G37+(I37-$G37)*MIN(1,B$9*30.4/(Forecast!$C$13-$F37)),$G37)*(1+Forecast!$C$12)^B$9)</f>
        <v>0</v>
      </c>
      <c r="O37" s="29" t="n">
        <f aca="false">IF(OR($A37="",AND($C37&lt;&gt;"",N($C37)&lt;C$6)),0,IF($F37&lt;Forecast!$C$13,$G37+(I37-$G37)*MIN(1,C$9*30.4/(Forecast!$C$13-$F37)),$G37)*(1+Forecast!$C$12)^C$9)</f>
        <v>0</v>
      </c>
      <c r="P37" s="29" t="n">
        <f aca="false">IF(OR($A37="",AND($C37&lt;&gt;"",N($C37)&lt;D$6)),0,IF($F37&lt;Forecast!$C$13,$G37+(I37-$G37)*MIN(1,D$9*30.4/(Forecast!$C$13-$F37)),$G37)*(1+Forecast!$C$12)^D$9)</f>
        <v>0</v>
      </c>
      <c r="Q37" s="29" t="n">
        <f aca="false">IF(OR($A37="",AND($C37&lt;&gt;"",N($C37)&lt;B$6)),0,IF($F37&lt;Forecast!$C$13,$G37+(J37-$G37)*MIN(1,B$9*30.4/(Forecast!$C$13-$F37)),$G37)*(1+Forecast!$D$12)^B$9)</f>
        <v>0</v>
      </c>
      <c r="R37" s="29" t="n">
        <f aca="false">IF(OR($A37="",AND($C37&lt;&gt;"",N($C37)&lt;C$6)),0,IF($F37&lt;Forecast!$C$13,$G37+(J37-$G37)*MIN(1,C$9*30.4/(Forecast!$C$13-$F37)),$G37)*(1+Forecast!$D$12)^C$9)</f>
        <v>0</v>
      </c>
      <c r="S37" s="29" t="n">
        <f aca="false">IF(OR($A37="",AND($C37&lt;&gt;"",N($C37)&lt;D$6)),0,IF($F37&lt;Forecast!$C$13,$G37+(J37-$G37)*MIN(1,D$9*30.4/(Forecast!$C$13-$F37)),$G37)*(1+Forecast!$D$12)^D$9)</f>
        <v>0</v>
      </c>
    </row>
    <row r="38" customFormat="false" ht="15" hidden="false" customHeight="false" outlineLevel="0" collapsed="false">
      <c r="A38" s="3" t="str">
        <f aca="false">IF(INDEX(Data_Contracts!$A:$A,26+1)="","",INDEX(Data_Contracts!$A:$A,26+1))</f>
        <v/>
      </c>
      <c r="B38" s="30" t="str">
        <f aca="false">IF(INDEX(Data_Contracts!$C:$C,26+1)="","",INDEX(Data_Contracts!$C:$C,26+1))</f>
        <v/>
      </c>
      <c r="C38" s="30" t="str">
        <f aca="false">IF(INDEX(Data_Contracts!$D:$D,26+1)="","",INDEX(Data_Contracts!$D:$D,26+1))</f>
        <v/>
      </c>
      <c r="D38" s="31" t="str">
        <f aca="false">IF(INDEX(Data_Contracts!$E:$E,26+1)="","",INDEX(Data_Contracts!$E:$E,26+1))</f>
        <v/>
      </c>
      <c r="E38" s="26" t="str">
        <f aca="false">IF(INDEX(Data_Contracts!$F:$F,26+1)="","",INDEX(Data_Contracts!$F:$F,26+1))</f>
        <v/>
      </c>
      <c r="F38" s="23" t="str">
        <f aca="false">IF($A38="","",$F$6-$B38)</f>
        <v/>
      </c>
      <c r="G38" s="29" t="n">
        <f aca="false">IF($A38="",0,N(INDEX(Data_Contracts!$H:$H,26+1)))</f>
        <v>0</v>
      </c>
      <c r="H38" s="29" t="n">
        <f aca="false">IF(OR($A38="",N($E38)=0),0,$D38/$E38*Forecast!$B$11/30.4/1000)</f>
        <v>0</v>
      </c>
      <c r="I38" s="29" t="n">
        <f aca="false">IF(OR($A38="",N($E38)=0),0,$D38/$E38*Forecast!$C$11/30.4/1000)</f>
        <v>0</v>
      </c>
      <c r="J38" s="29" t="n">
        <f aca="false">IF(OR($A38="",N($E38)=0),0,$D38/$E38*Forecast!$D$11/30.4/1000)</f>
        <v>0</v>
      </c>
      <c r="K38" s="29" t="n">
        <f aca="false">IF(OR($A38="",AND($C38&lt;&gt;"",N($C38)&lt;B$6)),0,IF($F38&lt;Forecast!$C$13,$G38+(H38-$G38)*MIN(1,B$9*30.4/(Forecast!$C$13-$F38)),$G38)*(1+Forecast!$B$12)^B$9)</f>
        <v>0</v>
      </c>
      <c r="L38" s="29" t="n">
        <f aca="false">IF(OR($A38="",AND($C38&lt;&gt;"",N($C38)&lt;C$6)),0,IF($F38&lt;Forecast!$C$13,$G38+(H38-$G38)*MIN(1,C$9*30.4/(Forecast!$C$13-$F38)),$G38)*(1+Forecast!$B$12)^C$9)</f>
        <v>0</v>
      </c>
      <c r="M38" s="29" t="n">
        <f aca="false">IF(OR($A38="",AND($C38&lt;&gt;"",N($C38)&lt;D$6)),0,IF($F38&lt;Forecast!$C$13,$G38+(H38-$G38)*MIN(1,D$9*30.4/(Forecast!$C$13-$F38)),$G38)*(1+Forecast!$B$12)^D$9)</f>
        <v>0</v>
      </c>
      <c r="N38" s="29" t="n">
        <f aca="false">IF(OR($A38="",AND($C38&lt;&gt;"",N($C38)&lt;B$6)),0,IF($F38&lt;Forecast!$C$13,$G38+(I38-$G38)*MIN(1,B$9*30.4/(Forecast!$C$13-$F38)),$G38)*(1+Forecast!$C$12)^B$9)</f>
        <v>0</v>
      </c>
      <c r="O38" s="29" t="n">
        <f aca="false">IF(OR($A38="",AND($C38&lt;&gt;"",N($C38)&lt;C$6)),0,IF($F38&lt;Forecast!$C$13,$G38+(I38-$G38)*MIN(1,C$9*30.4/(Forecast!$C$13-$F38)),$G38)*(1+Forecast!$C$12)^C$9)</f>
        <v>0</v>
      </c>
      <c r="P38" s="29" t="n">
        <f aca="false">IF(OR($A38="",AND($C38&lt;&gt;"",N($C38)&lt;D$6)),0,IF($F38&lt;Forecast!$C$13,$G38+(I38-$G38)*MIN(1,D$9*30.4/(Forecast!$C$13-$F38)),$G38)*(1+Forecast!$C$12)^D$9)</f>
        <v>0</v>
      </c>
      <c r="Q38" s="29" t="n">
        <f aca="false">IF(OR($A38="",AND($C38&lt;&gt;"",N($C38)&lt;B$6)),0,IF($F38&lt;Forecast!$C$13,$G38+(J38-$G38)*MIN(1,B$9*30.4/(Forecast!$C$13-$F38)),$G38)*(1+Forecast!$D$12)^B$9)</f>
        <v>0</v>
      </c>
      <c r="R38" s="29" t="n">
        <f aca="false">IF(OR($A38="",AND($C38&lt;&gt;"",N($C38)&lt;C$6)),0,IF($F38&lt;Forecast!$C$13,$G38+(J38-$G38)*MIN(1,C$9*30.4/(Forecast!$C$13-$F38)),$G38)*(1+Forecast!$D$12)^C$9)</f>
        <v>0</v>
      </c>
      <c r="S38" s="29" t="n">
        <f aca="false">IF(OR($A38="",AND($C38&lt;&gt;"",N($C38)&lt;D$6)),0,IF($F38&lt;Forecast!$C$13,$G38+(J38-$G38)*MIN(1,D$9*30.4/(Forecast!$C$13-$F38)),$G38)*(1+Forecast!$D$12)^D$9)</f>
        <v>0</v>
      </c>
    </row>
    <row r="39" customFormat="false" ht="15" hidden="false" customHeight="false" outlineLevel="0" collapsed="false">
      <c r="A39" s="3" t="str">
        <f aca="false">IF(INDEX(Data_Contracts!$A:$A,27+1)="","",INDEX(Data_Contracts!$A:$A,27+1))</f>
        <v/>
      </c>
      <c r="B39" s="30" t="str">
        <f aca="false">IF(INDEX(Data_Contracts!$C:$C,27+1)="","",INDEX(Data_Contracts!$C:$C,27+1))</f>
        <v/>
      </c>
      <c r="C39" s="30" t="str">
        <f aca="false">IF(INDEX(Data_Contracts!$D:$D,27+1)="","",INDEX(Data_Contracts!$D:$D,27+1))</f>
        <v/>
      </c>
      <c r="D39" s="31" t="str">
        <f aca="false">IF(INDEX(Data_Contracts!$E:$E,27+1)="","",INDEX(Data_Contracts!$E:$E,27+1))</f>
        <v/>
      </c>
      <c r="E39" s="26" t="str">
        <f aca="false">IF(INDEX(Data_Contracts!$F:$F,27+1)="","",INDEX(Data_Contracts!$F:$F,27+1))</f>
        <v/>
      </c>
      <c r="F39" s="23" t="str">
        <f aca="false">IF($A39="","",$F$6-$B39)</f>
        <v/>
      </c>
      <c r="G39" s="29" t="n">
        <f aca="false">IF($A39="",0,N(INDEX(Data_Contracts!$H:$H,27+1)))</f>
        <v>0</v>
      </c>
      <c r="H39" s="29" t="n">
        <f aca="false">IF(OR($A39="",N($E39)=0),0,$D39/$E39*Forecast!$B$11/30.4/1000)</f>
        <v>0</v>
      </c>
      <c r="I39" s="29" t="n">
        <f aca="false">IF(OR($A39="",N($E39)=0),0,$D39/$E39*Forecast!$C$11/30.4/1000)</f>
        <v>0</v>
      </c>
      <c r="J39" s="29" t="n">
        <f aca="false">IF(OR($A39="",N($E39)=0),0,$D39/$E39*Forecast!$D$11/30.4/1000)</f>
        <v>0</v>
      </c>
      <c r="K39" s="29" t="n">
        <f aca="false">IF(OR($A39="",AND($C39&lt;&gt;"",N($C39)&lt;B$6)),0,IF($F39&lt;Forecast!$C$13,$G39+(H39-$G39)*MIN(1,B$9*30.4/(Forecast!$C$13-$F39)),$G39)*(1+Forecast!$B$12)^B$9)</f>
        <v>0</v>
      </c>
      <c r="L39" s="29" t="n">
        <f aca="false">IF(OR($A39="",AND($C39&lt;&gt;"",N($C39)&lt;C$6)),0,IF($F39&lt;Forecast!$C$13,$G39+(H39-$G39)*MIN(1,C$9*30.4/(Forecast!$C$13-$F39)),$G39)*(1+Forecast!$B$12)^C$9)</f>
        <v>0</v>
      </c>
      <c r="M39" s="29" t="n">
        <f aca="false">IF(OR($A39="",AND($C39&lt;&gt;"",N($C39)&lt;D$6)),0,IF($F39&lt;Forecast!$C$13,$G39+(H39-$G39)*MIN(1,D$9*30.4/(Forecast!$C$13-$F39)),$G39)*(1+Forecast!$B$12)^D$9)</f>
        <v>0</v>
      </c>
      <c r="N39" s="29" t="n">
        <f aca="false">IF(OR($A39="",AND($C39&lt;&gt;"",N($C39)&lt;B$6)),0,IF($F39&lt;Forecast!$C$13,$G39+(I39-$G39)*MIN(1,B$9*30.4/(Forecast!$C$13-$F39)),$G39)*(1+Forecast!$C$12)^B$9)</f>
        <v>0</v>
      </c>
      <c r="O39" s="29" t="n">
        <f aca="false">IF(OR($A39="",AND($C39&lt;&gt;"",N($C39)&lt;C$6)),0,IF($F39&lt;Forecast!$C$13,$G39+(I39-$G39)*MIN(1,C$9*30.4/(Forecast!$C$13-$F39)),$G39)*(1+Forecast!$C$12)^C$9)</f>
        <v>0</v>
      </c>
      <c r="P39" s="29" t="n">
        <f aca="false">IF(OR($A39="",AND($C39&lt;&gt;"",N($C39)&lt;D$6)),0,IF($F39&lt;Forecast!$C$13,$G39+(I39-$G39)*MIN(1,D$9*30.4/(Forecast!$C$13-$F39)),$G39)*(1+Forecast!$C$12)^D$9)</f>
        <v>0</v>
      </c>
      <c r="Q39" s="29" t="n">
        <f aca="false">IF(OR($A39="",AND($C39&lt;&gt;"",N($C39)&lt;B$6)),0,IF($F39&lt;Forecast!$C$13,$G39+(J39-$G39)*MIN(1,B$9*30.4/(Forecast!$C$13-$F39)),$G39)*(1+Forecast!$D$12)^B$9)</f>
        <v>0</v>
      </c>
      <c r="R39" s="29" t="n">
        <f aca="false">IF(OR($A39="",AND($C39&lt;&gt;"",N($C39)&lt;C$6)),0,IF($F39&lt;Forecast!$C$13,$G39+(J39-$G39)*MIN(1,C$9*30.4/(Forecast!$C$13-$F39)),$G39)*(1+Forecast!$D$12)^C$9)</f>
        <v>0</v>
      </c>
      <c r="S39" s="29" t="n">
        <f aca="false">IF(OR($A39="",AND($C39&lt;&gt;"",N($C39)&lt;D$6)),0,IF($F39&lt;Forecast!$C$13,$G39+(J39-$G39)*MIN(1,D$9*30.4/(Forecast!$C$13-$F39)),$G39)*(1+Forecast!$D$12)^D$9)</f>
        <v>0</v>
      </c>
    </row>
    <row r="40" customFormat="false" ht="15" hidden="false" customHeight="false" outlineLevel="0" collapsed="false">
      <c r="A40" s="3" t="str">
        <f aca="false">IF(INDEX(Data_Contracts!$A:$A,28+1)="","",INDEX(Data_Contracts!$A:$A,28+1))</f>
        <v/>
      </c>
      <c r="B40" s="30" t="str">
        <f aca="false">IF(INDEX(Data_Contracts!$C:$C,28+1)="","",INDEX(Data_Contracts!$C:$C,28+1))</f>
        <v/>
      </c>
      <c r="C40" s="30" t="str">
        <f aca="false">IF(INDEX(Data_Contracts!$D:$D,28+1)="","",INDEX(Data_Contracts!$D:$D,28+1))</f>
        <v/>
      </c>
      <c r="D40" s="31" t="str">
        <f aca="false">IF(INDEX(Data_Contracts!$E:$E,28+1)="","",INDEX(Data_Contracts!$E:$E,28+1))</f>
        <v/>
      </c>
      <c r="E40" s="26" t="str">
        <f aca="false">IF(INDEX(Data_Contracts!$F:$F,28+1)="","",INDEX(Data_Contracts!$F:$F,28+1))</f>
        <v/>
      </c>
      <c r="F40" s="23" t="str">
        <f aca="false">IF($A40="","",$F$6-$B40)</f>
        <v/>
      </c>
      <c r="G40" s="29" t="n">
        <f aca="false">IF($A40="",0,N(INDEX(Data_Contracts!$H:$H,28+1)))</f>
        <v>0</v>
      </c>
      <c r="H40" s="29" t="n">
        <f aca="false">IF(OR($A40="",N($E40)=0),0,$D40/$E40*Forecast!$B$11/30.4/1000)</f>
        <v>0</v>
      </c>
      <c r="I40" s="29" t="n">
        <f aca="false">IF(OR($A40="",N($E40)=0),0,$D40/$E40*Forecast!$C$11/30.4/1000)</f>
        <v>0</v>
      </c>
      <c r="J40" s="29" t="n">
        <f aca="false">IF(OR($A40="",N($E40)=0),0,$D40/$E40*Forecast!$D$11/30.4/1000)</f>
        <v>0</v>
      </c>
      <c r="K40" s="29" t="n">
        <f aca="false">IF(OR($A40="",AND($C40&lt;&gt;"",N($C40)&lt;B$6)),0,IF($F40&lt;Forecast!$C$13,$G40+(H40-$G40)*MIN(1,B$9*30.4/(Forecast!$C$13-$F40)),$G40)*(1+Forecast!$B$12)^B$9)</f>
        <v>0</v>
      </c>
      <c r="L40" s="29" t="n">
        <f aca="false">IF(OR($A40="",AND($C40&lt;&gt;"",N($C40)&lt;C$6)),0,IF($F40&lt;Forecast!$C$13,$G40+(H40-$G40)*MIN(1,C$9*30.4/(Forecast!$C$13-$F40)),$G40)*(1+Forecast!$B$12)^C$9)</f>
        <v>0</v>
      </c>
      <c r="M40" s="29" t="n">
        <f aca="false">IF(OR($A40="",AND($C40&lt;&gt;"",N($C40)&lt;D$6)),0,IF($F40&lt;Forecast!$C$13,$G40+(H40-$G40)*MIN(1,D$9*30.4/(Forecast!$C$13-$F40)),$G40)*(1+Forecast!$B$12)^D$9)</f>
        <v>0</v>
      </c>
      <c r="N40" s="29" t="n">
        <f aca="false">IF(OR($A40="",AND($C40&lt;&gt;"",N($C40)&lt;B$6)),0,IF($F40&lt;Forecast!$C$13,$G40+(I40-$G40)*MIN(1,B$9*30.4/(Forecast!$C$13-$F40)),$G40)*(1+Forecast!$C$12)^B$9)</f>
        <v>0</v>
      </c>
      <c r="O40" s="29" t="n">
        <f aca="false">IF(OR($A40="",AND($C40&lt;&gt;"",N($C40)&lt;C$6)),0,IF($F40&lt;Forecast!$C$13,$G40+(I40-$G40)*MIN(1,C$9*30.4/(Forecast!$C$13-$F40)),$G40)*(1+Forecast!$C$12)^C$9)</f>
        <v>0</v>
      </c>
      <c r="P40" s="29" t="n">
        <f aca="false">IF(OR($A40="",AND($C40&lt;&gt;"",N($C40)&lt;D$6)),0,IF($F40&lt;Forecast!$C$13,$G40+(I40-$G40)*MIN(1,D$9*30.4/(Forecast!$C$13-$F40)),$G40)*(1+Forecast!$C$12)^D$9)</f>
        <v>0</v>
      </c>
      <c r="Q40" s="29" t="n">
        <f aca="false">IF(OR($A40="",AND($C40&lt;&gt;"",N($C40)&lt;B$6)),0,IF($F40&lt;Forecast!$C$13,$G40+(J40-$G40)*MIN(1,B$9*30.4/(Forecast!$C$13-$F40)),$G40)*(1+Forecast!$D$12)^B$9)</f>
        <v>0</v>
      </c>
      <c r="R40" s="29" t="n">
        <f aca="false">IF(OR($A40="",AND($C40&lt;&gt;"",N($C40)&lt;C$6)),0,IF($F40&lt;Forecast!$C$13,$G40+(J40-$G40)*MIN(1,C$9*30.4/(Forecast!$C$13-$F40)),$G40)*(1+Forecast!$D$12)^C$9)</f>
        <v>0</v>
      </c>
      <c r="S40" s="29" t="n">
        <f aca="false">IF(OR($A40="",AND($C40&lt;&gt;"",N($C40)&lt;D$6)),0,IF($F40&lt;Forecast!$C$13,$G40+(J40-$G40)*MIN(1,D$9*30.4/(Forecast!$C$13-$F40)),$G40)*(1+Forecast!$D$12)^D$9)</f>
        <v>0</v>
      </c>
    </row>
    <row r="41" customFormat="false" ht="15" hidden="false" customHeight="false" outlineLevel="0" collapsed="false">
      <c r="A41" s="3" t="str">
        <f aca="false">IF(INDEX(Data_Contracts!$A:$A,29+1)="","",INDEX(Data_Contracts!$A:$A,29+1))</f>
        <v/>
      </c>
      <c r="B41" s="30" t="str">
        <f aca="false">IF(INDEX(Data_Contracts!$C:$C,29+1)="","",INDEX(Data_Contracts!$C:$C,29+1))</f>
        <v/>
      </c>
      <c r="C41" s="30" t="str">
        <f aca="false">IF(INDEX(Data_Contracts!$D:$D,29+1)="","",INDEX(Data_Contracts!$D:$D,29+1))</f>
        <v/>
      </c>
      <c r="D41" s="31" t="str">
        <f aca="false">IF(INDEX(Data_Contracts!$E:$E,29+1)="","",INDEX(Data_Contracts!$E:$E,29+1))</f>
        <v/>
      </c>
      <c r="E41" s="26" t="str">
        <f aca="false">IF(INDEX(Data_Contracts!$F:$F,29+1)="","",INDEX(Data_Contracts!$F:$F,29+1))</f>
        <v/>
      </c>
      <c r="F41" s="23" t="str">
        <f aca="false">IF($A41="","",$F$6-$B41)</f>
        <v/>
      </c>
      <c r="G41" s="29" t="n">
        <f aca="false">IF($A41="",0,N(INDEX(Data_Contracts!$H:$H,29+1)))</f>
        <v>0</v>
      </c>
      <c r="H41" s="29" t="n">
        <f aca="false">IF(OR($A41="",N($E41)=0),0,$D41/$E41*Forecast!$B$11/30.4/1000)</f>
        <v>0</v>
      </c>
      <c r="I41" s="29" t="n">
        <f aca="false">IF(OR($A41="",N($E41)=0),0,$D41/$E41*Forecast!$C$11/30.4/1000)</f>
        <v>0</v>
      </c>
      <c r="J41" s="29" t="n">
        <f aca="false">IF(OR($A41="",N($E41)=0),0,$D41/$E41*Forecast!$D$11/30.4/1000)</f>
        <v>0</v>
      </c>
      <c r="K41" s="29" t="n">
        <f aca="false">IF(OR($A41="",AND($C41&lt;&gt;"",N($C41)&lt;B$6)),0,IF($F41&lt;Forecast!$C$13,$G41+(H41-$G41)*MIN(1,B$9*30.4/(Forecast!$C$13-$F41)),$G41)*(1+Forecast!$B$12)^B$9)</f>
        <v>0</v>
      </c>
      <c r="L41" s="29" t="n">
        <f aca="false">IF(OR($A41="",AND($C41&lt;&gt;"",N($C41)&lt;C$6)),0,IF($F41&lt;Forecast!$C$13,$G41+(H41-$G41)*MIN(1,C$9*30.4/(Forecast!$C$13-$F41)),$G41)*(1+Forecast!$B$12)^C$9)</f>
        <v>0</v>
      </c>
      <c r="M41" s="29" t="n">
        <f aca="false">IF(OR($A41="",AND($C41&lt;&gt;"",N($C41)&lt;D$6)),0,IF($F41&lt;Forecast!$C$13,$G41+(H41-$G41)*MIN(1,D$9*30.4/(Forecast!$C$13-$F41)),$G41)*(1+Forecast!$B$12)^D$9)</f>
        <v>0</v>
      </c>
      <c r="N41" s="29" t="n">
        <f aca="false">IF(OR($A41="",AND($C41&lt;&gt;"",N($C41)&lt;B$6)),0,IF($F41&lt;Forecast!$C$13,$G41+(I41-$G41)*MIN(1,B$9*30.4/(Forecast!$C$13-$F41)),$G41)*(1+Forecast!$C$12)^B$9)</f>
        <v>0</v>
      </c>
      <c r="O41" s="29" t="n">
        <f aca="false">IF(OR($A41="",AND($C41&lt;&gt;"",N($C41)&lt;C$6)),0,IF($F41&lt;Forecast!$C$13,$G41+(I41-$G41)*MIN(1,C$9*30.4/(Forecast!$C$13-$F41)),$G41)*(1+Forecast!$C$12)^C$9)</f>
        <v>0</v>
      </c>
      <c r="P41" s="29" t="n">
        <f aca="false">IF(OR($A41="",AND($C41&lt;&gt;"",N($C41)&lt;D$6)),0,IF($F41&lt;Forecast!$C$13,$G41+(I41-$G41)*MIN(1,D$9*30.4/(Forecast!$C$13-$F41)),$G41)*(1+Forecast!$C$12)^D$9)</f>
        <v>0</v>
      </c>
      <c r="Q41" s="29" t="n">
        <f aca="false">IF(OR($A41="",AND($C41&lt;&gt;"",N($C41)&lt;B$6)),0,IF($F41&lt;Forecast!$C$13,$G41+(J41-$G41)*MIN(1,B$9*30.4/(Forecast!$C$13-$F41)),$G41)*(1+Forecast!$D$12)^B$9)</f>
        <v>0</v>
      </c>
      <c r="R41" s="29" t="n">
        <f aca="false">IF(OR($A41="",AND($C41&lt;&gt;"",N($C41)&lt;C$6)),0,IF($F41&lt;Forecast!$C$13,$G41+(J41-$G41)*MIN(1,C$9*30.4/(Forecast!$C$13-$F41)),$G41)*(1+Forecast!$D$12)^C$9)</f>
        <v>0</v>
      </c>
      <c r="S41" s="29" t="n">
        <f aca="false">IF(OR($A41="",AND($C41&lt;&gt;"",N($C41)&lt;D$6)),0,IF($F41&lt;Forecast!$C$13,$G41+(J41-$G41)*MIN(1,D$9*30.4/(Forecast!$C$13-$F41)),$G41)*(1+Forecast!$D$12)^D$9)</f>
        <v>0</v>
      </c>
    </row>
    <row r="42" customFormat="false" ht="15" hidden="false" customHeight="false" outlineLevel="0" collapsed="false">
      <c r="A42" s="3" t="str">
        <f aca="false">IF(INDEX(Data_Contracts!$A:$A,30+1)="","",INDEX(Data_Contracts!$A:$A,30+1))</f>
        <v/>
      </c>
      <c r="B42" s="30" t="str">
        <f aca="false">IF(INDEX(Data_Contracts!$C:$C,30+1)="","",INDEX(Data_Contracts!$C:$C,30+1))</f>
        <v/>
      </c>
      <c r="C42" s="30" t="str">
        <f aca="false">IF(INDEX(Data_Contracts!$D:$D,30+1)="","",INDEX(Data_Contracts!$D:$D,30+1))</f>
        <v/>
      </c>
      <c r="D42" s="31" t="str">
        <f aca="false">IF(INDEX(Data_Contracts!$E:$E,30+1)="","",INDEX(Data_Contracts!$E:$E,30+1))</f>
        <v/>
      </c>
      <c r="E42" s="26" t="str">
        <f aca="false">IF(INDEX(Data_Contracts!$F:$F,30+1)="","",INDEX(Data_Contracts!$F:$F,30+1))</f>
        <v/>
      </c>
      <c r="F42" s="23" t="str">
        <f aca="false">IF($A42="","",$F$6-$B42)</f>
        <v/>
      </c>
      <c r="G42" s="29" t="n">
        <f aca="false">IF($A42="",0,N(INDEX(Data_Contracts!$H:$H,30+1)))</f>
        <v>0</v>
      </c>
      <c r="H42" s="29" t="n">
        <f aca="false">IF(OR($A42="",N($E42)=0),0,$D42/$E42*Forecast!$B$11/30.4/1000)</f>
        <v>0</v>
      </c>
      <c r="I42" s="29" t="n">
        <f aca="false">IF(OR($A42="",N($E42)=0),0,$D42/$E42*Forecast!$C$11/30.4/1000)</f>
        <v>0</v>
      </c>
      <c r="J42" s="29" t="n">
        <f aca="false">IF(OR($A42="",N($E42)=0),0,$D42/$E42*Forecast!$D$11/30.4/1000)</f>
        <v>0</v>
      </c>
      <c r="K42" s="29" t="n">
        <f aca="false">IF(OR($A42="",AND($C42&lt;&gt;"",N($C42)&lt;B$6)),0,IF($F42&lt;Forecast!$C$13,$G42+(H42-$G42)*MIN(1,B$9*30.4/(Forecast!$C$13-$F42)),$G42)*(1+Forecast!$B$12)^B$9)</f>
        <v>0</v>
      </c>
      <c r="L42" s="29" t="n">
        <f aca="false">IF(OR($A42="",AND($C42&lt;&gt;"",N($C42)&lt;C$6)),0,IF($F42&lt;Forecast!$C$13,$G42+(H42-$G42)*MIN(1,C$9*30.4/(Forecast!$C$13-$F42)),$G42)*(1+Forecast!$B$12)^C$9)</f>
        <v>0</v>
      </c>
      <c r="M42" s="29" t="n">
        <f aca="false">IF(OR($A42="",AND($C42&lt;&gt;"",N($C42)&lt;D$6)),0,IF($F42&lt;Forecast!$C$13,$G42+(H42-$G42)*MIN(1,D$9*30.4/(Forecast!$C$13-$F42)),$G42)*(1+Forecast!$B$12)^D$9)</f>
        <v>0</v>
      </c>
      <c r="N42" s="29" t="n">
        <f aca="false">IF(OR($A42="",AND($C42&lt;&gt;"",N($C42)&lt;B$6)),0,IF($F42&lt;Forecast!$C$13,$G42+(I42-$G42)*MIN(1,B$9*30.4/(Forecast!$C$13-$F42)),$G42)*(1+Forecast!$C$12)^B$9)</f>
        <v>0</v>
      </c>
      <c r="O42" s="29" t="n">
        <f aca="false">IF(OR($A42="",AND($C42&lt;&gt;"",N($C42)&lt;C$6)),0,IF($F42&lt;Forecast!$C$13,$G42+(I42-$G42)*MIN(1,C$9*30.4/(Forecast!$C$13-$F42)),$G42)*(1+Forecast!$C$12)^C$9)</f>
        <v>0</v>
      </c>
      <c r="P42" s="29" t="n">
        <f aca="false">IF(OR($A42="",AND($C42&lt;&gt;"",N($C42)&lt;D$6)),0,IF($F42&lt;Forecast!$C$13,$G42+(I42-$G42)*MIN(1,D$9*30.4/(Forecast!$C$13-$F42)),$G42)*(1+Forecast!$C$12)^D$9)</f>
        <v>0</v>
      </c>
      <c r="Q42" s="29" t="n">
        <f aca="false">IF(OR($A42="",AND($C42&lt;&gt;"",N($C42)&lt;B$6)),0,IF($F42&lt;Forecast!$C$13,$G42+(J42-$G42)*MIN(1,B$9*30.4/(Forecast!$C$13-$F42)),$G42)*(1+Forecast!$D$12)^B$9)</f>
        <v>0</v>
      </c>
      <c r="R42" s="29" t="n">
        <f aca="false">IF(OR($A42="",AND($C42&lt;&gt;"",N($C42)&lt;C$6)),0,IF($F42&lt;Forecast!$C$13,$G42+(J42-$G42)*MIN(1,C$9*30.4/(Forecast!$C$13-$F42)),$G42)*(1+Forecast!$D$12)^C$9)</f>
        <v>0</v>
      </c>
      <c r="S42" s="29" t="n">
        <f aca="false">IF(OR($A42="",AND($C42&lt;&gt;"",N($C42)&lt;D$6)),0,IF($F42&lt;Forecast!$C$13,$G42+(J42-$G42)*MIN(1,D$9*30.4/(Forecast!$C$13-$F42)),$G42)*(1+Forecast!$D$12)^D$9)</f>
        <v>0</v>
      </c>
    </row>
    <row r="43" customFormat="false" ht="15" hidden="false" customHeight="false" outlineLevel="0" collapsed="false">
      <c r="A43" s="3" t="str">
        <f aca="false">IF(INDEX(Data_Contracts!$A:$A,31+1)="","",INDEX(Data_Contracts!$A:$A,31+1))</f>
        <v/>
      </c>
      <c r="B43" s="30" t="str">
        <f aca="false">IF(INDEX(Data_Contracts!$C:$C,31+1)="","",INDEX(Data_Contracts!$C:$C,31+1))</f>
        <v/>
      </c>
      <c r="C43" s="30" t="str">
        <f aca="false">IF(INDEX(Data_Contracts!$D:$D,31+1)="","",INDEX(Data_Contracts!$D:$D,31+1))</f>
        <v/>
      </c>
      <c r="D43" s="31" t="str">
        <f aca="false">IF(INDEX(Data_Contracts!$E:$E,31+1)="","",INDEX(Data_Contracts!$E:$E,31+1))</f>
        <v/>
      </c>
      <c r="E43" s="26" t="str">
        <f aca="false">IF(INDEX(Data_Contracts!$F:$F,31+1)="","",INDEX(Data_Contracts!$F:$F,31+1))</f>
        <v/>
      </c>
      <c r="F43" s="23" t="str">
        <f aca="false">IF($A43="","",$F$6-$B43)</f>
        <v/>
      </c>
      <c r="G43" s="29" t="n">
        <f aca="false">IF($A43="",0,N(INDEX(Data_Contracts!$H:$H,31+1)))</f>
        <v>0</v>
      </c>
      <c r="H43" s="29" t="n">
        <f aca="false">IF(OR($A43="",N($E43)=0),0,$D43/$E43*Forecast!$B$11/30.4/1000)</f>
        <v>0</v>
      </c>
      <c r="I43" s="29" t="n">
        <f aca="false">IF(OR($A43="",N($E43)=0),0,$D43/$E43*Forecast!$C$11/30.4/1000)</f>
        <v>0</v>
      </c>
      <c r="J43" s="29" t="n">
        <f aca="false">IF(OR($A43="",N($E43)=0),0,$D43/$E43*Forecast!$D$11/30.4/1000)</f>
        <v>0</v>
      </c>
      <c r="K43" s="29" t="n">
        <f aca="false">IF(OR($A43="",AND($C43&lt;&gt;"",N($C43)&lt;B$6)),0,IF($F43&lt;Forecast!$C$13,$G43+(H43-$G43)*MIN(1,B$9*30.4/(Forecast!$C$13-$F43)),$G43)*(1+Forecast!$B$12)^B$9)</f>
        <v>0</v>
      </c>
      <c r="L43" s="29" t="n">
        <f aca="false">IF(OR($A43="",AND($C43&lt;&gt;"",N($C43)&lt;C$6)),0,IF($F43&lt;Forecast!$C$13,$G43+(H43-$G43)*MIN(1,C$9*30.4/(Forecast!$C$13-$F43)),$G43)*(1+Forecast!$B$12)^C$9)</f>
        <v>0</v>
      </c>
      <c r="M43" s="29" t="n">
        <f aca="false">IF(OR($A43="",AND($C43&lt;&gt;"",N($C43)&lt;D$6)),0,IF($F43&lt;Forecast!$C$13,$G43+(H43-$G43)*MIN(1,D$9*30.4/(Forecast!$C$13-$F43)),$G43)*(1+Forecast!$B$12)^D$9)</f>
        <v>0</v>
      </c>
      <c r="N43" s="29" t="n">
        <f aca="false">IF(OR($A43="",AND($C43&lt;&gt;"",N($C43)&lt;B$6)),0,IF($F43&lt;Forecast!$C$13,$G43+(I43-$G43)*MIN(1,B$9*30.4/(Forecast!$C$13-$F43)),$G43)*(1+Forecast!$C$12)^B$9)</f>
        <v>0</v>
      </c>
      <c r="O43" s="29" t="n">
        <f aca="false">IF(OR($A43="",AND($C43&lt;&gt;"",N($C43)&lt;C$6)),0,IF($F43&lt;Forecast!$C$13,$G43+(I43-$G43)*MIN(1,C$9*30.4/(Forecast!$C$13-$F43)),$G43)*(1+Forecast!$C$12)^C$9)</f>
        <v>0</v>
      </c>
      <c r="P43" s="29" t="n">
        <f aca="false">IF(OR($A43="",AND($C43&lt;&gt;"",N($C43)&lt;D$6)),0,IF($F43&lt;Forecast!$C$13,$G43+(I43-$G43)*MIN(1,D$9*30.4/(Forecast!$C$13-$F43)),$G43)*(1+Forecast!$C$12)^D$9)</f>
        <v>0</v>
      </c>
      <c r="Q43" s="29" t="n">
        <f aca="false">IF(OR($A43="",AND($C43&lt;&gt;"",N($C43)&lt;B$6)),0,IF($F43&lt;Forecast!$C$13,$G43+(J43-$G43)*MIN(1,B$9*30.4/(Forecast!$C$13-$F43)),$G43)*(1+Forecast!$D$12)^B$9)</f>
        <v>0</v>
      </c>
      <c r="R43" s="29" t="n">
        <f aca="false">IF(OR($A43="",AND($C43&lt;&gt;"",N($C43)&lt;C$6)),0,IF($F43&lt;Forecast!$C$13,$G43+(J43-$G43)*MIN(1,C$9*30.4/(Forecast!$C$13-$F43)),$G43)*(1+Forecast!$D$12)^C$9)</f>
        <v>0</v>
      </c>
      <c r="S43" s="29" t="n">
        <f aca="false">IF(OR($A43="",AND($C43&lt;&gt;"",N($C43)&lt;D$6)),0,IF($F43&lt;Forecast!$C$13,$G43+(J43-$G43)*MIN(1,D$9*30.4/(Forecast!$C$13-$F43)),$G43)*(1+Forecast!$D$12)^D$9)</f>
        <v>0</v>
      </c>
    </row>
    <row r="44" customFormat="false" ht="15" hidden="false" customHeight="false" outlineLevel="0" collapsed="false">
      <c r="A44" s="3" t="str">
        <f aca="false">IF(INDEX(Data_Contracts!$A:$A,32+1)="","",INDEX(Data_Contracts!$A:$A,32+1))</f>
        <v/>
      </c>
      <c r="B44" s="30" t="str">
        <f aca="false">IF(INDEX(Data_Contracts!$C:$C,32+1)="","",INDEX(Data_Contracts!$C:$C,32+1))</f>
        <v/>
      </c>
      <c r="C44" s="30" t="str">
        <f aca="false">IF(INDEX(Data_Contracts!$D:$D,32+1)="","",INDEX(Data_Contracts!$D:$D,32+1))</f>
        <v/>
      </c>
      <c r="D44" s="31" t="str">
        <f aca="false">IF(INDEX(Data_Contracts!$E:$E,32+1)="","",INDEX(Data_Contracts!$E:$E,32+1))</f>
        <v/>
      </c>
      <c r="E44" s="26" t="str">
        <f aca="false">IF(INDEX(Data_Contracts!$F:$F,32+1)="","",INDEX(Data_Contracts!$F:$F,32+1))</f>
        <v/>
      </c>
      <c r="F44" s="23" t="str">
        <f aca="false">IF($A44="","",$F$6-$B44)</f>
        <v/>
      </c>
      <c r="G44" s="29" t="n">
        <f aca="false">IF($A44="",0,N(INDEX(Data_Contracts!$H:$H,32+1)))</f>
        <v>0</v>
      </c>
      <c r="H44" s="29" t="n">
        <f aca="false">IF(OR($A44="",N($E44)=0),0,$D44/$E44*Forecast!$B$11/30.4/1000)</f>
        <v>0</v>
      </c>
      <c r="I44" s="29" t="n">
        <f aca="false">IF(OR($A44="",N($E44)=0),0,$D44/$E44*Forecast!$C$11/30.4/1000)</f>
        <v>0</v>
      </c>
      <c r="J44" s="29" t="n">
        <f aca="false">IF(OR($A44="",N($E44)=0),0,$D44/$E44*Forecast!$D$11/30.4/1000)</f>
        <v>0</v>
      </c>
      <c r="K44" s="29" t="n">
        <f aca="false">IF(OR($A44="",AND($C44&lt;&gt;"",N($C44)&lt;B$6)),0,IF($F44&lt;Forecast!$C$13,$G44+(H44-$G44)*MIN(1,B$9*30.4/(Forecast!$C$13-$F44)),$G44)*(1+Forecast!$B$12)^B$9)</f>
        <v>0</v>
      </c>
      <c r="L44" s="29" t="n">
        <f aca="false">IF(OR($A44="",AND($C44&lt;&gt;"",N($C44)&lt;C$6)),0,IF($F44&lt;Forecast!$C$13,$G44+(H44-$G44)*MIN(1,C$9*30.4/(Forecast!$C$13-$F44)),$G44)*(1+Forecast!$B$12)^C$9)</f>
        <v>0</v>
      </c>
      <c r="M44" s="29" t="n">
        <f aca="false">IF(OR($A44="",AND($C44&lt;&gt;"",N($C44)&lt;D$6)),0,IF($F44&lt;Forecast!$C$13,$G44+(H44-$G44)*MIN(1,D$9*30.4/(Forecast!$C$13-$F44)),$G44)*(1+Forecast!$B$12)^D$9)</f>
        <v>0</v>
      </c>
      <c r="N44" s="29" t="n">
        <f aca="false">IF(OR($A44="",AND($C44&lt;&gt;"",N($C44)&lt;B$6)),0,IF($F44&lt;Forecast!$C$13,$G44+(I44-$G44)*MIN(1,B$9*30.4/(Forecast!$C$13-$F44)),$G44)*(1+Forecast!$C$12)^B$9)</f>
        <v>0</v>
      </c>
      <c r="O44" s="29" t="n">
        <f aca="false">IF(OR($A44="",AND($C44&lt;&gt;"",N($C44)&lt;C$6)),0,IF($F44&lt;Forecast!$C$13,$G44+(I44-$G44)*MIN(1,C$9*30.4/(Forecast!$C$13-$F44)),$G44)*(1+Forecast!$C$12)^C$9)</f>
        <v>0</v>
      </c>
      <c r="P44" s="29" t="n">
        <f aca="false">IF(OR($A44="",AND($C44&lt;&gt;"",N($C44)&lt;D$6)),0,IF($F44&lt;Forecast!$C$13,$G44+(I44-$G44)*MIN(1,D$9*30.4/(Forecast!$C$13-$F44)),$G44)*(1+Forecast!$C$12)^D$9)</f>
        <v>0</v>
      </c>
      <c r="Q44" s="29" t="n">
        <f aca="false">IF(OR($A44="",AND($C44&lt;&gt;"",N($C44)&lt;B$6)),0,IF($F44&lt;Forecast!$C$13,$G44+(J44-$G44)*MIN(1,B$9*30.4/(Forecast!$C$13-$F44)),$G44)*(1+Forecast!$D$12)^B$9)</f>
        <v>0</v>
      </c>
      <c r="R44" s="29" t="n">
        <f aca="false">IF(OR($A44="",AND($C44&lt;&gt;"",N($C44)&lt;C$6)),0,IF($F44&lt;Forecast!$C$13,$G44+(J44-$G44)*MIN(1,C$9*30.4/(Forecast!$C$13-$F44)),$G44)*(1+Forecast!$D$12)^C$9)</f>
        <v>0</v>
      </c>
      <c r="S44" s="29" t="n">
        <f aca="false">IF(OR($A44="",AND($C44&lt;&gt;"",N($C44)&lt;D$6)),0,IF($F44&lt;Forecast!$C$13,$G44+(J44-$G44)*MIN(1,D$9*30.4/(Forecast!$C$13-$F44)),$G44)*(1+Forecast!$D$12)^D$9)</f>
        <v>0</v>
      </c>
    </row>
    <row r="45" customFormat="false" ht="15" hidden="false" customHeight="false" outlineLevel="0" collapsed="false">
      <c r="A45" s="3" t="str">
        <f aca="false">IF(INDEX(Data_Contracts!$A:$A,33+1)="","",INDEX(Data_Contracts!$A:$A,33+1))</f>
        <v/>
      </c>
      <c r="B45" s="30" t="str">
        <f aca="false">IF(INDEX(Data_Contracts!$C:$C,33+1)="","",INDEX(Data_Contracts!$C:$C,33+1))</f>
        <v/>
      </c>
      <c r="C45" s="30" t="str">
        <f aca="false">IF(INDEX(Data_Contracts!$D:$D,33+1)="","",INDEX(Data_Contracts!$D:$D,33+1))</f>
        <v/>
      </c>
      <c r="D45" s="31" t="str">
        <f aca="false">IF(INDEX(Data_Contracts!$E:$E,33+1)="","",INDEX(Data_Contracts!$E:$E,33+1))</f>
        <v/>
      </c>
      <c r="E45" s="26" t="str">
        <f aca="false">IF(INDEX(Data_Contracts!$F:$F,33+1)="","",INDEX(Data_Contracts!$F:$F,33+1))</f>
        <v/>
      </c>
      <c r="F45" s="23" t="str">
        <f aca="false">IF($A45="","",$F$6-$B45)</f>
        <v/>
      </c>
      <c r="G45" s="29" t="n">
        <f aca="false">IF($A45="",0,N(INDEX(Data_Contracts!$H:$H,33+1)))</f>
        <v>0</v>
      </c>
      <c r="H45" s="29" t="n">
        <f aca="false">IF(OR($A45="",N($E45)=0),0,$D45/$E45*Forecast!$B$11/30.4/1000)</f>
        <v>0</v>
      </c>
      <c r="I45" s="29" t="n">
        <f aca="false">IF(OR($A45="",N($E45)=0),0,$D45/$E45*Forecast!$C$11/30.4/1000)</f>
        <v>0</v>
      </c>
      <c r="J45" s="29" t="n">
        <f aca="false">IF(OR($A45="",N($E45)=0),0,$D45/$E45*Forecast!$D$11/30.4/1000)</f>
        <v>0</v>
      </c>
      <c r="K45" s="29" t="n">
        <f aca="false">IF(OR($A45="",AND($C45&lt;&gt;"",N($C45)&lt;B$6)),0,IF($F45&lt;Forecast!$C$13,$G45+(H45-$G45)*MIN(1,B$9*30.4/(Forecast!$C$13-$F45)),$G45)*(1+Forecast!$B$12)^B$9)</f>
        <v>0</v>
      </c>
      <c r="L45" s="29" t="n">
        <f aca="false">IF(OR($A45="",AND($C45&lt;&gt;"",N($C45)&lt;C$6)),0,IF($F45&lt;Forecast!$C$13,$G45+(H45-$G45)*MIN(1,C$9*30.4/(Forecast!$C$13-$F45)),$G45)*(1+Forecast!$B$12)^C$9)</f>
        <v>0</v>
      </c>
      <c r="M45" s="29" t="n">
        <f aca="false">IF(OR($A45="",AND($C45&lt;&gt;"",N($C45)&lt;D$6)),0,IF($F45&lt;Forecast!$C$13,$G45+(H45-$G45)*MIN(1,D$9*30.4/(Forecast!$C$13-$F45)),$G45)*(1+Forecast!$B$12)^D$9)</f>
        <v>0</v>
      </c>
      <c r="N45" s="29" t="n">
        <f aca="false">IF(OR($A45="",AND($C45&lt;&gt;"",N($C45)&lt;B$6)),0,IF($F45&lt;Forecast!$C$13,$G45+(I45-$G45)*MIN(1,B$9*30.4/(Forecast!$C$13-$F45)),$G45)*(1+Forecast!$C$12)^B$9)</f>
        <v>0</v>
      </c>
      <c r="O45" s="29" t="n">
        <f aca="false">IF(OR($A45="",AND($C45&lt;&gt;"",N($C45)&lt;C$6)),0,IF($F45&lt;Forecast!$C$13,$G45+(I45-$G45)*MIN(1,C$9*30.4/(Forecast!$C$13-$F45)),$G45)*(1+Forecast!$C$12)^C$9)</f>
        <v>0</v>
      </c>
      <c r="P45" s="29" t="n">
        <f aca="false">IF(OR($A45="",AND($C45&lt;&gt;"",N($C45)&lt;D$6)),0,IF($F45&lt;Forecast!$C$13,$G45+(I45-$G45)*MIN(1,D$9*30.4/(Forecast!$C$13-$F45)),$G45)*(1+Forecast!$C$12)^D$9)</f>
        <v>0</v>
      </c>
      <c r="Q45" s="29" t="n">
        <f aca="false">IF(OR($A45="",AND($C45&lt;&gt;"",N($C45)&lt;B$6)),0,IF($F45&lt;Forecast!$C$13,$G45+(J45-$G45)*MIN(1,B$9*30.4/(Forecast!$C$13-$F45)),$G45)*(1+Forecast!$D$12)^B$9)</f>
        <v>0</v>
      </c>
      <c r="R45" s="29" t="n">
        <f aca="false">IF(OR($A45="",AND($C45&lt;&gt;"",N($C45)&lt;C$6)),0,IF($F45&lt;Forecast!$C$13,$G45+(J45-$G45)*MIN(1,C$9*30.4/(Forecast!$C$13-$F45)),$G45)*(1+Forecast!$D$12)^C$9)</f>
        <v>0</v>
      </c>
      <c r="S45" s="29" t="n">
        <f aca="false">IF(OR($A45="",AND($C45&lt;&gt;"",N($C45)&lt;D$6)),0,IF($F45&lt;Forecast!$C$13,$G45+(J45-$G45)*MIN(1,D$9*30.4/(Forecast!$C$13-$F45)),$G45)*(1+Forecast!$D$12)^D$9)</f>
        <v>0</v>
      </c>
    </row>
    <row r="46" customFormat="false" ht="15" hidden="false" customHeight="false" outlineLevel="0" collapsed="false">
      <c r="A46" s="3" t="str">
        <f aca="false">IF(INDEX(Data_Contracts!$A:$A,34+1)="","",INDEX(Data_Contracts!$A:$A,34+1))</f>
        <v/>
      </c>
      <c r="B46" s="30" t="str">
        <f aca="false">IF(INDEX(Data_Contracts!$C:$C,34+1)="","",INDEX(Data_Contracts!$C:$C,34+1))</f>
        <v/>
      </c>
      <c r="C46" s="30" t="str">
        <f aca="false">IF(INDEX(Data_Contracts!$D:$D,34+1)="","",INDEX(Data_Contracts!$D:$D,34+1))</f>
        <v/>
      </c>
      <c r="D46" s="31" t="str">
        <f aca="false">IF(INDEX(Data_Contracts!$E:$E,34+1)="","",INDEX(Data_Contracts!$E:$E,34+1))</f>
        <v/>
      </c>
      <c r="E46" s="26" t="str">
        <f aca="false">IF(INDEX(Data_Contracts!$F:$F,34+1)="","",INDEX(Data_Contracts!$F:$F,34+1))</f>
        <v/>
      </c>
      <c r="F46" s="23" t="str">
        <f aca="false">IF($A46="","",$F$6-$B46)</f>
        <v/>
      </c>
      <c r="G46" s="29" t="n">
        <f aca="false">IF($A46="",0,N(INDEX(Data_Contracts!$H:$H,34+1)))</f>
        <v>0</v>
      </c>
      <c r="H46" s="29" t="n">
        <f aca="false">IF(OR($A46="",N($E46)=0),0,$D46/$E46*Forecast!$B$11/30.4/1000)</f>
        <v>0</v>
      </c>
      <c r="I46" s="29" t="n">
        <f aca="false">IF(OR($A46="",N($E46)=0),0,$D46/$E46*Forecast!$C$11/30.4/1000)</f>
        <v>0</v>
      </c>
      <c r="J46" s="29" t="n">
        <f aca="false">IF(OR($A46="",N($E46)=0),0,$D46/$E46*Forecast!$D$11/30.4/1000)</f>
        <v>0</v>
      </c>
      <c r="K46" s="29" t="n">
        <f aca="false">IF(OR($A46="",AND($C46&lt;&gt;"",N($C46)&lt;B$6)),0,IF($F46&lt;Forecast!$C$13,$G46+(H46-$G46)*MIN(1,B$9*30.4/(Forecast!$C$13-$F46)),$G46)*(1+Forecast!$B$12)^B$9)</f>
        <v>0</v>
      </c>
      <c r="L46" s="29" t="n">
        <f aca="false">IF(OR($A46="",AND($C46&lt;&gt;"",N($C46)&lt;C$6)),0,IF($F46&lt;Forecast!$C$13,$G46+(H46-$G46)*MIN(1,C$9*30.4/(Forecast!$C$13-$F46)),$G46)*(1+Forecast!$B$12)^C$9)</f>
        <v>0</v>
      </c>
      <c r="M46" s="29" t="n">
        <f aca="false">IF(OR($A46="",AND($C46&lt;&gt;"",N($C46)&lt;D$6)),0,IF($F46&lt;Forecast!$C$13,$G46+(H46-$G46)*MIN(1,D$9*30.4/(Forecast!$C$13-$F46)),$G46)*(1+Forecast!$B$12)^D$9)</f>
        <v>0</v>
      </c>
      <c r="N46" s="29" t="n">
        <f aca="false">IF(OR($A46="",AND($C46&lt;&gt;"",N($C46)&lt;B$6)),0,IF($F46&lt;Forecast!$C$13,$G46+(I46-$G46)*MIN(1,B$9*30.4/(Forecast!$C$13-$F46)),$G46)*(1+Forecast!$C$12)^B$9)</f>
        <v>0</v>
      </c>
      <c r="O46" s="29" t="n">
        <f aca="false">IF(OR($A46="",AND($C46&lt;&gt;"",N($C46)&lt;C$6)),0,IF($F46&lt;Forecast!$C$13,$G46+(I46-$G46)*MIN(1,C$9*30.4/(Forecast!$C$13-$F46)),$G46)*(1+Forecast!$C$12)^C$9)</f>
        <v>0</v>
      </c>
      <c r="P46" s="29" t="n">
        <f aca="false">IF(OR($A46="",AND($C46&lt;&gt;"",N($C46)&lt;D$6)),0,IF($F46&lt;Forecast!$C$13,$G46+(I46-$G46)*MIN(1,D$9*30.4/(Forecast!$C$13-$F46)),$G46)*(1+Forecast!$C$12)^D$9)</f>
        <v>0</v>
      </c>
      <c r="Q46" s="29" t="n">
        <f aca="false">IF(OR($A46="",AND($C46&lt;&gt;"",N($C46)&lt;B$6)),0,IF($F46&lt;Forecast!$C$13,$G46+(J46-$G46)*MIN(1,B$9*30.4/(Forecast!$C$13-$F46)),$G46)*(1+Forecast!$D$12)^B$9)</f>
        <v>0</v>
      </c>
      <c r="R46" s="29" t="n">
        <f aca="false">IF(OR($A46="",AND($C46&lt;&gt;"",N($C46)&lt;C$6)),0,IF($F46&lt;Forecast!$C$13,$G46+(J46-$G46)*MIN(1,C$9*30.4/(Forecast!$C$13-$F46)),$G46)*(1+Forecast!$D$12)^C$9)</f>
        <v>0</v>
      </c>
      <c r="S46" s="29" t="n">
        <f aca="false">IF(OR($A46="",AND($C46&lt;&gt;"",N($C46)&lt;D$6)),0,IF($F46&lt;Forecast!$C$13,$G46+(J46-$G46)*MIN(1,D$9*30.4/(Forecast!$C$13-$F46)),$G46)*(1+Forecast!$D$12)^D$9)</f>
        <v>0</v>
      </c>
    </row>
    <row r="47" customFormat="false" ht="15" hidden="false" customHeight="false" outlineLevel="0" collapsed="false">
      <c r="A47" s="3" t="str">
        <f aca="false">IF(INDEX(Data_Contracts!$A:$A,35+1)="","",INDEX(Data_Contracts!$A:$A,35+1))</f>
        <v/>
      </c>
      <c r="B47" s="30" t="str">
        <f aca="false">IF(INDEX(Data_Contracts!$C:$C,35+1)="","",INDEX(Data_Contracts!$C:$C,35+1))</f>
        <v/>
      </c>
      <c r="C47" s="30" t="str">
        <f aca="false">IF(INDEX(Data_Contracts!$D:$D,35+1)="","",INDEX(Data_Contracts!$D:$D,35+1))</f>
        <v/>
      </c>
      <c r="D47" s="31" t="str">
        <f aca="false">IF(INDEX(Data_Contracts!$E:$E,35+1)="","",INDEX(Data_Contracts!$E:$E,35+1))</f>
        <v/>
      </c>
      <c r="E47" s="26" t="str">
        <f aca="false">IF(INDEX(Data_Contracts!$F:$F,35+1)="","",INDEX(Data_Contracts!$F:$F,35+1))</f>
        <v/>
      </c>
      <c r="F47" s="23" t="str">
        <f aca="false">IF($A47="","",$F$6-$B47)</f>
        <v/>
      </c>
      <c r="G47" s="29" t="n">
        <f aca="false">IF($A47="",0,N(INDEX(Data_Contracts!$H:$H,35+1)))</f>
        <v>0</v>
      </c>
      <c r="H47" s="29" t="n">
        <f aca="false">IF(OR($A47="",N($E47)=0),0,$D47/$E47*Forecast!$B$11/30.4/1000)</f>
        <v>0</v>
      </c>
      <c r="I47" s="29" t="n">
        <f aca="false">IF(OR($A47="",N($E47)=0),0,$D47/$E47*Forecast!$C$11/30.4/1000)</f>
        <v>0</v>
      </c>
      <c r="J47" s="29" t="n">
        <f aca="false">IF(OR($A47="",N($E47)=0),0,$D47/$E47*Forecast!$D$11/30.4/1000)</f>
        <v>0</v>
      </c>
      <c r="K47" s="29" t="n">
        <f aca="false">IF(OR($A47="",AND($C47&lt;&gt;"",N($C47)&lt;B$6)),0,IF($F47&lt;Forecast!$C$13,$G47+(H47-$G47)*MIN(1,B$9*30.4/(Forecast!$C$13-$F47)),$G47)*(1+Forecast!$B$12)^B$9)</f>
        <v>0</v>
      </c>
      <c r="L47" s="29" t="n">
        <f aca="false">IF(OR($A47="",AND($C47&lt;&gt;"",N($C47)&lt;C$6)),0,IF($F47&lt;Forecast!$C$13,$G47+(H47-$G47)*MIN(1,C$9*30.4/(Forecast!$C$13-$F47)),$G47)*(1+Forecast!$B$12)^C$9)</f>
        <v>0</v>
      </c>
      <c r="M47" s="29" t="n">
        <f aca="false">IF(OR($A47="",AND($C47&lt;&gt;"",N($C47)&lt;D$6)),0,IF($F47&lt;Forecast!$C$13,$G47+(H47-$G47)*MIN(1,D$9*30.4/(Forecast!$C$13-$F47)),$G47)*(1+Forecast!$B$12)^D$9)</f>
        <v>0</v>
      </c>
      <c r="N47" s="29" t="n">
        <f aca="false">IF(OR($A47="",AND($C47&lt;&gt;"",N($C47)&lt;B$6)),0,IF($F47&lt;Forecast!$C$13,$G47+(I47-$G47)*MIN(1,B$9*30.4/(Forecast!$C$13-$F47)),$G47)*(1+Forecast!$C$12)^B$9)</f>
        <v>0</v>
      </c>
      <c r="O47" s="29" t="n">
        <f aca="false">IF(OR($A47="",AND($C47&lt;&gt;"",N($C47)&lt;C$6)),0,IF($F47&lt;Forecast!$C$13,$G47+(I47-$G47)*MIN(1,C$9*30.4/(Forecast!$C$13-$F47)),$G47)*(1+Forecast!$C$12)^C$9)</f>
        <v>0</v>
      </c>
      <c r="P47" s="29" t="n">
        <f aca="false">IF(OR($A47="",AND($C47&lt;&gt;"",N($C47)&lt;D$6)),0,IF($F47&lt;Forecast!$C$13,$G47+(I47-$G47)*MIN(1,D$9*30.4/(Forecast!$C$13-$F47)),$G47)*(1+Forecast!$C$12)^D$9)</f>
        <v>0</v>
      </c>
      <c r="Q47" s="29" t="n">
        <f aca="false">IF(OR($A47="",AND($C47&lt;&gt;"",N($C47)&lt;B$6)),0,IF($F47&lt;Forecast!$C$13,$G47+(J47-$G47)*MIN(1,B$9*30.4/(Forecast!$C$13-$F47)),$G47)*(1+Forecast!$D$12)^B$9)</f>
        <v>0</v>
      </c>
      <c r="R47" s="29" t="n">
        <f aca="false">IF(OR($A47="",AND($C47&lt;&gt;"",N($C47)&lt;C$6)),0,IF($F47&lt;Forecast!$C$13,$G47+(J47-$G47)*MIN(1,C$9*30.4/(Forecast!$C$13-$F47)),$G47)*(1+Forecast!$D$12)^C$9)</f>
        <v>0</v>
      </c>
      <c r="S47" s="29" t="n">
        <f aca="false">IF(OR($A47="",AND($C47&lt;&gt;"",N($C47)&lt;D$6)),0,IF($F47&lt;Forecast!$C$13,$G47+(J47-$G47)*MIN(1,D$9*30.4/(Forecast!$C$13-$F47)),$G47)*(1+Forecast!$D$12)^D$9)</f>
        <v>0</v>
      </c>
    </row>
    <row r="48" customFormat="false" ht="15" hidden="false" customHeight="false" outlineLevel="0" collapsed="false">
      <c r="A48" s="3" t="str">
        <f aca="false">IF(INDEX(Data_Contracts!$A:$A,36+1)="","",INDEX(Data_Contracts!$A:$A,36+1))</f>
        <v/>
      </c>
      <c r="B48" s="30" t="str">
        <f aca="false">IF(INDEX(Data_Contracts!$C:$C,36+1)="","",INDEX(Data_Contracts!$C:$C,36+1))</f>
        <v/>
      </c>
      <c r="C48" s="30" t="str">
        <f aca="false">IF(INDEX(Data_Contracts!$D:$D,36+1)="","",INDEX(Data_Contracts!$D:$D,36+1))</f>
        <v/>
      </c>
      <c r="D48" s="31" t="str">
        <f aca="false">IF(INDEX(Data_Contracts!$E:$E,36+1)="","",INDEX(Data_Contracts!$E:$E,36+1))</f>
        <v/>
      </c>
      <c r="E48" s="26" t="str">
        <f aca="false">IF(INDEX(Data_Contracts!$F:$F,36+1)="","",INDEX(Data_Contracts!$F:$F,36+1))</f>
        <v/>
      </c>
      <c r="F48" s="23" t="str">
        <f aca="false">IF($A48="","",$F$6-$B48)</f>
        <v/>
      </c>
      <c r="G48" s="29" t="n">
        <f aca="false">IF($A48="",0,N(INDEX(Data_Contracts!$H:$H,36+1)))</f>
        <v>0</v>
      </c>
      <c r="H48" s="29" t="n">
        <f aca="false">IF(OR($A48="",N($E48)=0),0,$D48/$E48*Forecast!$B$11/30.4/1000)</f>
        <v>0</v>
      </c>
      <c r="I48" s="29" t="n">
        <f aca="false">IF(OR($A48="",N($E48)=0),0,$D48/$E48*Forecast!$C$11/30.4/1000)</f>
        <v>0</v>
      </c>
      <c r="J48" s="29" t="n">
        <f aca="false">IF(OR($A48="",N($E48)=0),0,$D48/$E48*Forecast!$D$11/30.4/1000)</f>
        <v>0</v>
      </c>
      <c r="K48" s="29" t="n">
        <f aca="false">IF(OR($A48="",AND($C48&lt;&gt;"",N($C48)&lt;B$6)),0,IF($F48&lt;Forecast!$C$13,$G48+(H48-$G48)*MIN(1,B$9*30.4/(Forecast!$C$13-$F48)),$G48)*(1+Forecast!$B$12)^B$9)</f>
        <v>0</v>
      </c>
      <c r="L48" s="29" t="n">
        <f aca="false">IF(OR($A48="",AND($C48&lt;&gt;"",N($C48)&lt;C$6)),0,IF($F48&lt;Forecast!$C$13,$G48+(H48-$G48)*MIN(1,C$9*30.4/(Forecast!$C$13-$F48)),$G48)*(1+Forecast!$B$12)^C$9)</f>
        <v>0</v>
      </c>
      <c r="M48" s="29" t="n">
        <f aca="false">IF(OR($A48="",AND($C48&lt;&gt;"",N($C48)&lt;D$6)),0,IF($F48&lt;Forecast!$C$13,$G48+(H48-$G48)*MIN(1,D$9*30.4/(Forecast!$C$13-$F48)),$G48)*(1+Forecast!$B$12)^D$9)</f>
        <v>0</v>
      </c>
      <c r="N48" s="29" t="n">
        <f aca="false">IF(OR($A48="",AND($C48&lt;&gt;"",N($C48)&lt;B$6)),0,IF($F48&lt;Forecast!$C$13,$G48+(I48-$G48)*MIN(1,B$9*30.4/(Forecast!$C$13-$F48)),$G48)*(1+Forecast!$C$12)^B$9)</f>
        <v>0</v>
      </c>
      <c r="O48" s="29" t="n">
        <f aca="false">IF(OR($A48="",AND($C48&lt;&gt;"",N($C48)&lt;C$6)),0,IF($F48&lt;Forecast!$C$13,$G48+(I48-$G48)*MIN(1,C$9*30.4/(Forecast!$C$13-$F48)),$G48)*(1+Forecast!$C$12)^C$9)</f>
        <v>0</v>
      </c>
      <c r="P48" s="29" t="n">
        <f aca="false">IF(OR($A48="",AND($C48&lt;&gt;"",N($C48)&lt;D$6)),0,IF($F48&lt;Forecast!$C$13,$G48+(I48-$G48)*MIN(1,D$9*30.4/(Forecast!$C$13-$F48)),$G48)*(1+Forecast!$C$12)^D$9)</f>
        <v>0</v>
      </c>
      <c r="Q48" s="29" t="n">
        <f aca="false">IF(OR($A48="",AND($C48&lt;&gt;"",N($C48)&lt;B$6)),0,IF($F48&lt;Forecast!$C$13,$G48+(J48-$G48)*MIN(1,B$9*30.4/(Forecast!$C$13-$F48)),$G48)*(1+Forecast!$D$12)^B$9)</f>
        <v>0</v>
      </c>
      <c r="R48" s="29" t="n">
        <f aca="false">IF(OR($A48="",AND($C48&lt;&gt;"",N($C48)&lt;C$6)),0,IF($F48&lt;Forecast!$C$13,$G48+(J48-$G48)*MIN(1,C$9*30.4/(Forecast!$C$13-$F48)),$G48)*(1+Forecast!$D$12)^C$9)</f>
        <v>0</v>
      </c>
      <c r="S48" s="29" t="n">
        <f aca="false">IF(OR($A48="",AND($C48&lt;&gt;"",N($C48)&lt;D$6)),0,IF($F48&lt;Forecast!$C$13,$G48+(J48-$G48)*MIN(1,D$9*30.4/(Forecast!$C$13-$F48)),$G48)*(1+Forecast!$D$12)^D$9)</f>
        <v>0</v>
      </c>
    </row>
    <row r="49" customFormat="false" ht="15" hidden="false" customHeight="false" outlineLevel="0" collapsed="false">
      <c r="A49" s="3" t="str">
        <f aca="false">IF(INDEX(Data_Contracts!$A:$A,37+1)="","",INDEX(Data_Contracts!$A:$A,37+1))</f>
        <v/>
      </c>
      <c r="B49" s="30" t="str">
        <f aca="false">IF(INDEX(Data_Contracts!$C:$C,37+1)="","",INDEX(Data_Contracts!$C:$C,37+1))</f>
        <v/>
      </c>
      <c r="C49" s="30" t="str">
        <f aca="false">IF(INDEX(Data_Contracts!$D:$D,37+1)="","",INDEX(Data_Contracts!$D:$D,37+1))</f>
        <v/>
      </c>
      <c r="D49" s="31" t="str">
        <f aca="false">IF(INDEX(Data_Contracts!$E:$E,37+1)="","",INDEX(Data_Contracts!$E:$E,37+1))</f>
        <v/>
      </c>
      <c r="E49" s="26" t="str">
        <f aca="false">IF(INDEX(Data_Contracts!$F:$F,37+1)="","",INDEX(Data_Contracts!$F:$F,37+1))</f>
        <v/>
      </c>
      <c r="F49" s="23" t="str">
        <f aca="false">IF($A49="","",$F$6-$B49)</f>
        <v/>
      </c>
      <c r="G49" s="29" t="n">
        <f aca="false">IF($A49="",0,N(INDEX(Data_Contracts!$H:$H,37+1)))</f>
        <v>0</v>
      </c>
      <c r="H49" s="29" t="n">
        <f aca="false">IF(OR($A49="",N($E49)=0),0,$D49/$E49*Forecast!$B$11/30.4/1000)</f>
        <v>0</v>
      </c>
      <c r="I49" s="29" t="n">
        <f aca="false">IF(OR($A49="",N($E49)=0),0,$D49/$E49*Forecast!$C$11/30.4/1000)</f>
        <v>0</v>
      </c>
      <c r="J49" s="29" t="n">
        <f aca="false">IF(OR($A49="",N($E49)=0),0,$D49/$E49*Forecast!$D$11/30.4/1000)</f>
        <v>0</v>
      </c>
      <c r="K49" s="29" t="n">
        <f aca="false">IF(OR($A49="",AND($C49&lt;&gt;"",N($C49)&lt;B$6)),0,IF($F49&lt;Forecast!$C$13,$G49+(H49-$G49)*MIN(1,B$9*30.4/(Forecast!$C$13-$F49)),$G49)*(1+Forecast!$B$12)^B$9)</f>
        <v>0</v>
      </c>
      <c r="L49" s="29" t="n">
        <f aca="false">IF(OR($A49="",AND($C49&lt;&gt;"",N($C49)&lt;C$6)),0,IF($F49&lt;Forecast!$C$13,$G49+(H49-$G49)*MIN(1,C$9*30.4/(Forecast!$C$13-$F49)),$G49)*(1+Forecast!$B$12)^C$9)</f>
        <v>0</v>
      </c>
      <c r="M49" s="29" t="n">
        <f aca="false">IF(OR($A49="",AND($C49&lt;&gt;"",N($C49)&lt;D$6)),0,IF($F49&lt;Forecast!$C$13,$G49+(H49-$G49)*MIN(1,D$9*30.4/(Forecast!$C$13-$F49)),$G49)*(1+Forecast!$B$12)^D$9)</f>
        <v>0</v>
      </c>
      <c r="N49" s="29" t="n">
        <f aca="false">IF(OR($A49="",AND($C49&lt;&gt;"",N($C49)&lt;B$6)),0,IF($F49&lt;Forecast!$C$13,$G49+(I49-$G49)*MIN(1,B$9*30.4/(Forecast!$C$13-$F49)),$G49)*(1+Forecast!$C$12)^B$9)</f>
        <v>0</v>
      </c>
      <c r="O49" s="29" t="n">
        <f aca="false">IF(OR($A49="",AND($C49&lt;&gt;"",N($C49)&lt;C$6)),0,IF($F49&lt;Forecast!$C$13,$G49+(I49-$G49)*MIN(1,C$9*30.4/(Forecast!$C$13-$F49)),$G49)*(1+Forecast!$C$12)^C$9)</f>
        <v>0</v>
      </c>
      <c r="P49" s="29" t="n">
        <f aca="false">IF(OR($A49="",AND($C49&lt;&gt;"",N($C49)&lt;D$6)),0,IF($F49&lt;Forecast!$C$13,$G49+(I49-$G49)*MIN(1,D$9*30.4/(Forecast!$C$13-$F49)),$G49)*(1+Forecast!$C$12)^D$9)</f>
        <v>0</v>
      </c>
      <c r="Q49" s="29" t="n">
        <f aca="false">IF(OR($A49="",AND($C49&lt;&gt;"",N($C49)&lt;B$6)),0,IF($F49&lt;Forecast!$C$13,$G49+(J49-$G49)*MIN(1,B$9*30.4/(Forecast!$C$13-$F49)),$G49)*(1+Forecast!$D$12)^B$9)</f>
        <v>0</v>
      </c>
      <c r="R49" s="29" t="n">
        <f aca="false">IF(OR($A49="",AND($C49&lt;&gt;"",N($C49)&lt;C$6)),0,IF($F49&lt;Forecast!$C$13,$G49+(J49-$G49)*MIN(1,C$9*30.4/(Forecast!$C$13-$F49)),$G49)*(1+Forecast!$D$12)^C$9)</f>
        <v>0</v>
      </c>
      <c r="S49" s="29" t="n">
        <f aca="false">IF(OR($A49="",AND($C49&lt;&gt;"",N($C49)&lt;D$6)),0,IF($F49&lt;Forecast!$C$13,$G49+(J49-$G49)*MIN(1,D$9*30.4/(Forecast!$C$13-$F49)),$G49)*(1+Forecast!$D$12)^D$9)</f>
        <v>0</v>
      </c>
    </row>
    <row r="50" customFormat="false" ht="15" hidden="false" customHeight="false" outlineLevel="0" collapsed="false">
      <c r="A50" s="3" t="str">
        <f aca="false">IF(INDEX(Data_Contracts!$A:$A,38+1)="","",INDEX(Data_Contracts!$A:$A,38+1))</f>
        <v/>
      </c>
      <c r="B50" s="30" t="str">
        <f aca="false">IF(INDEX(Data_Contracts!$C:$C,38+1)="","",INDEX(Data_Contracts!$C:$C,38+1))</f>
        <v/>
      </c>
      <c r="C50" s="30" t="str">
        <f aca="false">IF(INDEX(Data_Contracts!$D:$D,38+1)="","",INDEX(Data_Contracts!$D:$D,38+1))</f>
        <v/>
      </c>
      <c r="D50" s="31" t="str">
        <f aca="false">IF(INDEX(Data_Contracts!$E:$E,38+1)="","",INDEX(Data_Contracts!$E:$E,38+1))</f>
        <v/>
      </c>
      <c r="E50" s="26" t="str">
        <f aca="false">IF(INDEX(Data_Contracts!$F:$F,38+1)="","",INDEX(Data_Contracts!$F:$F,38+1))</f>
        <v/>
      </c>
      <c r="F50" s="23" t="str">
        <f aca="false">IF($A50="","",$F$6-$B50)</f>
        <v/>
      </c>
      <c r="G50" s="29" t="n">
        <f aca="false">IF($A50="",0,N(INDEX(Data_Contracts!$H:$H,38+1)))</f>
        <v>0</v>
      </c>
      <c r="H50" s="29" t="n">
        <f aca="false">IF(OR($A50="",N($E50)=0),0,$D50/$E50*Forecast!$B$11/30.4/1000)</f>
        <v>0</v>
      </c>
      <c r="I50" s="29" t="n">
        <f aca="false">IF(OR($A50="",N($E50)=0),0,$D50/$E50*Forecast!$C$11/30.4/1000)</f>
        <v>0</v>
      </c>
      <c r="J50" s="29" t="n">
        <f aca="false">IF(OR($A50="",N($E50)=0),0,$D50/$E50*Forecast!$D$11/30.4/1000)</f>
        <v>0</v>
      </c>
      <c r="K50" s="29" t="n">
        <f aca="false">IF(OR($A50="",AND($C50&lt;&gt;"",N($C50)&lt;B$6)),0,IF($F50&lt;Forecast!$C$13,$G50+(H50-$G50)*MIN(1,B$9*30.4/(Forecast!$C$13-$F50)),$G50)*(1+Forecast!$B$12)^B$9)</f>
        <v>0</v>
      </c>
      <c r="L50" s="29" t="n">
        <f aca="false">IF(OR($A50="",AND($C50&lt;&gt;"",N($C50)&lt;C$6)),0,IF($F50&lt;Forecast!$C$13,$G50+(H50-$G50)*MIN(1,C$9*30.4/(Forecast!$C$13-$F50)),$G50)*(1+Forecast!$B$12)^C$9)</f>
        <v>0</v>
      </c>
      <c r="M50" s="29" t="n">
        <f aca="false">IF(OR($A50="",AND($C50&lt;&gt;"",N($C50)&lt;D$6)),0,IF($F50&lt;Forecast!$C$13,$G50+(H50-$G50)*MIN(1,D$9*30.4/(Forecast!$C$13-$F50)),$G50)*(1+Forecast!$B$12)^D$9)</f>
        <v>0</v>
      </c>
      <c r="N50" s="29" t="n">
        <f aca="false">IF(OR($A50="",AND($C50&lt;&gt;"",N($C50)&lt;B$6)),0,IF($F50&lt;Forecast!$C$13,$G50+(I50-$G50)*MIN(1,B$9*30.4/(Forecast!$C$13-$F50)),$G50)*(1+Forecast!$C$12)^B$9)</f>
        <v>0</v>
      </c>
      <c r="O50" s="29" t="n">
        <f aca="false">IF(OR($A50="",AND($C50&lt;&gt;"",N($C50)&lt;C$6)),0,IF($F50&lt;Forecast!$C$13,$G50+(I50-$G50)*MIN(1,C$9*30.4/(Forecast!$C$13-$F50)),$G50)*(1+Forecast!$C$12)^C$9)</f>
        <v>0</v>
      </c>
      <c r="P50" s="29" t="n">
        <f aca="false">IF(OR($A50="",AND($C50&lt;&gt;"",N($C50)&lt;D$6)),0,IF($F50&lt;Forecast!$C$13,$G50+(I50-$G50)*MIN(1,D$9*30.4/(Forecast!$C$13-$F50)),$G50)*(1+Forecast!$C$12)^D$9)</f>
        <v>0</v>
      </c>
      <c r="Q50" s="29" t="n">
        <f aca="false">IF(OR($A50="",AND($C50&lt;&gt;"",N($C50)&lt;B$6)),0,IF($F50&lt;Forecast!$C$13,$G50+(J50-$G50)*MIN(1,B$9*30.4/(Forecast!$C$13-$F50)),$G50)*(1+Forecast!$D$12)^B$9)</f>
        <v>0</v>
      </c>
      <c r="R50" s="29" t="n">
        <f aca="false">IF(OR($A50="",AND($C50&lt;&gt;"",N($C50)&lt;C$6)),0,IF($F50&lt;Forecast!$C$13,$G50+(J50-$G50)*MIN(1,C$9*30.4/(Forecast!$C$13-$F50)),$G50)*(1+Forecast!$D$12)^C$9)</f>
        <v>0</v>
      </c>
      <c r="S50" s="29" t="n">
        <f aca="false">IF(OR($A50="",AND($C50&lt;&gt;"",N($C50)&lt;D$6)),0,IF($F50&lt;Forecast!$C$13,$G50+(J50-$G50)*MIN(1,D$9*30.4/(Forecast!$C$13-$F50)),$G50)*(1+Forecast!$D$12)^D$9)</f>
        <v>0</v>
      </c>
    </row>
    <row r="51" customFormat="false" ht="15" hidden="false" customHeight="false" outlineLevel="0" collapsed="false">
      <c r="A51" s="3" t="str">
        <f aca="false">IF(INDEX(Data_Contracts!$A:$A,39+1)="","",INDEX(Data_Contracts!$A:$A,39+1))</f>
        <v/>
      </c>
      <c r="B51" s="30" t="str">
        <f aca="false">IF(INDEX(Data_Contracts!$C:$C,39+1)="","",INDEX(Data_Contracts!$C:$C,39+1))</f>
        <v/>
      </c>
      <c r="C51" s="30" t="str">
        <f aca="false">IF(INDEX(Data_Contracts!$D:$D,39+1)="","",INDEX(Data_Contracts!$D:$D,39+1))</f>
        <v/>
      </c>
      <c r="D51" s="31" t="str">
        <f aca="false">IF(INDEX(Data_Contracts!$E:$E,39+1)="","",INDEX(Data_Contracts!$E:$E,39+1))</f>
        <v/>
      </c>
      <c r="E51" s="26" t="str">
        <f aca="false">IF(INDEX(Data_Contracts!$F:$F,39+1)="","",INDEX(Data_Contracts!$F:$F,39+1))</f>
        <v/>
      </c>
      <c r="F51" s="23" t="str">
        <f aca="false">IF($A51="","",$F$6-$B51)</f>
        <v/>
      </c>
      <c r="G51" s="29" t="n">
        <f aca="false">IF($A51="",0,N(INDEX(Data_Contracts!$H:$H,39+1)))</f>
        <v>0</v>
      </c>
      <c r="H51" s="29" t="n">
        <f aca="false">IF(OR($A51="",N($E51)=0),0,$D51/$E51*Forecast!$B$11/30.4/1000)</f>
        <v>0</v>
      </c>
      <c r="I51" s="29" t="n">
        <f aca="false">IF(OR($A51="",N($E51)=0),0,$D51/$E51*Forecast!$C$11/30.4/1000)</f>
        <v>0</v>
      </c>
      <c r="J51" s="29" t="n">
        <f aca="false">IF(OR($A51="",N($E51)=0),0,$D51/$E51*Forecast!$D$11/30.4/1000)</f>
        <v>0</v>
      </c>
      <c r="K51" s="29" t="n">
        <f aca="false">IF(OR($A51="",AND($C51&lt;&gt;"",N($C51)&lt;B$6)),0,IF($F51&lt;Forecast!$C$13,$G51+(H51-$G51)*MIN(1,B$9*30.4/(Forecast!$C$13-$F51)),$G51)*(1+Forecast!$B$12)^B$9)</f>
        <v>0</v>
      </c>
      <c r="L51" s="29" t="n">
        <f aca="false">IF(OR($A51="",AND($C51&lt;&gt;"",N($C51)&lt;C$6)),0,IF($F51&lt;Forecast!$C$13,$G51+(H51-$G51)*MIN(1,C$9*30.4/(Forecast!$C$13-$F51)),$G51)*(1+Forecast!$B$12)^C$9)</f>
        <v>0</v>
      </c>
      <c r="M51" s="29" t="n">
        <f aca="false">IF(OR($A51="",AND($C51&lt;&gt;"",N($C51)&lt;D$6)),0,IF($F51&lt;Forecast!$C$13,$G51+(H51-$G51)*MIN(1,D$9*30.4/(Forecast!$C$13-$F51)),$G51)*(1+Forecast!$B$12)^D$9)</f>
        <v>0</v>
      </c>
      <c r="N51" s="29" t="n">
        <f aca="false">IF(OR($A51="",AND($C51&lt;&gt;"",N($C51)&lt;B$6)),0,IF($F51&lt;Forecast!$C$13,$G51+(I51-$G51)*MIN(1,B$9*30.4/(Forecast!$C$13-$F51)),$G51)*(1+Forecast!$C$12)^B$9)</f>
        <v>0</v>
      </c>
      <c r="O51" s="29" t="n">
        <f aca="false">IF(OR($A51="",AND($C51&lt;&gt;"",N($C51)&lt;C$6)),0,IF($F51&lt;Forecast!$C$13,$G51+(I51-$G51)*MIN(1,C$9*30.4/(Forecast!$C$13-$F51)),$G51)*(1+Forecast!$C$12)^C$9)</f>
        <v>0</v>
      </c>
      <c r="P51" s="29" t="n">
        <f aca="false">IF(OR($A51="",AND($C51&lt;&gt;"",N($C51)&lt;D$6)),0,IF($F51&lt;Forecast!$C$13,$G51+(I51-$G51)*MIN(1,D$9*30.4/(Forecast!$C$13-$F51)),$G51)*(1+Forecast!$C$12)^D$9)</f>
        <v>0</v>
      </c>
      <c r="Q51" s="29" t="n">
        <f aca="false">IF(OR($A51="",AND($C51&lt;&gt;"",N($C51)&lt;B$6)),0,IF($F51&lt;Forecast!$C$13,$G51+(J51-$G51)*MIN(1,B$9*30.4/(Forecast!$C$13-$F51)),$G51)*(1+Forecast!$D$12)^B$9)</f>
        <v>0</v>
      </c>
      <c r="R51" s="29" t="n">
        <f aca="false">IF(OR($A51="",AND($C51&lt;&gt;"",N($C51)&lt;C$6)),0,IF($F51&lt;Forecast!$C$13,$G51+(J51-$G51)*MIN(1,C$9*30.4/(Forecast!$C$13-$F51)),$G51)*(1+Forecast!$D$12)^C$9)</f>
        <v>0</v>
      </c>
      <c r="S51" s="29" t="n">
        <f aca="false">IF(OR($A51="",AND($C51&lt;&gt;"",N($C51)&lt;D$6)),0,IF($F51&lt;Forecast!$C$13,$G51+(J51-$G51)*MIN(1,D$9*30.4/(Forecast!$C$13-$F51)),$G51)*(1+Forecast!$D$12)^D$9)</f>
        <v>0</v>
      </c>
    </row>
    <row r="52" customFormat="false" ht="15" hidden="false" customHeight="false" outlineLevel="0" collapsed="false">
      <c r="A52" s="3" t="str">
        <f aca="false">IF(INDEX(Data_Contracts!$A:$A,40+1)="","",INDEX(Data_Contracts!$A:$A,40+1))</f>
        <v/>
      </c>
      <c r="B52" s="30" t="str">
        <f aca="false">IF(INDEX(Data_Contracts!$C:$C,40+1)="","",INDEX(Data_Contracts!$C:$C,40+1))</f>
        <v/>
      </c>
      <c r="C52" s="30" t="str">
        <f aca="false">IF(INDEX(Data_Contracts!$D:$D,40+1)="","",INDEX(Data_Contracts!$D:$D,40+1))</f>
        <v/>
      </c>
      <c r="D52" s="31" t="str">
        <f aca="false">IF(INDEX(Data_Contracts!$E:$E,40+1)="","",INDEX(Data_Contracts!$E:$E,40+1))</f>
        <v/>
      </c>
      <c r="E52" s="26" t="str">
        <f aca="false">IF(INDEX(Data_Contracts!$F:$F,40+1)="","",INDEX(Data_Contracts!$F:$F,40+1))</f>
        <v/>
      </c>
      <c r="F52" s="23" t="str">
        <f aca="false">IF($A52="","",$F$6-$B52)</f>
        <v/>
      </c>
      <c r="G52" s="29" t="n">
        <f aca="false">IF($A52="",0,N(INDEX(Data_Contracts!$H:$H,40+1)))</f>
        <v>0</v>
      </c>
      <c r="H52" s="29" t="n">
        <f aca="false">IF(OR($A52="",N($E52)=0),0,$D52/$E52*Forecast!$B$11/30.4/1000)</f>
        <v>0</v>
      </c>
      <c r="I52" s="29" t="n">
        <f aca="false">IF(OR($A52="",N($E52)=0),0,$D52/$E52*Forecast!$C$11/30.4/1000)</f>
        <v>0</v>
      </c>
      <c r="J52" s="29" t="n">
        <f aca="false">IF(OR($A52="",N($E52)=0),0,$D52/$E52*Forecast!$D$11/30.4/1000)</f>
        <v>0</v>
      </c>
      <c r="K52" s="29" t="n">
        <f aca="false">IF(OR($A52="",AND($C52&lt;&gt;"",N($C52)&lt;B$6)),0,IF($F52&lt;Forecast!$C$13,$G52+(H52-$G52)*MIN(1,B$9*30.4/(Forecast!$C$13-$F52)),$G52)*(1+Forecast!$B$12)^B$9)</f>
        <v>0</v>
      </c>
      <c r="L52" s="29" t="n">
        <f aca="false">IF(OR($A52="",AND($C52&lt;&gt;"",N($C52)&lt;C$6)),0,IF($F52&lt;Forecast!$C$13,$G52+(H52-$G52)*MIN(1,C$9*30.4/(Forecast!$C$13-$F52)),$G52)*(1+Forecast!$B$12)^C$9)</f>
        <v>0</v>
      </c>
      <c r="M52" s="29" t="n">
        <f aca="false">IF(OR($A52="",AND($C52&lt;&gt;"",N($C52)&lt;D$6)),0,IF($F52&lt;Forecast!$C$13,$G52+(H52-$G52)*MIN(1,D$9*30.4/(Forecast!$C$13-$F52)),$G52)*(1+Forecast!$B$12)^D$9)</f>
        <v>0</v>
      </c>
      <c r="N52" s="29" t="n">
        <f aca="false">IF(OR($A52="",AND($C52&lt;&gt;"",N($C52)&lt;B$6)),0,IF($F52&lt;Forecast!$C$13,$G52+(I52-$G52)*MIN(1,B$9*30.4/(Forecast!$C$13-$F52)),$G52)*(1+Forecast!$C$12)^B$9)</f>
        <v>0</v>
      </c>
      <c r="O52" s="29" t="n">
        <f aca="false">IF(OR($A52="",AND($C52&lt;&gt;"",N($C52)&lt;C$6)),0,IF($F52&lt;Forecast!$C$13,$G52+(I52-$G52)*MIN(1,C$9*30.4/(Forecast!$C$13-$F52)),$G52)*(1+Forecast!$C$12)^C$9)</f>
        <v>0</v>
      </c>
      <c r="P52" s="29" t="n">
        <f aca="false">IF(OR($A52="",AND($C52&lt;&gt;"",N($C52)&lt;D$6)),0,IF($F52&lt;Forecast!$C$13,$G52+(I52-$G52)*MIN(1,D$9*30.4/(Forecast!$C$13-$F52)),$G52)*(1+Forecast!$C$12)^D$9)</f>
        <v>0</v>
      </c>
      <c r="Q52" s="29" t="n">
        <f aca="false">IF(OR($A52="",AND($C52&lt;&gt;"",N($C52)&lt;B$6)),0,IF($F52&lt;Forecast!$C$13,$G52+(J52-$G52)*MIN(1,B$9*30.4/(Forecast!$C$13-$F52)),$G52)*(1+Forecast!$D$12)^B$9)</f>
        <v>0</v>
      </c>
      <c r="R52" s="29" t="n">
        <f aca="false">IF(OR($A52="",AND($C52&lt;&gt;"",N($C52)&lt;C$6)),0,IF($F52&lt;Forecast!$C$13,$G52+(J52-$G52)*MIN(1,C$9*30.4/(Forecast!$C$13-$F52)),$G52)*(1+Forecast!$D$12)^C$9)</f>
        <v>0</v>
      </c>
      <c r="S52" s="29" t="n">
        <f aca="false">IF(OR($A52="",AND($C52&lt;&gt;"",N($C52)&lt;D$6)),0,IF($F52&lt;Forecast!$C$13,$G52+(J52-$G52)*MIN(1,D$9*30.4/(Forecast!$C$13-$F52)),$G52)*(1+Forecast!$D$12)^D$9)</f>
        <v>0</v>
      </c>
    </row>
    <row r="53" customFormat="false" ht="15" hidden="false" customHeight="false" outlineLevel="0" collapsed="false">
      <c r="A53" s="2" t="s">
        <v>87</v>
      </c>
      <c r="K53" s="41" t="n">
        <f aca="false">SUM(K13:K52)</f>
        <v>170.508513603774</v>
      </c>
      <c r="L53" s="41" t="n">
        <f aca="false">SUM(L13:L52)</f>
        <v>170.795126908081</v>
      </c>
      <c r="M53" s="41" t="n">
        <f aca="false">SUM(M13:M52)</f>
        <v>170.795126908081</v>
      </c>
      <c r="N53" s="41" t="n">
        <f aca="false">SUM(N13:N52)</f>
        <v>180.596927422868</v>
      </c>
      <c r="O53" s="41" t="n">
        <f aca="false">SUM(O13:O52)</f>
        <v>186.464381684607</v>
      </c>
      <c r="P53" s="41" t="n">
        <f aca="false">SUM(P13:P52)</f>
        <v>192.058313135145</v>
      </c>
      <c r="Q53" s="41" t="n">
        <f aca="false">SUM(Q13:Q52)</f>
        <v>190.975039790175</v>
      </c>
      <c r="R53" s="41" t="n">
        <f aca="false">SUM(R13:R52)</f>
        <v>203.063733422527</v>
      </c>
      <c r="S53" s="41" t="n">
        <f aca="false">SUM(S13:S52)</f>
        <v>215.247557427879</v>
      </c>
    </row>
    <row r="55" customFormat="false" ht="15" hidden="false" customHeight="false" outlineLevel="0" collapsed="false">
      <c r="A55" s="2" t="s">
        <v>229</v>
      </c>
    </row>
    <row r="56" customFormat="false" ht="15" hidden="false" customHeight="false" outlineLevel="0" collapsed="false">
      <c r="A56" s="8" t="s">
        <v>114</v>
      </c>
      <c r="B56" s="8" t="s">
        <v>220</v>
      </c>
      <c r="C56" s="8" t="s">
        <v>221</v>
      </c>
      <c r="D56" s="8" t="s">
        <v>222</v>
      </c>
      <c r="E56" s="8" t="s">
        <v>223</v>
      </c>
      <c r="F56" s="8" t="s">
        <v>224</v>
      </c>
      <c r="G56" s="8" t="s">
        <v>225</v>
      </c>
      <c r="H56" s="8" t="s">
        <v>226</v>
      </c>
      <c r="I56" s="8" t="s">
        <v>227</v>
      </c>
      <c r="J56" s="8" t="s">
        <v>228</v>
      </c>
    </row>
    <row r="57" customFormat="false" ht="15" hidden="false" customHeight="false" outlineLevel="0" collapsed="false">
      <c r="A57" s="3" t="str">
        <f aca="false">A13</f>
        <v>Quanta Assist</v>
      </c>
      <c r="B57" s="31" t="n">
        <f aca="false">IF(OR($A13="",AND($C13&lt;&gt;"",N($C13)&lt;B$6)),0,MAX(K13*B$8*1000*$E13,$D13))</f>
        <v>46968.2672908986</v>
      </c>
      <c r="C57" s="31" t="n">
        <f aca="false">IF(OR($A13="",AND($C13&lt;&gt;"",N($C13)&lt;C$6)),0,MAX(L13*C$8*1000*$E13,$D13))</f>
        <v>45453.161894418</v>
      </c>
      <c r="D57" s="31" t="n">
        <f aca="false">IF(OR($A13="",AND($C13&lt;&gt;"",N($C13)&lt;D$6)),0,MAX(M13*D$8*1000*$E13,$D13))</f>
        <v>46968.2672908986</v>
      </c>
      <c r="E57" s="31" t="n">
        <f aca="false">IF(OR($A13="",AND($C13&lt;&gt;"",N($C13)&lt;B$6)),0,MAX(N13*B$8*1000*$E13,$D13))</f>
        <v>48377.3153096256</v>
      </c>
      <c r="F57" s="31" t="n">
        <f aca="false">IF(OR($A13="",AND($C13&lt;&gt;"",N($C13)&lt;C$6)),0,MAX(O13*C$8*1000*$E13,$D13))</f>
        <v>48221.2594537881</v>
      </c>
      <c r="G57" s="31" t="n">
        <f aca="false">IF(OR($A13="",AND($C13&lt;&gt;"",N($C13)&lt;D$6)),0,MAX(P13*D$8*1000*$E13,$D13))</f>
        <v>51323.4938119818</v>
      </c>
      <c r="H57" s="31" t="n">
        <f aca="false">IF(OR($A13="",AND($C13&lt;&gt;"",N($C13)&lt;B$6)),0,MAX(Q13*B$8*1000*$E13,$D13))</f>
        <v>49786.3633283525</v>
      </c>
      <c r="I57" s="31" t="n">
        <f aca="false">IF(OR($A13="",AND($C13&lt;&gt;"",N($C13)&lt;C$6)),0,MAX(R13*C$8*1000*$E13,$D13))</f>
        <v>51071.1727045681</v>
      </c>
      <c r="J57" s="31" t="n">
        <f aca="false">IF(OR($A13="",AND($C13&lt;&gt;"",N($C13)&lt;D$6)),0,MAX(S13*D$8*1000*$E13,$D13))</f>
        <v>55939.9578357369</v>
      </c>
    </row>
    <row r="58" customFormat="false" ht="15" hidden="false" customHeight="false" outlineLevel="0" collapsed="false">
      <c r="A58" s="3" t="str">
        <f aca="false">A14</f>
        <v>Ledgerline Payments</v>
      </c>
      <c r="B58" s="31" t="n">
        <f aca="false">IF(OR($A14="",AND($C14&lt;&gt;"",N($C14)&lt;B$6)),0,MAX(K14*B$8*1000*$E14,$D14))</f>
        <v>48472.393418712</v>
      </c>
      <c r="C58" s="31" t="n">
        <f aca="false">IF(OR($A14="",AND($C14&lt;&gt;"",N($C14)&lt;C$6)),0,MAX(L14*C$8*1000*$E14,$D14))</f>
        <v>46908.76782456</v>
      </c>
      <c r="D58" s="31" t="n">
        <f aca="false">IF(OR($A14="",AND($C14&lt;&gt;"",N($C14)&lt;D$6)),0,MAX(M14*D$8*1000*$E14,$D14))</f>
        <v>48472.393418712</v>
      </c>
      <c r="E58" s="31" t="n">
        <f aca="false">IF(OR($A14="",AND($C14&lt;&gt;"",N($C14)&lt;B$6)),0,MAX(N14*B$8*1000*$E14,$D14))</f>
        <v>49926.5652212734</v>
      </c>
      <c r="F58" s="31" t="n">
        <f aca="false">IF(OR($A14="",AND($C14&lt;&gt;"",N($C14)&lt;C$6)),0,MAX(O14*C$8*1000*$E14,$D14))</f>
        <v>49765.5117850757</v>
      </c>
      <c r="G58" s="31" t="n">
        <f aca="false">IF(OR($A14="",AND($C14&lt;&gt;"",N($C14)&lt;D$6)),0,MAX(P14*D$8*1000*$E14,$D14))</f>
        <v>52967.0930432489</v>
      </c>
      <c r="H58" s="31" t="n">
        <f aca="false">IF(OR($A14="",AND($C14&lt;&gt;"",N($C14)&lt;B$6)),0,MAX(Q14*B$8*1000*$E14,$D14))</f>
        <v>51380.7370238347</v>
      </c>
      <c r="I58" s="31" t="n">
        <f aca="false">IF(OR($A14="",AND($C14&lt;&gt;"",N($C14)&lt;C$6)),0,MAX(R14*C$8*1000*$E14,$D14))</f>
        <v>52706.6915276756</v>
      </c>
      <c r="J58" s="31" t="n">
        <f aca="false">IF(OR($A14="",AND($C14&lt;&gt;"",N($C14)&lt;D$6)),0,MAX(S14*D$8*1000*$E14,$D14))</f>
        <v>57731.3961199807</v>
      </c>
    </row>
    <row r="59" customFormat="false" ht="15" hidden="false" customHeight="false" outlineLevel="0" collapsed="false">
      <c r="A59" s="3" t="str">
        <f aca="false">A15</f>
        <v>Northwind Insurance</v>
      </c>
      <c r="B59" s="31" t="n">
        <f aca="false">IF(OR($A15="",AND($C15&lt;&gt;"",N($C15)&lt;B$6)),0,MAX(K15*B$8*1000*$E15,$D15))</f>
        <v>20000</v>
      </c>
      <c r="C59" s="31" t="n">
        <f aca="false">IF(OR($A15="",AND($C15&lt;&gt;"",N($C15)&lt;C$6)),0,MAX(L15*C$8*1000*$E15,$D15))</f>
        <v>20000</v>
      </c>
      <c r="D59" s="31" t="n">
        <f aca="false">IF(OR($A15="",AND($C15&lt;&gt;"",N($C15)&lt;D$6)),0,MAX(M15*D$8*1000*$E15,$D15))</f>
        <v>20000</v>
      </c>
      <c r="E59" s="31" t="n">
        <f aca="false">IF(OR($A15="",AND($C15&lt;&gt;"",N($C15)&lt;B$6)),0,MAX(N15*B$8*1000*$E15,$D15))</f>
        <v>20000</v>
      </c>
      <c r="F59" s="31" t="n">
        <f aca="false">IF(OR($A15="",AND($C15&lt;&gt;"",N($C15)&lt;C$6)),0,MAX(O15*C$8*1000*$E15,$D15))</f>
        <v>20000</v>
      </c>
      <c r="G59" s="31" t="n">
        <f aca="false">IF(OR($A15="",AND($C15&lt;&gt;"",N($C15)&lt;D$6)),0,MAX(P15*D$8*1000*$E15,$D15))</f>
        <v>20000</v>
      </c>
      <c r="H59" s="31" t="n">
        <f aca="false">IF(OR($A15="",AND($C15&lt;&gt;"",N($C15)&lt;B$6)),0,MAX(Q15*B$8*1000*$E15,$D15))</f>
        <v>20000</v>
      </c>
      <c r="I59" s="31" t="n">
        <f aca="false">IF(OR($A15="",AND($C15&lt;&gt;"",N($C15)&lt;C$6)),0,MAX(R15*C$8*1000*$E15,$D15))</f>
        <v>20000</v>
      </c>
      <c r="J59" s="31" t="n">
        <f aca="false">IF(OR($A15="",AND($C15&lt;&gt;"",N($C15)&lt;D$6)),0,MAX(S15*D$8*1000*$E15,$D15))</f>
        <v>20000</v>
      </c>
    </row>
    <row r="60" customFormat="false" ht="15" hidden="false" customHeight="false" outlineLevel="0" collapsed="false">
      <c r="A60" s="3" t="str">
        <f aca="false">A16</f>
        <v>Halcyon Games</v>
      </c>
      <c r="B60" s="31" t="n">
        <f aca="false">IF(OR($A16="",AND($C16&lt;&gt;"",N($C16)&lt;B$6)),0,MAX(K16*B$8*1000*$E16,$D16))</f>
        <v>16918.7851199106</v>
      </c>
      <c r="C60" s="31" t="n">
        <f aca="false">IF(OR($A16="",AND($C16&lt;&gt;"",N($C16)&lt;C$6)),0,MAX(L16*C$8*1000*$E16,$D16))</f>
        <v>16373.017857978</v>
      </c>
      <c r="D60" s="31" t="n">
        <f aca="false">IF(OR($A16="",AND($C16&lt;&gt;"",N($C16)&lt;D$6)),0,MAX(M16*D$8*1000*$E16,$D16))</f>
        <v>16918.7851199106</v>
      </c>
      <c r="E60" s="31" t="n">
        <f aca="false">IF(OR($A16="",AND($C16&lt;&gt;"",N($C16)&lt;B$6)),0,MAX(N16*B$8*1000*$E16,$D16))</f>
        <v>17426.3486735079</v>
      </c>
      <c r="F60" s="31" t="n">
        <f aca="false">IF(OR($A16="",AND($C16&lt;&gt;"",N($C16)&lt;C$6)),0,MAX(O16*C$8*1000*$E16,$D16))</f>
        <v>17370.1346455289</v>
      </c>
      <c r="G60" s="31" t="n">
        <f aca="false">IF(OR($A16="",AND($C16&lt;&gt;"",N($C16)&lt;D$6)),0,MAX(P16*D$8*1000*$E16,$D16))</f>
        <v>18487.6133077246</v>
      </c>
      <c r="H60" s="31" t="n">
        <f aca="false">IF(OR($A16="",AND($C16&lt;&gt;"",N($C16)&lt;B$6)),0,MAX(Q16*B$8*1000*$E16,$D16))</f>
        <v>17933.9122271052</v>
      </c>
      <c r="I60" s="31" t="n">
        <f aca="false">IF(OR($A16="",AND($C16&lt;&gt;"",N($C16)&lt;C$6)),0,MAX(R16*C$8*1000*$E16,$D16))</f>
        <v>18396.7228652241</v>
      </c>
      <c r="J60" s="31" t="n">
        <f aca="false">IF(OR($A16="",AND($C16&lt;&gt;"",N($C16)&lt;D$6)),0,MAX(S16*D$8*1000*$E16,$D16))</f>
        <v>20150.5437783755</v>
      </c>
    </row>
    <row r="61" customFormat="false" ht="15" hidden="false" customHeight="false" outlineLevel="0" collapsed="false">
      <c r="A61" s="3" t="str">
        <f aca="false">A17</f>
        <v>Cobalt Ads</v>
      </c>
      <c r="B61" s="31" t="n">
        <f aca="false">IF(OR($A17="",AND($C17&lt;&gt;"",N($C17)&lt;B$6)),0,MAX(K17*B$8*1000*$E17,$D17))</f>
        <v>32224.6465867209</v>
      </c>
      <c r="C61" s="31" t="n">
        <f aca="false">IF(OR($A17="",AND($C17&lt;&gt;"",N($C17)&lt;C$6)),0,MAX(L17*C$8*1000*$E17,$D17))</f>
        <v>31185.141858117</v>
      </c>
      <c r="D61" s="31" t="n">
        <f aca="false">IF(OR($A17="",AND($C17&lt;&gt;"",N($C17)&lt;D$6)),0,MAX(M17*D$8*1000*$E17,$D17))</f>
        <v>32224.6465867209</v>
      </c>
      <c r="E61" s="31" t="n">
        <f aca="false">IF(OR($A17="",AND($C17&lt;&gt;"",N($C17)&lt;B$6)),0,MAX(N17*B$8*1000*$E17,$D17))</f>
        <v>33191.3859843225</v>
      </c>
      <c r="F61" s="31" t="n">
        <f aca="false">IF(OR($A17="",AND($C17&lt;&gt;"",N($C17)&lt;C$6)),0,MAX(O17*C$8*1000*$E17,$D17))</f>
        <v>33084.3169972763</v>
      </c>
      <c r="G61" s="31" t="n">
        <f aca="false">IF(OR($A17="",AND($C17&lt;&gt;"",N($C17)&lt;D$6)),0,MAX(P17*D$8*1000*$E17,$D17))</f>
        <v>35212.7413907678</v>
      </c>
      <c r="H61" s="31" t="n">
        <f aca="false">IF(OR($A17="",AND($C17&lt;&gt;"",N($C17)&lt;B$6)),0,MAX(Q17*B$8*1000*$E17,$D17))</f>
        <v>34158.1253819242</v>
      </c>
      <c r="I61" s="31" t="n">
        <f aca="false">IF(OR($A17="",AND($C17&lt;&gt;"",N($C17)&lt;C$6)),0,MAX(R17*C$8*1000*$E17,$D17))</f>
        <v>35039.6253917803</v>
      </c>
      <c r="J61" s="31" t="n">
        <f aca="false">IF(OR($A17="",AND($C17&lt;&gt;"",N($C17)&lt;D$6)),0,MAX(S17*D$8*1000*$E17,$D17))</f>
        <v>38380.06967913</v>
      </c>
    </row>
    <row r="62" customFormat="false" ht="15" hidden="false" customHeight="false" outlineLevel="0" collapsed="false">
      <c r="A62" s="3" t="str">
        <f aca="false">A18</f>
        <v>Meridian Legal</v>
      </c>
      <c r="B62" s="31" t="n">
        <f aca="false">IF(OR($A18="",AND($C18&lt;&gt;"",N($C18)&lt;B$6)),0,MAX(K18*B$8*1000*$E18,$D18))</f>
        <v>12500</v>
      </c>
      <c r="C62" s="31" t="n">
        <f aca="false">IF(OR($A18="",AND($C18&lt;&gt;"",N($C18)&lt;C$6)),0,MAX(L18*C$8*1000*$E18,$D18))</f>
        <v>12500</v>
      </c>
      <c r="D62" s="31" t="n">
        <f aca="false">IF(OR($A18="",AND($C18&lt;&gt;"",N($C18)&lt;D$6)),0,MAX(M18*D$8*1000*$E18,$D18))</f>
        <v>12500</v>
      </c>
      <c r="E62" s="31" t="n">
        <f aca="false">IF(OR($A18="",AND($C18&lt;&gt;"",N($C18)&lt;B$6)),0,MAX(N18*B$8*1000*$E18,$D18))</f>
        <v>12500</v>
      </c>
      <c r="F62" s="31" t="n">
        <f aca="false">IF(OR($A18="",AND($C18&lt;&gt;"",N($C18)&lt;C$6)),0,MAX(O18*C$8*1000*$E18,$D18))</f>
        <v>12500</v>
      </c>
      <c r="G62" s="31" t="n">
        <f aca="false">IF(OR($A18="",AND($C18&lt;&gt;"",N($C18)&lt;D$6)),0,MAX(P18*D$8*1000*$E18,$D18))</f>
        <v>12500</v>
      </c>
      <c r="H62" s="31" t="n">
        <f aca="false">IF(OR($A18="",AND($C18&lt;&gt;"",N($C18)&lt;B$6)),0,MAX(Q18*B$8*1000*$E18,$D18))</f>
        <v>12500</v>
      </c>
      <c r="I62" s="31" t="n">
        <f aca="false">IF(OR($A18="",AND($C18&lt;&gt;"",N($C18)&lt;C$6)),0,MAX(R18*C$8*1000*$E18,$D18))</f>
        <v>12500</v>
      </c>
      <c r="J62" s="31" t="n">
        <f aca="false">IF(OR($A18="",AND($C18&lt;&gt;"",N($C18)&lt;D$6)),0,MAX(S18*D$8*1000*$E18,$D18))</f>
        <v>12500</v>
      </c>
    </row>
    <row r="63" customFormat="false" ht="15" hidden="false" customHeight="false" outlineLevel="0" collapsed="false">
      <c r="A63" s="3" t="str">
        <f aca="false">A19</f>
        <v>Sable Research</v>
      </c>
      <c r="B63" s="31" t="n">
        <f aca="false">IF(OR($A19="",AND($C19&lt;&gt;"",N($C19)&lt;B$6)),0,MAX(K19*B$8*1000*$E19,$D19))</f>
        <v>17500</v>
      </c>
      <c r="C63" s="31" t="n">
        <f aca="false">IF(OR($A19="",AND($C19&lt;&gt;"",N($C19)&lt;C$6)),0,MAX(L19*C$8*1000*$E19,$D19))</f>
        <v>17500</v>
      </c>
      <c r="D63" s="31" t="n">
        <f aca="false">IF(OR($A19="",AND($C19&lt;&gt;"",N($C19)&lt;D$6)),0,MAX(M19*D$8*1000*$E19,$D19))</f>
        <v>17500</v>
      </c>
      <c r="E63" s="31" t="n">
        <f aca="false">IF(OR($A19="",AND($C19&lt;&gt;"",N($C19)&lt;B$6)),0,MAX(N19*B$8*1000*$E19,$D19))</f>
        <v>18380.7565789474</v>
      </c>
      <c r="F63" s="31" t="n">
        <f aca="false">IF(OR($A19="",AND($C19&lt;&gt;"",N($C19)&lt;C$6)),0,MAX(O19*C$8*1000*$E19,$D19))</f>
        <v>18321.4638157895</v>
      </c>
      <c r="G63" s="31" t="n">
        <f aca="false">IF(OR($A19="",AND($C19&lt;&gt;"",N($C19)&lt;D$6)),0,MAX(P19*D$8*1000*$E19,$D19))</f>
        <v>19500.1446546053</v>
      </c>
      <c r="H63" s="31" t="n">
        <f aca="false">IF(OR($A19="",AND($C19&lt;&gt;"",N($C19)&lt;B$6)),0,MAX(Q19*B$8*1000*$E19,$D19))</f>
        <v>22699.3421052632</v>
      </c>
      <c r="I63" s="31" t="n">
        <f aca="false">IF(OR($A19="",AND($C19&lt;&gt;"",N($C19)&lt;C$6)),0,MAX(R19*C$8*1000*$E19,$D19))</f>
        <v>23285.1315789474</v>
      </c>
      <c r="J63" s="31" t="n">
        <f aca="false">IF(OR($A19="",AND($C19&lt;&gt;"",N($C19)&lt;D$6)),0,MAX(S19*D$8*1000*$E19,$D19))</f>
        <v>25504.9807894737</v>
      </c>
    </row>
    <row r="64" customFormat="false" ht="15" hidden="false" customHeight="false" outlineLevel="0" collapsed="false">
      <c r="A64" s="3" t="str">
        <f aca="false">A20</f>
        <v>Brightpath Logistics</v>
      </c>
      <c r="B64" s="31" t="n">
        <f aca="false">IF(OR($A20="",AND($C20&lt;&gt;"",N($C20)&lt;B$6)),0,MAX(K20*B$8*1000*$E20,$D20))</f>
        <v>10000</v>
      </c>
      <c r="C64" s="31" t="n">
        <f aca="false">IF(OR($A20="",AND($C20&lt;&gt;"",N($C20)&lt;C$6)),0,MAX(L20*C$8*1000*$E20,$D20))</f>
        <v>10000</v>
      </c>
      <c r="D64" s="31" t="n">
        <f aca="false">IF(OR($A20="",AND($C20&lt;&gt;"",N($C20)&lt;D$6)),0,MAX(M20*D$8*1000*$E20,$D20))</f>
        <v>10000</v>
      </c>
      <c r="E64" s="31" t="n">
        <f aca="false">IF(OR($A20="",AND($C20&lt;&gt;"",N($C20)&lt;B$6)),0,MAX(N20*B$8*1000*$E20,$D20))</f>
        <v>10000</v>
      </c>
      <c r="F64" s="31" t="n">
        <f aca="false">IF(OR($A20="",AND($C20&lt;&gt;"",N($C20)&lt;C$6)),0,MAX(O20*C$8*1000*$E20,$D20))</f>
        <v>10469.4078947368</v>
      </c>
      <c r="G64" s="31" t="n">
        <f aca="false">IF(OR($A20="",AND($C20&lt;&gt;"",N($C20)&lt;D$6)),0,MAX(P20*D$8*1000*$E20,$D20))</f>
        <v>11142.9398026316</v>
      </c>
      <c r="H64" s="31" t="n">
        <f aca="false">IF(OR($A20="",AND($C20&lt;&gt;"",N($C20)&lt;B$6)),0,MAX(Q20*B$8*1000*$E20,$D20))</f>
        <v>12274.3940458972</v>
      </c>
      <c r="I64" s="31" t="n">
        <f aca="false">IF(OR($A20="",AND($C20&lt;&gt;"",N($C20)&lt;C$6)),0,MAX(R20*C$8*1000*$E20,$D20))</f>
        <v>13305.7894736842</v>
      </c>
      <c r="J64" s="31" t="n">
        <f aca="false">IF(OR($A20="",AND($C20&lt;&gt;"",N($C20)&lt;D$6)),0,MAX(S20*D$8*1000*$E20,$D20))</f>
        <v>14574.2747368421</v>
      </c>
    </row>
    <row r="65" customFormat="false" ht="15" hidden="false" customHeight="false" outlineLevel="0" collapsed="false">
      <c r="A65" s="3" t="str">
        <f aca="false">A21</f>
        <v/>
      </c>
      <c r="B65" s="31" t="n">
        <f aca="false">IF(OR($A21="",AND($C21&lt;&gt;"",N($C21)&lt;B$6)),0,MAX(K21*B$8*1000*$E21,$D21))</f>
        <v>0</v>
      </c>
      <c r="C65" s="31" t="n">
        <f aca="false">IF(OR($A21="",AND($C21&lt;&gt;"",N($C21)&lt;C$6)),0,MAX(L21*C$8*1000*$E21,$D21))</f>
        <v>0</v>
      </c>
      <c r="D65" s="31" t="n">
        <f aca="false">IF(OR($A21="",AND($C21&lt;&gt;"",N($C21)&lt;D$6)),0,MAX(M21*D$8*1000*$E21,$D21))</f>
        <v>0</v>
      </c>
      <c r="E65" s="31" t="n">
        <f aca="false">IF(OR($A21="",AND($C21&lt;&gt;"",N($C21)&lt;B$6)),0,MAX(N21*B$8*1000*$E21,$D21))</f>
        <v>0</v>
      </c>
      <c r="F65" s="31" t="n">
        <f aca="false">IF(OR($A21="",AND($C21&lt;&gt;"",N($C21)&lt;C$6)),0,MAX(O21*C$8*1000*$E21,$D21))</f>
        <v>0</v>
      </c>
      <c r="G65" s="31" t="n">
        <f aca="false">IF(OR($A21="",AND($C21&lt;&gt;"",N($C21)&lt;D$6)),0,MAX(P21*D$8*1000*$E21,$D21))</f>
        <v>0</v>
      </c>
      <c r="H65" s="31" t="n">
        <f aca="false">IF(OR($A21="",AND($C21&lt;&gt;"",N($C21)&lt;B$6)),0,MAX(Q21*B$8*1000*$E21,$D21))</f>
        <v>0</v>
      </c>
      <c r="I65" s="31" t="n">
        <f aca="false">IF(OR($A21="",AND($C21&lt;&gt;"",N($C21)&lt;C$6)),0,MAX(R21*C$8*1000*$E21,$D21))</f>
        <v>0</v>
      </c>
      <c r="J65" s="31" t="n">
        <f aca="false">IF(OR($A21="",AND($C21&lt;&gt;"",N($C21)&lt;D$6)),0,MAX(S21*D$8*1000*$E21,$D21))</f>
        <v>0</v>
      </c>
    </row>
    <row r="66" customFormat="false" ht="15" hidden="false" customHeight="false" outlineLevel="0" collapsed="false">
      <c r="A66" s="3" t="str">
        <f aca="false">A22</f>
        <v/>
      </c>
      <c r="B66" s="31" t="n">
        <f aca="false">IF(OR($A22="",AND($C22&lt;&gt;"",N($C22)&lt;B$6)),0,MAX(K22*B$8*1000*$E22,$D22))</f>
        <v>0</v>
      </c>
      <c r="C66" s="31" t="n">
        <f aca="false">IF(OR($A22="",AND($C22&lt;&gt;"",N($C22)&lt;C$6)),0,MAX(L22*C$8*1000*$E22,$D22))</f>
        <v>0</v>
      </c>
      <c r="D66" s="31" t="n">
        <f aca="false">IF(OR($A22="",AND($C22&lt;&gt;"",N($C22)&lt;D$6)),0,MAX(M22*D$8*1000*$E22,$D22))</f>
        <v>0</v>
      </c>
      <c r="E66" s="31" t="n">
        <f aca="false">IF(OR($A22="",AND($C22&lt;&gt;"",N($C22)&lt;B$6)),0,MAX(N22*B$8*1000*$E22,$D22))</f>
        <v>0</v>
      </c>
      <c r="F66" s="31" t="n">
        <f aca="false">IF(OR($A22="",AND($C22&lt;&gt;"",N($C22)&lt;C$6)),0,MAX(O22*C$8*1000*$E22,$D22))</f>
        <v>0</v>
      </c>
      <c r="G66" s="31" t="n">
        <f aca="false">IF(OR($A22="",AND($C22&lt;&gt;"",N($C22)&lt;D$6)),0,MAX(P22*D$8*1000*$E22,$D22))</f>
        <v>0</v>
      </c>
      <c r="H66" s="31" t="n">
        <f aca="false">IF(OR($A22="",AND($C22&lt;&gt;"",N($C22)&lt;B$6)),0,MAX(Q22*B$8*1000*$E22,$D22))</f>
        <v>0</v>
      </c>
      <c r="I66" s="31" t="n">
        <f aca="false">IF(OR($A22="",AND($C22&lt;&gt;"",N($C22)&lt;C$6)),0,MAX(R22*C$8*1000*$E22,$D22))</f>
        <v>0</v>
      </c>
      <c r="J66" s="31" t="n">
        <f aca="false">IF(OR($A22="",AND($C22&lt;&gt;"",N($C22)&lt;D$6)),0,MAX(S22*D$8*1000*$E22,$D22))</f>
        <v>0</v>
      </c>
    </row>
    <row r="67" customFormat="false" ht="15" hidden="false" customHeight="false" outlineLevel="0" collapsed="false">
      <c r="A67" s="3" t="str">
        <f aca="false">A23</f>
        <v/>
      </c>
      <c r="B67" s="31" t="n">
        <f aca="false">IF(OR($A23="",AND($C23&lt;&gt;"",N($C23)&lt;B$6)),0,MAX(K23*B$8*1000*$E23,$D23))</f>
        <v>0</v>
      </c>
      <c r="C67" s="31" t="n">
        <f aca="false">IF(OR($A23="",AND($C23&lt;&gt;"",N($C23)&lt;C$6)),0,MAX(L23*C$8*1000*$E23,$D23))</f>
        <v>0</v>
      </c>
      <c r="D67" s="31" t="n">
        <f aca="false">IF(OR($A23="",AND($C23&lt;&gt;"",N($C23)&lt;D$6)),0,MAX(M23*D$8*1000*$E23,$D23))</f>
        <v>0</v>
      </c>
      <c r="E67" s="31" t="n">
        <f aca="false">IF(OR($A23="",AND($C23&lt;&gt;"",N($C23)&lt;B$6)),0,MAX(N23*B$8*1000*$E23,$D23))</f>
        <v>0</v>
      </c>
      <c r="F67" s="31" t="n">
        <f aca="false">IF(OR($A23="",AND($C23&lt;&gt;"",N($C23)&lt;C$6)),0,MAX(O23*C$8*1000*$E23,$D23))</f>
        <v>0</v>
      </c>
      <c r="G67" s="31" t="n">
        <f aca="false">IF(OR($A23="",AND($C23&lt;&gt;"",N($C23)&lt;D$6)),0,MAX(P23*D$8*1000*$E23,$D23))</f>
        <v>0</v>
      </c>
      <c r="H67" s="31" t="n">
        <f aca="false">IF(OR($A23="",AND($C23&lt;&gt;"",N($C23)&lt;B$6)),0,MAX(Q23*B$8*1000*$E23,$D23))</f>
        <v>0</v>
      </c>
      <c r="I67" s="31" t="n">
        <f aca="false">IF(OR($A23="",AND($C23&lt;&gt;"",N($C23)&lt;C$6)),0,MAX(R23*C$8*1000*$E23,$D23))</f>
        <v>0</v>
      </c>
      <c r="J67" s="31" t="n">
        <f aca="false">IF(OR($A23="",AND($C23&lt;&gt;"",N($C23)&lt;D$6)),0,MAX(S23*D$8*1000*$E23,$D23))</f>
        <v>0</v>
      </c>
    </row>
    <row r="68" customFormat="false" ht="15" hidden="false" customHeight="false" outlineLevel="0" collapsed="false">
      <c r="A68" s="3" t="str">
        <f aca="false">A24</f>
        <v/>
      </c>
      <c r="B68" s="31" t="n">
        <f aca="false">IF(OR($A24="",AND($C24&lt;&gt;"",N($C24)&lt;B$6)),0,MAX(K24*B$8*1000*$E24,$D24))</f>
        <v>0</v>
      </c>
      <c r="C68" s="31" t="n">
        <f aca="false">IF(OR($A24="",AND($C24&lt;&gt;"",N($C24)&lt;C$6)),0,MAX(L24*C$8*1000*$E24,$D24))</f>
        <v>0</v>
      </c>
      <c r="D68" s="31" t="n">
        <f aca="false">IF(OR($A24="",AND($C24&lt;&gt;"",N($C24)&lt;D$6)),0,MAX(M24*D$8*1000*$E24,$D24))</f>
        <v>0</v>
      </c>
      <c r="E68" s="31" t="n">
        <f aca="false">IF(OR($A24="",AND($C24&lt;&gt;"",N($C24)&lt;B$6)),0,MAX(N24*B$8*1000*$E24,$D24))</f>
        <v>0</v>
      </c>
      <c r="F68" s="31" t="n">
        <f aca="false">IF(OR($A24="",AND($C24&lt;&gt;"",N($C24)&lt;C$6)),0,MAX(O24*C$8*1000*$E24,$D24))</f>
        <v>0</v>
      </c>
      <c r="G68" s="31" t="n">
        <f aca="false">IF(OR($A24="",AND($C24&lt;&gt;"",N($C24)&lt;D$6)),0,MAX(P24*D$8*1000*$E24,$D24))</f>
        <v>0</v>
      </c>
      <c r="H68" s="31" t="n">
        <f aca="false">IF(OR($A24="",AND($C24&lt;&gt;"",N($C24)&lt;B$6)),0,MAX(Q24*B$8*1000*$E24,$D24))</f>
        <v>0</v>
      </c>
      <c r="I68" s="31" t="n">
        <f aca="false">IF(OR($A24="",AND($C24&lt;&gt;"",N($C24)&lt;C$6)),0,MAX(R24*C$8*1000*$E24,$D24))</f>
        <v>0</v>
      </c>
      <c r="J68" s="31" t="n">
        <f aca="false">IF(OR($A24="",AND($C24&lt;&gt;"",N($C24)&lt;D$6)),0,MAX(S24*D$8*1000*$E24,$D24))</f>
        <v>0</v>
      </c>
    </row>
    <row r="69" customFormat="false" ht="15" hidden="false" customHeight="false" outlineLevel="0" collapsed="false">
      <c r="A69" s="3" t="str">
        <f aca="false">A25</f>
        <v/>
      </c>
      <c r="B69" s="31" t="n">
        <f aca="false">IF(OR($A25="",AND($C25&lt;&gt;"",N($C25)&lt;B$6)),0,MAX(K25*B$8*1000*$E25,$D25))</f>
        <v>0</v>
      </c>
      <c r="C69" s="31" t="n">
        <f aca="false">IF(OR($A25="",AND($C25&lt;&gt;"",N($C25)&lt;C$6)),0,MAX(L25*C$8*1000*$E25,$D25))</f>
        <v>0</v>
      </c>
      <c r="D69" s="31" t="n">
        <f aca="false">IF(OR($A25="",AND($C25&lt;&gt;"",N($C25)&lt;D$6)),0,MAX(M25*D$8*1000*$E25,$D25))</f>
        <v>0</v>
      </c>
      <c r="E69" s="31" t="n">
        <f aca="false">IF(OR($A25="",AND($C25&lt;&gt;"",N($C25)&lt;B$6)),0,MAX(N25*B$8*1000*$E25,$D25))</f>
        <v>0</v>
      </c>
      <c r="F69" s="31" t="n">
        <f aca="false">IF(OR($A25="",AND($C25&lt;&gt;"",N($C25)&lt;C$6)),0,MAX(O25*C$8*1000*$E25,$D25))</f>
        <v>0</v>
      </c>
      <c r="G69" s="31" t="n">
        <f aca="false">IF(OR($A25="",AND($C25&lt;&gt;"",N($C25)&lt;D$6)),0,MAX(P25*D$8*1000*$E25,$D25))</f>
        <v>0</v>
      </c>
      <c r="H69" s="31" t="n">
        <f aca="false">IF(OR($A25="",AND($C25&lt;&gt;"",N($C25)&lt;B$6)),0,MAX(Q25*B$8*1000*$E25,$D25))</f>
        <v>0</v>
      </c>
      <c r="I69" s="31" t="n">
        <f aca="false">IF(OR($A25="",AND($C25&lt;&gt;"",N($C25)&lt;C$6)),0,MAX(R25*C$8*1000*$E25,$D25))</f>
        <v>0</v>
      </c>
      <c r="J69" s="31" t="n">
        <f aca="false">IF(OR($A25="",AND($C25&lt;&gt;"",N($C25)&lt;D$6)),0,MAX(S25*D$8*1000*$E25,$D25))</f>
        <v>0</v>
      </c>
    </row>
    <row r="70" customFormat="false" ht="15" hidden="false" customHeight="false" outlineLevel="0" collapsed="false">
      <c r="A70" s="3" t="str">
        <f aca="false">A26</f>
        <v/>
      </c>
      <c r="B70" s="31" t="n">
        <f aca="false">IF(OR($A26="",AND($C26&lt;&gt;"",N($C26)&lt;B$6)),0,MAX(K26*B$8*1000*$E26,$D26))</f>
        <v>0</v>
      </c>
      <c r="C70" s="31" t="n">
        <f aca="false">IF(OR($A26="",AND($C26&lt;&gt;"",N($C26)&lt;C$6)),0,MAX(L26*C$8*1000*$E26,$D26))</f>
        <v>0</v>
      </c>
      <c r="D70" s="31" t="n">
        <f aca="false">IF(OR($A26="",AND($C26&lt;&gt;"",N($C26)&lt;D$6)),0,MAX(M26*D$8*1000*$E26,$D26))</f>
        <v>0</v>
      </c>
      <c r="E70" s="31" t="n">
        <f aca="false">IF(OR($A26="",AND($C26&lt;&gt;"",N($C26)&lt;B$6)),0,MAX(N26*B$8*1000*$E26,$D26))</f>
        <v>0</v>
      </c>
      <c r="F70" s="31" t="n">
        <f aca="false">IF(OR($A26="",AND($C26&lt;&gt;"",N($C26)&lt;C$6)),0,MAX(O26*C$8*1000*$E26,$D26))</f>
        <v>0</v>
      </c>
      <c r="G70" s="31" t="n">
        <f aca="false">IF(OR($A26="",AND($C26&lt;&gt;"",N($C26)&lt;D$6)),0,MAX(P26*D$8*1000*$E26,$D26))</f>
        <v>0</v>
      </c>
      <c r="H70" s="31" t="n">
        <f aca="false">IF(OR($A26="",AND($C26&lt;&gt;"",N($C26)&lt;B$6)),0,MAX(Q26*B$8*1000*$E26,$D26))</f>
        <v>0</v>
      </c>
      <c r="I70" s="31" t="n">
        <f aca="false">IF(OR($A26="",AND($C26&lt;&gt;"",N($C26)&lt;C$6)),0,MAX(R26*C$8*1000*$E26,$D26))</f>
        <v>0</v>
      </c>
      <c r="J70" s="31" t="n">
        <f aca="false">IF(OR($A26="",AND($C26&lt;&gt;"",N($C26)&lt;D$6)),0,MAX(S26*D$8*1000*$E26,$D26))</f>
        <v>0</v>
      </c>
    </row>
    <row r="71" customFormat="false" ht="15" hidden="false" customHeight="false" outlineLevel="0" collapsed="false">
      <c r="A71" s="3" t="str">
        <f aca="false">A27</f>
        <v/>
      </c>
      <c r="B71" s="31" t="n">
        <f aca="false">IF(OR($A27="",AND($C27&lt;&gt;"",N($C27)&lt;B$6)),0,MAX(K27*B$8*1000*$E27,$D27))</f>
        <v>0</v>
      </c>
      <c r="C71" s="31" t="n">
        <f aca="false">IF(OR($A27="",AND($C27&lt;&gt;"",N($C27)&lt;C$6)),0,MAX(L27*C$8*1000*$E27,$D27))</f>
        <v>0</v>
      </c>
      <c r="D71" s="31" t="n">
        <f aca="false">IF(OR($A27="",AND($C27&lt;&gt;"",N($C27)&lt;D$6)),0,MAX(M27*D$8*1000*$E27,$D27))</f>
        <v>0</v>
      </c>
      <c r="E71" s="31" t="n">
        <f aca="false">IF(OR($A27="",AND($C27&lt;&gt;"",N($C27)&lt;B$6)),0,MAX(N27*B$8*1000*$E27,$D27))</f>
        <v>0</v>
      </c>
      <c r="F71" s="31" t="n">
        <f aca="false">IF(OR($A27="",AND($C27&lt;&gt;"",N($C27)&lt;C$6)),0,MAX(O27*C$8*1000*$E27,$D27))</f>
        <v>0</v>
      </c>
      <c r="G71" s="31" t="n">
        <f aca="false">IF(OR($A27="",AND($C27&lt;&gt;"",N($C27)&lt;D$6)),0,MAX(P27*D$8*1000*$E27,$D27))</f>
        <v>0</v>
      </c>
      <c r="H71" s="31" t="n">
        <f aca="false">IF(OR($A27="",AND($C27&lt;&gt;"",N($C27)&lt;B$6)),0,MAX(Q27*B$8*1000*$E27,$D27))</f>
        <v>0</v>
      </c>
      <c r="I71" s="31" t="n">
        <f aca="false">IF(OR($A27="",AND($C27&lt;&gt;"",N($C27)&lt;C$6)),0,MAX(R27*C$8*1000*$E27,$D27))</f>
        <v>0</v>
      </c>
      <c r="J71" s="31" t="n">
        <f aca="false">IF(OR($A27="",AND($C27&lt;&gt;"",N($C27)&lt;D$6)),0,MAX(S27*D$8*1000*$E27,$D27))</f>
        <v>0</v>
      </c>
    </row>
    <row r="72" customFormat="false" ht="15" hidden="false" customHeight="false" outlineLevel="0" collapsed="false">
      <c r="A72" s="3" t="str">
        <f aca="false">A28</f>
        <v/>
      </c>
      <c r="B72" s="31" t="n">
        <f aca="false">IF(OR($A28="",AND($C28&lt;&gt;"",N($C28)&lt;B$6)),0,MAX(K28*B$8*1000*$E28,$D28))</f>
        <v>0</v>
      </c>
      <c r="C72" s="31" t="n">
        <f aca="false">IF(OR($A28="",AND($C28&lt;&gt;"",N($C28)&lt;C$6)),0,MAX(L28*C$8*1000*$E28,$D28))</f>
        <v>0</v>
      </c>
      <c r="D72" s="31" t="n">
        <f aca="false">IF(OR($A28="",AND($C28&lt;&gt;"",N($C28)&lt;D$6)),0,MAX(M28*D$8*1000*$E28,$D28))</f>
        <v>0</v>
      </c>
      <c r="E72" s="31" t="n">
        <f aca="false">IF(OR($A28="",AND($C28&lt;&gt;"",N($C28)&lt;B$6)),0,MAX(N28*B$8*1000*$E28,$D28))</f>
        <v>0</v>
      </c>
      <c r="F72" s="31" t="n">
        <f aca="false">IF(OR($A28="",AND($C28&lt;&gt;"",N($C28)&lt;C$6)),0,MAX(O28*C$8*1000*$E28,$D28))</f>
        <v>0</v>
      </c>
      <c r="G72" s="31" t="n">
        <f aca="false">IF(OR($A28="",AND($C28&lt;&gt;"",N($C28)&lt;D$6)),0,MAX(P28*D$8*1000*$E28,$D28))</f>
        <v>0</v>
      </c>
      <c r="H72" s="31" t="n">
        <f aca="false">IF(OR($A28="",AND($C28&lt;&gt;"",N($C28)&lt;B$6)),0,MAX(Q28*B$8*1000*$E28,$D28))</f>
        <v>0</v>
      </c>
      <c r="I72" s="31" t="n">
        <f aca="false">IF(OR($A28="",AND($C28&lt;&gt;"",N($C28)&lt;C$6)),0,MAX(R28*C$8*1000*$E28,$D28))</f>
        <v>0</v>
      </c>
      <c r="J72" s="31" t="n">
        <f aca="false">IF(OR($A28="",AND($C28&lt;&gt;"",N($C28)&lt;D$6)),0,MAX(S28*D$8*1000*$E28,$D28))</f>
        <v>0</v>
      </c>
    </row>
    <row r="73" customFormat="false" ht="15" hidden="false" customHeight="false" outlineLevel="0" collapsed="false">
      <c r="A73" s="3" t="str">
        <f aca="false">A29</f>
        <v/>
      </c>
      <c r="B73" s="31" t="n">
        <f aca="false">IF(OR($A29="",AND($C29&lt;&gt;"",N($C29)&lt;B$6)),0,MAX(K29*B$8*1000*$E29,$D29))</f>
        <v>0</v>
      </c>
      <c r="C73" s="31" t="n">
        <f aca="false">IF(OR($A29="",AND($C29&lt;&gt;"",N($C29)&lt;C$6)),0,MAX(L29*C$8*1000*$E29,$D29))</f>
        <v>0</v>
      </c>
      <c r="D73" s="31" t="n">
        <f aca="false">IF(OR($A29="",AND($C29&lt;&gt;"",N($C29)&lt;D$6)),0,MAX(M29*D$8*1000*$E29,$D29))</f>
        <v>0</v>
      </c>
      <c r="E73" s="31" t="n">
        <f aca="false">IF(OR($A29="",AND($C29&lt;&gt;"",N($C29)&lt;B$6)),0,MAX(N29*B$8*1000*$E29,$D29))</f>
        <v>0</v>
      </c>
      <c r="F73" s="31" t="n">
        <f aca="false">IF(OR($A29="",AND($C29&lt;&gt;"",N($C29)&lt;C$6)),0,MAX(O29*C$8*1000*$E29,$D29))</f>
        <v>0</v>
      </c>
      <c r="G73" s="31" t="n">
        <f aca="false">IF(OR($A29="",AND($C29&lt;&gt;"",N($C29)&lt;D$6)),0,MAX(P29*D$8*1000*$E29,$D29))</f>
        <v>0</v>
      </c>
      <c r="H73" s="31" t="n">
        <f aca="false">IF(OR($A29="",AND($C29&lt;&gt;"",N($C29)&lt;B$6)),0,MAX(Q29*B$8*1000*$E29,$D29))</f>
        <v>0</v>
      </c>
      <c r="I73" s="31" t="n">
        <f aca="false">IF(OR($A29="",AND($C29&lt;&gt;"",N($C29)&lt;C$6)),0,MAX(R29*C$8*1000*$E29,$D29))</f>
        <v>0</v>
      </c>
      <c r="J73" s="31" t="n">
        <f aca="false">IF(OR($A29="",AND($C29&lt;&gt;"",N($C29)&lt;D$6)),0,MAX(S29*D$8*1000*$E29,$D29))</f>
        <v>0</v>
      </c>
    </row>
    <row r="74" customFormat="false" ht="15" hidden="false" customHeight="false" outlineLevel="0" collapsed="false">
      <c r="A74" s="3" t="str">
        <f aca="false">A30</f>
        <v/>
      </c>
      <c r="B74" s="31" t="n">
        <f aca="false">IF(OR($A30="",AND($C30&lt;&gt;"",N($C30)&lt;B$6)),0,MAX(K30*B$8*1000*$E30,$D30))</f>
        <v>0</v>
      </c>
      <c r="C74" s="31" t="n">
        <f aca="false">IF(OR($A30="",AND($C30&lt;&gt;"",N($C30)&lt;C$6)),0,MAX(L30*C$8*1000*$E30,$D30))</f>
        <v>0</v>
      </c>
      <c r="D74" s="31" t="n">
        <f aca="false">IF(OR($A30="",AND($C30&lt;&gt;"",N($C30)&lt;D$6)),0,MAX(M30*D$8*1000*$E30,$D30))</f>
        <v>0</v>
      </c>
      <c r="E74" s="31" t="n">
        <f aca="false">IF(OR($A30="",AND($C30&lt;&gt;"",N($C30)&lt;B$6)),0,MAX(N30*B$8*1000*$E30,$D30))</f>
        <v>0</v>
      </c>
      <c r="F74" s="31" t="n">
        <f aca="false">IF(OR($A30="",AND($C30&lt;&gt;"",N($C30)&lt;C$6)),0,MAX(O30*C$8*1000*$E30,$D30))</f>
        <v>0</v>
      </c>
      <c r="G74" s="31" t="n">
        <f aca="false">IF(OR($A30="",AND($C30&lt;&gt;"",N($C30)&lt;D$6)),0,MAX(P30*D$8*1000*$E30,$D30))</f>
        <v>0</v>
      </c>
      <c r="H74" s="31" t="n">
        <f aca="false">IF(OR($A30="",AND($C30&lt;&gt;"",N($C30)&lt;B$6)),0,MAX(Q30*B$8*1000*$E30,$D30))</f>
        <v>0</v>
      </c>
      <c r="I74" s="31" t="n">
        <f aca="false">IF(OR($A30="",AND($C30&lt;&gt;"",N($C30)&lt;C$6)),0,MAX(R30*C$8*1000*$E30,$D30))</f>
        <v>0</v>
      </c>
      <c r="J74" s="31" t="n">
        <f aca="false">IF(OR($A30="",AND($C30&lt;&gt;"",N($C30)&lt;D$6)),0,MAX(S30*D$8*1000*$E30,$D30))</f>
        <v>0</v>
      </c>
    </row>
    <row r="75" customFormat="false" ht="15" hidden="false" customHeight="false" outlineLevel="0" collapsed="false">
      <c r="A75" s="3" t="str">
        <f aca="false">A31</f>
        <v/>
      </c>
      <c r="B75" s="31" t="n">
        <f aca="false">IF(OR($A31="",AND($C31&lt;&gt;"",N($C31)&lt;B$6)),0,MAX(K31*B$8*1000*$E31,$D31))</f>
        <v>0</v>
      </c>
      <c r="C75" s="31" t="n">
        <f aca="false">IF(OR($A31="",AND($C31&lt;&gt;"",N($C31)&lt;C$6)),0,MAX(L31*C$8*1000*$E31,$D31))</f>
        <v>0</v>
      </c>
      <c r="D75" s="31" t="n">
        <f aca="false">IF(OR($A31="",AND($C31&lt;&gt;"",N($C31)&lt;D$6)),0,MAX(M31*D$8*1000*$E31,$D31))</f>
        <v>0</v>
      </c>
      <c r="E75" s="31" t="n">
        <f aca="false">IF(OR($A31="",AND($C31&lt;&gt;"",N($C31)&lt;B$6)),0,MAX(N31*B$8*1000*$E31,$D31))</f>
        <v>0</v>
      </c>
      <c r="F75" s="31" t="n">
        <f aca="false">IF(OR($A31="",AND($C31&lt;&gt;"",N($C31)&lt;C$6)),0,MAX(O31*C$8*1000*$E31,$D31))</f>
        <v>0</v>
      </c>
      <c r="G75" s="31" t="n">
        <f aca="false">IF(OR($A31="",AND($C31&lt;&gt;"",N($C31)&lt;D$6)),0,MAX(P31*D$8*1000*$E31,$D31))</f>
        <v>0</v>
      </c>
      <c r="H75" s="31" t="n">
        <f aca="false">IF(OR($A31="",AND($C31&lt;&gt;"",N($C31)&lt;B$6)),0,MAX(Q31*B$8*1000*$E31,$D31))</f>
        <v>0</v>
      </c>
      <c r="I75" s="31" t="n">
        <f aca="false">IF(OR($A31="",AND($C31&lt;&gt;"",N($C31)&lt;C$6)),0,MAX(R31*C$8*1000*$E31,$D31))</f>
        <v>0</v>
      </c>
      <c r="J75" s="31" t="n">
        <f aca="false">IF(OR($A31="",AND($C31&lt;&gt;"",N($C31)&lt;D$6)),0,MAX(S31*D$8*1000*$E31,$D31))</f>
        <v>0</v>
      </c>
    </row>
    <row r="76" customFormat="false" ht="15" hidden="false" customHeight="false" outlineLevel="0" collapsed="false">
      <c r="A76" s="3" t="str">
        <f aca="false">A32</f>
        <v/>
      </c>
      <c r="B76" s="31" t="n">
        <f aca="false">IF(OR($A32="",AND($C32&lt;&gt;"",N($C32)&lt;B$6)),0,MAX(K32*B$8*1000*$E32,$D32))</f>
        <v>0</v>
      </c>
      <c r="C76" s="31" t="n">
        <f aca="false">IF(OR($A32="",AND($C32&lt;&gt;"",N($C32)&lt;C$6)),0,MAX(L32*C$8*1000*$E32,$D32))</f>
        <v>0</v>
      </c>
      <c r="D76" s="31" t="n">
        <f aca="false">IF(OR($A32="",AND($C32&lt;&gt;"",N($C32)&lt;D$6)),0,MAX(M32*D$8*1000*$E32,$D32))</f>
        <v>0</v>
      </c>
      <c r="E76" s="31" t="n">
        <f aca="false">IF(OR($A32="",AND($C32&lt;&gt;"",N($C32)&lt;B$6)),0,MAX(N32*B$8*1000*$E32,$D32))</f>
        <v>0</v>
      </c>
      <c r="F76" s="31" t="n">
        <f aca="false">IF(OR($A32="",AND($C32&lt;&gt;"",N($C32)&lt;C$6)),0,MAX(O32*C$8*1000*$E32,$D32))</f>
        <v>0</v>
      </c>
      <c r="G76" s="31" t="n">
        <f aca="false">IF(OR($A32="",AND($C32&lt;&gt;"",N($C32)&lt;D$6)),0,MAX(P32*D$8*1000*$E32,$D32))</f>
        <v>0</v>
      </c>
      <c r="H76" s="31" t="n">
        <f aca="false">IF(OR($A32="",AND($C32&lt;&gt;"",N($C32)&lt;B$6)),0,MAX(Q32*B$8*1000*$E32,$D32))</f>
        <v>0</v>
      </c>
      <c r="I76" s="31" t="n">
        <f aca="false">IF(OR($A32="",AND($C32&lt;&gt;"",N($C32)&lt;C$6)),0,MAX(R32*C$8*1000*$E32,$D32))</f>
        <v>0</v>
      </c>
      <c r="J76" s="31" t="n">
        <f aca="false">IF(OR($A32="",AND($C32&lt;&gt;"",N($C32)&lt;D$6)),0,MAX(S32*D$8*1000*$E32,$D32))</f>
        <v>0</v>
      </c>
    </row>
    <row r="77" customFormat="false" ht="15" hidden="false" customHeight="false" outlineLevel="0" collapsed="false">
      <c r="A77" s="3" t="str">
        <f aca="false">A33</f>
        <v/>
      </c>
      <c r="B77" s="31" t="n">
        <f aca="false">IF(OR($A33="",AND($C33&lt;&gt;"",N($C33)&lt;B$6)),0,MAX(K33*B$8*1000*$E33,$D33))</f>
        <v>0</v>
      </c>
      <c r="C77" s="31" t="n">
        <f aca="false">IF(OR($A33="",AND($C33&lt;&gt;"",N($C33)&lt;C$6)),0,MAX(L33*C$8*1000*$E33,$D33))</f>
        <v>0</v>
      </c>
      <c r="D77" s="31" t="n">
        <f aca="false">IF(OR($A33="",AND($C33&lt;&gt;"",N($C33)&lt;D$6)),0,MAX(M33*D$8*1000*$E33,$D33))</f>
        <v>0</v>
      </c>
      <c r="E77" s="31" t="n">
        <f aca="false">IF(OR($A33="",AND($C33&lt;&gt;"",N($C33)&lt;B$6)),0,MAX(N33*B$8*1000*$E33,$D33))</f>
        <v>0</v>
      </c>
      <c r="F77" s="31" t="n">
        <f aca="false">IF(OR($A33="",AND($C33&lt;&gt;"",N($C33)&lt;C$6)),0,MAX(O33*C$8*1000*$E33,$D33))</f>
        <v>0</v>
      </c>
      <c r="G77" s="31" t="n">
        <f aca="false">IF(OR($A33="",AND($C33&lt;&gt;"",N($C33)&lt;D$6)),0,MAX(P33*D$8*1000*$E33,$D33))</f>
        <v>0</v>
      </c>
      <c r="H77" s="31" t="n">
        <f aca="false">IF(OR($A33="",AND($C33&lt;&gt;"",N($C33)&lt;B$6)),0,MAX(Q33*B$8*1000*$E33,$D33))</f>
        <v>0</v>
      </c>
      <c r="I77" s="31" t="n">
        <f aca="false">IF(OR($A33="",AND($C33&lt;&gt;"",N($C33)&lt;C$6)),0,MAX(R33*C$8*1000*$E33,$D33))</f>
        <v>0</v>
      </c>
      <c r="J77" s="31" t="n">
        <f aca="false">IF(OR($A33="",AND($C33&lt;&gt;"",N($C33)&lt;D$6)),0,MAX(S33*D$8*1000*$E33,$D33))</f>
        <v>0</v>
      </c>
    </row>
    <row r="78" customFormat="false" ht="15" hidden="false" customHeight="false" outlineLevel="0" collapsed="false">
      <c r="A78" s="3" t="str">
        <f aca="false">A34</f>
        <v/>
      </c>
      <c r="B78" s="31" t="n">
        <f aca="false">IF(OR($A34="",AND($C34&lt;&gt;"",N($C34)&lt;B$6)),0,MAX(K34*B$8*1000*$E34,$D34))</f>
        <v>0</v>
      </c>
      <c r="C78" s="31" t="n">
        <f aca="false">IF(OR($A34="",AND($C34&lt;&gt;"",N($C34)&lt;C$6)),0,MAX(L34*C$8*1000*$E34,$D34))</f>
        <v>0</v>
      </c>
      <c r="D78" s="31" t="n">
        <f aca="false">IF(OR($A34="",AND($C34&lt;&gt;"",N($C34)&lt;D$6)),0,MAX(M34*D$8*1000*$E34,$D34))</f>
        <v>0</v>
      </c>
      <c r="E78" s="31" t="n">
        <f aca="false">IF(OR($A34="",AND($C34&lt;&gt;"",N($C34)&lt;B$6)),0,MAX(N34*B$8*1000*$E34,$D34))</f>
        <v>0</v>
      </c>
      <c r="F78" s="31" t="n">
        <f aca="false">IF(OR($A34="",AND($C34&lt;&gt;"",N($C34)&lt;C$6)),0,MAX(O34*C$8*1000*$E34,$D34))</f>
        <v>0</v>
      </c>
      <c r="G78" s="31" t="n">
        <f aca="false">IF(OR($A34="",AND($C34&lt;&gt;"",N($C34)&lt;D$6)),0,MAX(P34*D$8*1000*$E34,$D34))</f>
        <v>0</v>
      </c>
      <c r="H78" s="31" t="n">
        <f aca="false">IF(OR($A34="",AND($C34&lt;&gt;"",N($C34)&lt;B$6)),0,MAX(Q34*B$8*1000*$E34,$D34))</f>
        <v>0</v>
      </c>
      <c r="I78" s="31" t="n">
        <f aca="false">IF(OR($A34="",AND($C34&lt;&gt;"",N($C34)&lt;C$6)),0,MAX(R34*C$8*1000*$E34,$D34))</f>
        <v>0</v>
      </c>
      <c r="J78" s="31" t="n">
        <f aca="false">IF(OR($A34="",AND($C34&lt;&gt;"",N($C34)&lt;D$6)),0,MAX(S34*D$8*1000*$E34,$D34))</f>
        <v>0</v>
      </c>
    </row>
    <row r="79" customFormat="false" ht="15" hidden="false" customHeight="false" outlineLevel="0" collapsed="false">
      <c r="A79" s="3" t="str">
        <f aca="false">A35</f>
        <v/>
      </c>
      <c r="B79" s="31" t="n">
        <f aca="false">IF(OR($A35="",AND($C35&lt;&gt;"",N($C35)&lt;B$6)),0,MAX(K35*B$8*1000*$E35,$D35))</f>
        <v>0</v>
      </c>
      <c r="C79" s="31" t="n">
        <f aca="false">IF(OR($A35="",AND($C35&lt;&gt;"",N($C35)&lt;C$6)),0,MAX(L35*C$8*1000*$E35,$D35))</f>
        <v>0</v>
      </c>
      <c r="D79" s="31" t="n">
        <f aca="false">IF(OR($A35="",AND($C35&lt;&gt;"",N($C35)&lt;D$6)),0,MAX(M35*D$8*1000*$E35,$D35))</f>
        <v>0</v>
      </c>
      <c r="E79" s="31" t="n">
        <f aca="false">IF(OR($A35="",AND($C35&lt;&gt;"",N($C35)&lt;B$6)),0,MAX(N35*B$8*1000*$E35,$D35))</f>
        <v>0</v>
      </c>
      <c r="F79" s="31" t="n">
        <f aca="false">IF(OR($A35="",AND($C35&lt;&gt;"",N($C35)&lt;C$6)),0,MAX(O35*C$8*1000*$E35,$D35))</f>
        <v>0</v>
      </c>
      <c r="G79" s="31" t="n">
        <f aca="false">IF(OR($A35="",AND($C35&lt;&gt;"",N($C35)&lt;D$6)),0,MAX(P35*D$8*1000*$E35,$D35))</f>
        <v>0</v>
      </c>
      <c r="H79" s="31" t="n">
        <f aca="false">IF(OR($A35="",AND($C35&lt;&gt;"",N($C35)&lt;B$6)),0,MAX(Q35*B$8*1000*$E35,$D35))</f>
        <v>0</v>
      </c>
      <c r="I79" s="31" t="n">
        <f aca="false">IF(OR($A35="",AND($C35&lt;&gt;"",N($C35)&lt;C$6)),0,MAX(R35*C$8*1000*$E35,$D35))</f>
        <v>0</v>
      </c>
      <c r="J79" s="31" t="n">
        <f aca="false">IF(OR($A35="",AND($C35&lt;&gt;"",N($C35)&lt;D$6)),0,MAX(S35*D$8*1000*$E35,$D35))</f>
        <v>0</v>
      </c>
    </row>
    <row r="80" customFormat="false" ht="15" hidden="false" customHeight="false" outlineLevel="0" collapsed="false">
      <c r="A80" s="3" t="str">
        <f aca="false">A36</f>
        <v/>
      </c>
      <c r="B80" s="31" t="n">
        <f aca="false">IF(OR($A36="",AND($C36&lt;&gt;"",N($C36)&lt;B$6)),0,MAX(K36*B$8*1000*$E36,$D36))</f>
        <v>0</v>
      </c>
      <c r="C80" s="31" t="n">
        <f aca="false">IF(OR($A36="",AND($C36&lt;&gt;"",N($C36)&lt;C$6)),0,MAX(L36*C$8*1000*$E36,$D36))</f>
        <v>0</v>
      </c>
      <c r="D80" s="31" t="n">
        <f aca="false">IF(OR($A36="",AND($C36&lt;&gt;"",N($C36)&lt;D$6)),0,MAX(M36*D$8*1000*$E36,$D36))</f>
        <v>0</v>
      </c>
      <c r="E80" s="31" t="n">
        <f aca="false">IF(OR($A36="",AND($C36&lt;&gt;"",N($C36)&lt;B$6)),0,MAX(N36*B$8*1000*$E36,$D36))</f>
        <v>0</v>
      </c>
      <c r="F80" s="31" t="n">
        <f aca="false">IF(OR($A36="",AND($C36&lt;&gt;"",N($C36)&lt;C$6)),0,MAX(O36*C$8*1000*$E36,$D36))</f>
        <v>0</v>
      </c>
      <c r="G80" s="31" t="n">
        <f aca="false">IF(OR($A36="",AND($C36&lt;&gt;"",N($C36)&lt;D$6)),0,MAX(P36*D$8*1000*$E36,$D36))</f>
        <v>0</v>
      </c>
      <c r="H80" s="31" t="n">
        <f aca="false">IF(OR($A36="",AND($C36&lt;&gt;"",N($C36)&lt;B$6)),0,MAX(Q36*B$8*1000*$E36,$D36))</f>
        <v>0</v>
      </c>
      <c r="I80" s="31" t="n">
        <f aca="false">IF(OR($A36="",AND($C36&lt;&gt;"",N($C36)&lt;C$6)),0,MAX(R36*C$8*1000*$E36,$D36))</f>
        <v>0</v>
      </c>
      <c r="J80" s="31" t="n">
        <f aca="false">IF(OR($A36="",AND($C36&lt;&gt;"",N($C36)&lt;D$6)),0,MAX(S36*D$8*1000*$E36,$D36))</f>
        <v>0</v>
      </c>
    </row>
    <row r="81" customFormat="false" ht="15" hidden="false" customHeight="false" outlineLevel="0" collapsed="false">
      <c r="A81" s="3" t="str">
        <f aca="false">A37</f>
        <v/>
      </c>
      <c r="B81" s="31" t="n">
        <f aca="false">IF(OR($A37="",AND($C37&lt;&gt;"",N($C37)&lt;B$6)),0,MAX(K37*B$8*1000*$E37,$D37))</f>
        <v>0</v>
      </c>
      <c r="C81" s="31" t="n">
        <f aca="false">IF(OR($A37="",AND($C37&lt;&gt;"",N($C37)&lt;C$6)),0,MAX(L37*C$8*1000*$E37,$D37))</f>
        <v>0</v>
      </c>
      <c r="D81" s="31" t="n">
        <f aca="false">IF(OR($A37="",AND($C37&lt;&gt;"",N($C37)&lt;D$6)),0,MAX(M37*D$8*1000*$E37,$D37))</f>
        <v>0</v>
      </c>
      <c r="E81" s="31" t="n">
        <f aca="false">IF(OR($A37="",AND($C37&lt;&gt;"",N($C37)&lt;B$6)),0,MAX(N37*B$8*1000*$E37,$D37))</f>
        <v>0</v>
      </c>
      <c r="F81" s="31" t="n">
        <f aca="false">IF(OR($A37="",AND($C37&lt;&gt;"",N($C37)&lt;C$6)),0,MAX(O37*C$8*1000*$E37,$D37))</f>
        <v>0</v>
      </c>
      <c r="G81" s="31" t="n">
        <f aca="false">IF(OR($A37="",AND($C37&lt;&gt;"",N($C37)&lt;D$6)),0,MAX(P37*D$8*1000*$E37,$D37))</f>
        <v>0</v>
      </c>
      <c r="H81" s="31" t="n">
        <f aca="false">IF(OR($A37="",AND($C37&lt;&gt;"",N($C37)&lt;B$6)),0,MAX(Q37*B$8*1000*$E37,$D37))</f>
        <v>0</v>
      </c>
      <c r="I81" s="31" t="n">
        <f aca="false">IF(OR($A37="",AND($C37&lt;&gt;"",N($C37)&lt;C$6)),0,MAX(R37*C$8*1000*$E37,$D37))</f>
        <v>0</v>
      </c>
      <c r="J81" s="31" t="n">
        <f aca="false">IF(OR($A37="",AND($C37&lt;&gt;"",N($C37)&lt;D$6)),0,MAX(S37*D$8*1000*$E37,$D37))</f>
        <v>0</v>
      </c>
    </row>
    <row r="82" customFormat="false" ht="15" hidden="false" customHeight="false" outlineLevel="0" collapsed="false">
      <c r="A82" s="3" t="str">
        <f aca="false">A38</f>
        <v/>
      </c>
      <c r="B82" s="31" t="n">
        <f aca="false">IF(OR($A38="",AND($C38&lt;&gt;"",N($C38)&lt;B$6)),0,MAX(K38*B$8*1000*$E38,$D38))</f>
        <v>0</v>
      </c>
      <c r="C82" s="31" t="n">
        <f aca="false">IF(OR($A38="",AND($C38&lt;&gt;"",N($C38)&lt;C$6)),0,MAX(L38*C$8*1000*$E38,$D38))</f>
        <v>0</v>
      </c>
      <c r="D82" s="31" t="n">
        <f aca="false">IF(OR($A38="",AND($C38&lt;&gt;"",N($C38)&lt;D$6)),0,MAX(M38*D$8*1000*$E38,$D38))</f>
        <v>0</v>
      </c>
      <c r="E82" s="31" t="n">
        <f aca="false">IF(OR($A38="",AND($C38&lt;&gt;"",N($C38)&lt;B$6)),0,MAX(N38*B$8*1000*$E38,$D38))</f>
        <v>0</v>
      </c>
      <c r="F82" s="31" t="n">
        <f aca="false">IF(OR($A38="",AND($C38&lt;&gt;"",N($C38)&lt;C$6)),0,MAX(O38*C$8*1000*$E38,$D38))</f>
        <v>0</v>
      </c>
      <c r="G82" s="31" t="n">
        <f aca="false">IF(OR($A38="",AND($C38&lt;&gt;"",N($C38)&lt;D$6)),0,MAX(P38*D$8*1000*$E38,$D38))</f>
        <v>0</v>
      </c>
      <c r="H82" s="31" t="n">
        <f aca="false">IF(OR($A38="",AND($C38&lt;&gt;"",N($C38)&lt;B$6)),0,MAX(Q38*B$8*1000*$E38,$D38))</f>
        <v>0</v>
      </c>
      <c r="I82" s="31" t="n">
        <f aca="false">IF(OR($A38="",AND($C38&lt;&gt;"",N($C38)&lt;C$6)),0,MAX(R38*C$8*1000*$E38,$D38))</f>
        <v>0</v>
      </c>
      <c r="J82" s="31" t="n">
        <f aca="false">IF(OR($A38="",AND($C38&lt;&gt;"",N($C38)&lt;D$6)),0,MAX(S38*D$8*1000*$E38,$D38))</f>
        <v>0</v>
      </c>
    </row>
    <row r="83" customFormat="false" ht="15" hidden="false" customHeight="false" outlineLevel="0" collapsed="false">
      <c r="A83" s="3" t="str">
        <f aca="false">A39</f>
        <v/>
      </c>
      <c r="B83" s="31" t="n">
        <f aca="false">IF(OR($A39="",AND($C39&lt;&gt;"",N($C39)&lt;B$6)),0,MAX(K39*B$8*1000*$E39,$D39))</f>
        <v>0</v>
      </c>
      <c r="C83" s="31" t="n">
        <f aca="false">IF(OR($A39="",AND($C39&lt;&gt;"",N($C39)&lt;C$6)),0,MAX(L39*C$8*1000*$E39,$D39))</f>
        <v>0</v>
      </c>
      <c r="D83" s="31" t="n">
        <f aca="false">IF(OR($A39="",AND($C39&lt;&gt;"",N($C39)&lt;D$6)),0,MAX(M39*D$8*1000*$E39,$D39))</f>
        <v>0</v>
      </c>
      <c r="E83" s="31" t="n">
        <f aca="false">IF(OR($A39="",AND($C39&lt;&gt;"",N($C39)&lt;B$6)),0,MAX(N39*B$8*1000*$E39,$D39))</f>
        <v>0</v>
      </c>
      <c r="F83" s="31" t="n">
        <f aca="false">IF(OR($A39="",AND($C39&lt;&gt;"",N($C39)&lt;C$6)),0,MAX(O39*C$8*1000*$E39,$D39))</f>
        <v>0</v>
      </c>
      <c r="G83" s="31" t="n">
        <f aca="false">IF(OR($A39="",AND($C39&lt;&gt;"",N($C39)&lt;D$6)),0,MAX(P39*D$8*1000*$E39,$D39))</f>
        <v>0</v>
      </c>
      <c r="H83" s="31" t="n">
        <f aca="false">IF(OR($A39="",AND($C39&lt;&gt;"",N($C39)&lt;B$6)),0,MAX(Q39*B$8*1000*$E39,$D39))</f>
        <v>0</v>
      </c>
      <c r="I83" s="31" t="n">
        <f aca="false">IF(OR($A39="",AND($C39&lt;&gt;"",N($C39)&lt;C$6)),0,MAX(R39*C$8*1000*$E39,$D39))</f>
        <v>0</v>
      </c>
      <c r="J83" s="31" t="n">
        <f aca="false">IF(OR($A39="",AND($C39&lt;&gt;"",N($C39)&lt;D$6)),0,MAX(S39*D$8*1000*$E39,$D39))</f>
        <v>0</v>
      </c>
    </row>
    <row r="84" customFormat="false" ht="15" hidden="false" customHeight="false" outlineLevel="0" collapsed="false">
      <c r="A84" s="3" t="str">
        <f aca="false">A40</f>
        <v/>
      </c>
      <c r="B84" s="31" t="n">
        <f aca="false">IF(OR($A40="",AND($C40&lt;&gt;"",N($C40)&lt;B$6)),0,MAX(K40*B$8*1000*$E40,$D40))</f>
        <v>0</v>
      </c>
      <c r="C84" s="31" t="n">
        <f aca="false">IF(OR($A40="",AND($C40&lt;&gt;"",N($C40)&lt;C$6)),0,MAX(L40*C$8*1000*$E40,$D40))</f>
        <v>0</v>
      </c>
      <c r="D84" s="31" t="n">
        <f aca="false">IF(OR($A40="",AND($C40&lt;&gt;"",N($C40)&lt;D$6)),0,MAX(M40*D$8*1000*$E40,$D40))</f>
        <v>0</v>
      </c>
      <c r="E84" s="31" t="n">
        <f aca="false">IF(OR($A40="",AND($C40&lt;&gt;"",N($C40)&lt;B$6)),0,MAX(N40*B$8*1000*$E40,$D40))</f>
        <v>0</v>
      </c>
      <c r="F84" s="31" t="n">
        <f aca="false">IF(OR($A40="",AND($C40&lt;&gt;"",N($C40)&lt;C$6)),0,MAX(O40*C$8*1000*$E40,$D40))</f>
        <v>0</v>
      </c>
      <c r="G84" s="31" t="n">
        <f aca="false">IF(OR($A40="",AND($C40&lt;&gt;"",N($C40)&lt;D$6)),0,MAX(P40*D$8*1000*$E40,$D40))</f>
        <v>0</v>
      </c>
      <c r="H84" s="31" t="n">
        <f aca="false">IF(OR($A40="",AND($C40&lt;&gt;"",N($C40)&lt;B$6)),0,MAX(Q40*B$8*1000*$E40,$D40))</f>
        <v>0</v>
      </c>
      <c r="I84" s="31" t="n">
        <f aca="false">IF(OR($A40="",AND($C40&lt;&gt;"",N($C40)&lt;C$6)),0,MAX(R40*C$8*1000*$E40,$D40))</f>
        <v>0</v>
      </c>
      <c r="J84" s="31" t="n">
        <f aca="false">IF(OR($A40="",AND($C40&lt;&gt;"",N($C40)&lt;D$6)),0,MAX(S40*D$8*1000*$E40,$D40))</f>
        <v>0</v>
      </c>
    </row>
    <row r="85" customFormat="false" ht="15" hidden="false" customHeight="false" outlineLevel="0" collapsed="false">
      <c r="A85" s="3" t="str">
        <f aca="false">A41</f>
        <v/>
      </c>
      <c r="B85" s="31" t="n">
        <f aca="false">IF(OR($A41="",AND($C41&lt;&gt;"",N($C41)&lt;B$6)),0,MAX(K41*B$8*1000*$E41,$D41))</f>
        <v>0</v>
      </c>
      <c r="C85" s="31" t="n">
        <f aca="false">IF(OR($A41="",AND($C41&lt;&gt;"",N($C41)&lt;C$6)),0,MAX(L41*C$8*1000*$E41,$D41))</f>
        <v>0</v>
      </c>
      <c r="D85" s="31" t="n">
        <f aca="false">IF(OR($A41="",AND($C41&lt;&gt;"",N($C41)&lt;D$6)),0,MAX(M41*D$8*1000*$E41,$D41))</f>
        <v>0</v>
      </c>
      <c r="E85" s="31" t="n">
        <f aca="false">IF(OR($A41="",AND($C41&lt;&gt;"",N($C41)&lt;B$6)),0,MAX(N41*B$8*1000*$E41,$D41))</f>
        <v>0</v>
      </c>
      <c r="F85" s="31" t="n">
        <f aca="false">IF(OR($A41="",AND($C41&lt;&gt;"",N($C41)&lt;C$6)),0,MAX(O41*C$8*1000*$E41,$D41))</f>
        <v>0</v>
      </c>
      <c r="G85" s="31" t="n">
        <f aca="false">IF(OR($A41="",AND($C41&lt;&gt;"",N($C41)&lt;D$6)),0,MAX(P41*D$8*1000*$E41,$D41))</f>
        <v>0</v>
      </c>
      <c r="H85" s="31" t="n">
        <f aca="false">IF(OR($A41="",AND($C41&lt;&gt;"",N($C41)&lt;B$6)),0,MAX(Q41*B$8*1000*$E41,$D41))</f>
        <v>0</v>
      </c>
      <c r="I85" s="31" t="n">
        <f aca="false">IF(OR($A41="",AND($C41&lt;&gt;"",N($C41)&lt;C$6)),0,MAX(R41*C$8*1000*$E41,$D41))</f>
        <v>0</v>
      </c>
      <c r="J85" s="31" t="n">
        <f aca="false">IF(OR($A41="",AND($C41&lt;&gt;"",N($C41)&lt;D$6)),0,MAX(S41*D$8*1000*$E41,$D41))</f>
        <v>0</v>
      </c>
    </row>
    <row r="86" customFormat="false" ht="15" hidden="false" customHeight="false" outlineLevel="0" collapsed="false">
      <c r="A86" s="3" t="str">
        <f aca="false">A42</f>
        <v/>
      </c>
      <c r="B86" s="31" t="n">
        <f aca="false">IF(OR($A42="",AND($C42&lt;&gt;"",N($C42)&lt;B$6)),0,MAX(K42*B$8*1000*$E42,$D42))</f>
        <v>0</v>
      </c>
      <c r="C86" s="31" t="n">
        <f aca="false">IF(OR($A42="",AND($C42&lt;&gt;"",N($C42)&lt;C$6)),0,MAX(L42*C$8*1000*$E42,$D42))</f>
        <v>0</v>
      </c>
      <c r="D86" s="31" t="n">
        <f aca="false">IF(OR($A42="",AND($C42&lt;&gt;"",N($C42)&lt;D$6)),0,MAX(M42*D$8*1000*$E42,$D42))</f>
        <v>0</v>
      </c>
      <c r="E86" s="31" t="n">
        <f aca="false">IF(OR($A42="",AND($C42&lt;&gt;"",N($C42)&lt;B$6)),0,MAX(N42*B$8*1000*$E42,$D42))</f>
        <v>0</v>
      </c>
      <c r="F86" s="31" t="n">
        <f aca="false">IF(OR($A42="",AND($C42&lt;&gt;"",N($C42)&lt;C$6)),0,MAX(O42*C$8*1000*$E42,$D42))</f>
        <v>0</v>
      </c>
      <c r="G86" s="31" t="n">
        <f aca="false">IF(OR($A42="",AND($C42&lt;&gt;"",N($C42)&lt;D$6)),0,MAX(P42*D$8*1000*$E42,$D42))</f>
        <v>0</v>
      </c>
      <c r="H86" s="31" t="n">
        <f aca="false">IF(OR($A42="",AND($C42&lt;&gt;"",N($C42)&lt;B$6)),0,MAX(Q42*B$8*1000*$E42,$D42))</f>
        <v>0</v>
      </c>
      <c r="I86" s="31" t="n">
        <f aca="false">IF(OR($A42="",AND($C42&lt;&gt;"",N($C42)&lt;C$6)),0,MAX(R42*C$8*1000*$E42,$D42))</f>
        <v>0</v>
      </c>
      <c r="J86" s="31" t="n">
        <f aca="false">IF(OR($A42="",AND($C42&lt;&gt;"",N($C42)&lt;D$6)),0,MAX(S42*D$8*1000*$E42,$D42))</f>
        <v>0</v>
      </c>
    </row>
    <row r="87" customFormat="false" ht="15" hidden="false" customHeight="false" outlineLevel="0" collapsed="false">
      <c r="A87" s="3" t="str">
        <f aca="false">A43</f>
        <v/>
      </c>
      <c r="B87" s="31" t="n">
        <f aca="false">IF(OR($A43="",AND($C43&lt;&gt;"",N($C43)&lt;B$6)),0,MAX(K43*B$8*1000*$E43,$D43))</f>
        <v>0</v>
      </c>
      <c r="C87" s="31" t="n">
        <f aca="false">IF(OR($A43="",AND($C43&lt;&gt;"",N($C43)&lt;C$6)),0,MAX(L43*C$8*1000*$E43,$D43))</f>
        <v>0</v>
      </c>
      <c r="D87" s="31" t="n">
        <f aca="false">IF(OR($A43="",AND($C43&lt;&gt;"",N($C43)&lt;D$6)),0,MAX(M43*D$8*1000*$E43,$D43))</f>
        <v>0</v>
      </c>
      <c r="E87" s="31" t="n">
        <f aca="false">IF(OR($A43="",AND($C43&lt;&gt;"",N($C43)&lt;B$6)),0,MAX(N43*B$8*1000*$E43,$D43))</f>
        <v>0</v>
      </c>
      <c r="F87" s="31" t="n">
        <f aca="false">IF(OR($A43="",AND($C43&lt;&gt;"",N($C43)&lt;C$6)),0,MAX(O43*C$8*1000*$E43,$D43))</f>
        <v>0</v>
      </c>
      <c r="G87" s="31" t="n">
        <f aca="false">IF(OR($A43="",AND($C43&lt;&gt;"",N($C43)&lt;D$6)),0,MAX(P43*D$8*1000*$E43,$D43))</f>
        <v>0</v>
      </c>
      <c r="H87" s="31" t="n">
        <f aca="false">IF(OR($A43="",AND($C43&lt;&gt;"",N($C43)&lt;B$6)),0,MAX(Q43*B$8*1000*$E43,$D43))</f>
        <v>0</v>
      </c>
      <c r="I87" s="31" t="n">
        <f aca="false">IF(OR($A43="",AND($C43&lt;&gt;"",N($C43)&lt;C$6)),0,MAX(R43*C$8*1000*$E43,$D43))</f>
        <v>0</v>
      </c>
      <c r="J87" s="31" t="n">
        <f aca="false">IF(OR($A43="",AND($C43&lt;&gt;"",N($C43)&lt;D$6)),0,MAX(S43*D$8*1000*$E43,$D43))</f>
        <v>0</v>
      </c>
    </row>
    <row r="88" customFormat="false" ht="15" hidden="false" customHeight="false" outlineLevel="0" collapsed="false">
      <c r="A88" s="3" t="str">
        <f aca="false">A44</f>
        <v/>
      </c>
      <c r="B88" s="31" t="n">
        <f aca="false">IF(OR($A44="",AND($C44&lt;&gt;"",N($C44)&lt;B$6)),0,MAX(K44*B$8*1000*$E44,$D44))</f>
        <v>0</v>
      </c>
      <c r="C88" s="31" t="n">
        <f aca="false">IF(OR($A44="",AND($C44&lt;&gt;"",N($C44)&lt;C$6)),0,MAX(L44*C$8*1000*$E44,$D44))</f>
        <v>0</v>
      </c>
      <c r="D88" s="31" t="n">
        <f aca="false">IF(OR($A44="",AND($C44&lt;&gt;"",N($C44)&lt;D$6)),0,MAX(M44*D$8*1000*$E44,$D44))</f>
        <v>0</v>
      </c>
      <c r="E88" s="31" t="n">
        <f aca="false">IF(OR($A44="",AND($C44&lt;&gt;"",N($C44)&lt;B$6)),0,MAX(N44*B$8*1000*$E44,$D44))</f>
        <v>0</v>
      </c>
      <c r="F88" s="31" t="n">
        <f aca="false">IF(OR($A44="",AND($C44&lt;&gt;"",N($C44)&lt;C$6)),0,MAX(O44*C$8*1000*$E44,$D44))</f>
        <v>0</v>
      </c>
      <c r="G88" s="31" t="n">
        <f aca="false">IF(OR($A44="",AND($C44&lt;&gt;"",N($C44)&lt;D$6)),0,MAX(P44*D$8*1000*$E44,$D44))</f>
        <v>0</v>
      </c>
      <c r="H88" s="31" t="n">
        <f aca="false">IF(OR($A44="",AND($C44&lt;&gt;"",N($C44)&lt;B$6)),0,MAX(Q44*B$8*1000*$E44,$D44))</f>
        <v>0</v>
      </c>
      <c r="I88" s="31" t="n">
        <f aca="false">IF(OR($A44="",AND($C44&lt;&gt;"",N($C44)&lt;C$6)),0,MAX(R44*C$8*1000*$E44,$D44))</f>
        <v>0</v>
      </c>
      <c r="J88" s="31" t="n">
        <f aca="false">IF(OR($A44="",AND($C44&lt;&gt;"",N($C44)&lt;D$6)),0,MAX(S44*D$8*1000*$E44,$D44))</f>
        <v>0</v>
      </c>
    </row>
    <row r="89" customFormat="false" ht="15" hidden="false" customHeight="false" outlineLevel="0" collapsed="false">
      <c r="A89" s="3" t="str">
        <f aca="false">A45</f>
        <v/>
      </c>
      <c r="B89" s="31" t="n">
        <f aca="false">IF(OR($A45="",AND($C45&lt;&gt;"",N($C45)&lt;B$6)),0,MAX(K45*B$8*1000*$E45,$D45))</f>
        <v>0</v>
      </c>
      <c r="C89" s="31" t="n">
        <f aca="false">IF(OR($A45="",AND($C45&lt;&gt;"",N($C45)&lt;C$6)),0,MAX(L45*C$8*1000*$E45,$D45))</f>
        <v>0</v>
      </c>
      <c r="D89" s="31" t="n">
        <f aca="false">IF(OR($A45="",AND($C45&lt;&gt;"",N($C45)&lt;D$6)),0,MAX(M45*D$8*1000*$E45,$D45))</f>
        <v>0</v>
      </c>
      <c r="E89" s="31" t="n">
        <f aca="false">IF(OR($A45="",AND($C45&lt;&gt;"",N($C45)&lt;B$6)),0,MAX(N45*B$8*1000*$E45,$D45))</f>
        <v>0</v>
      </c>
      <c r="F89" s="31" t="n">
        <f aca="false">IF(OR($A45="",AND($C45&lt;&gt;"",N($C45)&lt;C$6)),0,MAX(O45*C$8*1000*$E45,$D45))</f>
        <v>0</v>
      </c>
      <c r="G89" s="31" t="n">
        <f aca="false">IF(OR($A45="",AND($C45&lt;&gt;"",N($C45)&lt;D$6)),0,MAX(P45*D$8*1000*$E45,$D45))</f>
        <v>0</v>
      </c>
      <c r="H89" s="31" t="n">
        <f aca="false">IF(OR($A45="",AND($C45&lt;&gt;"",N($C45)&lt;B$6)),0,MAX(Q45*B$8*1000*$E45,$D45))</f>
        <v>0</v>
      </c>
      <c r="I89" s="31" t="n">
        <f aca="false">IF(OR($A45="",AND($C45&lt;&gt;"",N($C45)&lt;C$6)),0,MAX(R45*C$8*1000*$E45,$D45))</f>
        <v>0</v>
      </c>
      <c r="J89" s="31" t="n">
        <f aca="false">IF(OR($A45="",AND($C45&lt;&gt;"",N($C45)&lt;D$6)),0,MAX(S45*D$8*1000*$E45,$D45))</f>
        <v>0</v>
      </c>
    </row>
    <row r="90" customFormat="false" ht="15" hidden="false" customHeight="false" outlineLevel="0" collapsed="false">
      <c r="A90" s="3" t="str">
        <f aca="false">A46</f>
        <v/>
      </c>
      <c r="B90" s="31" t="n">
        <f aca="false">IF(OR($A46="",AND($C46&lt;&gt;"",N($C46)&lt;B$6)),0,MAX(K46*B$8*1000*$E46,$D46))</f>
        <v>0</v>
      </c>
      <c r="C90" s="31" t="n">
        <f aca="false">IF(OR($A46="",AND($C46&lt;&gt;"",N($C46)&lt;C$6)),0,MAX(L46*C$8*1000*$E46,$D46))</f>
        <v>0</v>
      </c>
      <c r="D90" s="31" t="n">
        <f aca="false">IF(OR($A46="",AND($C46&lt;&gt;"",N($C46)&lt;D$6)),0,MAX(M46*D$8*1000*$E46,$D46))</f>
        <v>0</v>
      </c>
      <c r="E90" s="31" t="n">
        <f aca="false">IF(OR($A46="",AND($C46&lt;&gt;"",N($C46)&lt;B$6)),0,MAX(N46*B$8*1000*$E46,$D46))</f>
        <v>0</v>
      </c>
      <c r="F90" s="31" t="n">
        <f aca="false">IF(OR($A46="",AND($C46&lt;&gt;"",N($C46)&lt;C$6)),0,MAX(O46*C$8*1000*$E46,$D46))</f>
        <v>0</v>
      </c>
      <c r="G90" s="31" t="n">
        <f aca="false">IF(OR($A46="",AND($C46&lt;&gt;"",N($C46)&lt;D$6)),0,MAX(P46*D$8*1000*$E46,$D46))</f>
        <v>0</v>
      </c>
      <c r="H90" s="31" t="n">
        <f aca="false">IF(OR($A46="",AND($C46&lt;&gt;"",N($C46)&lt;B$6)),0,MAX(Q46*B$8*1000*$E46,$D46))</f>
        <v>0</v>
      </c>
      <c r="I90" s="31" t="n">
        <f aca="false">IF(OR($A46="",AND($C46&lt;&gt;"",N($C46)&lt;C$6)),0,MAX(R46*C$8*1000*$E46,$D46))</f>
        <v>0</v>
      </c>
      <c r="J90" s="31" t="n">
        <f aca="false">IF(OR($A46="",AND($C46&lt;&gt;"",N($C46)&lt;D$6)),0,MAX(S46*D$8*1000*$E46,$D46))</f>
        <v>0</v>
      </c>
    </row>
    <row r="91" customFormat="false" ht="15" hidden="false" customHeight="false" outlineLevel="0" collapsed="false">
      <c r="A91" s="3" t="str">
        <f aca="false">A47</f>
        <v/>
      </c>
      <c r="B91" s="31" t="n">
        <f aca="false">IF(OR($A47="",AND($C47&lt;&gt;"",N($C47)&lt;B$6)),0,MAX(K47*B$8*1000*$E47,$D47))</f>
        <v>0</v>
      </c>
      <c r="C91" s="31" t="n">
        <f aca="false">IF(OR($A47="",AND($C47&lt;&gt;"",N($C47)&lt;C$6)),0,MAX(L47*C$8*1000*$E47,$D47))</f>
        <v>0</v>
      </c>
      <c r="D91" s="31" t="n">
        <f aca="false">IF(OR($A47="",AND($C47&lt;&gt;"",N($C47)&lt;D$6)),0,MAX(M47*D$8*1000*$E47,$D47))</f>
        <v>0</v>
      </c>
      <c r="E91" s="31" t="n">
        <f aca="false">IF(OR($A47="",AND($C47&lt;&gt;"",N($C47)&lt;B$6)),0,MAX(N47*B$8*1000*$E47,$D47))</f>
        <v>0</v>
      </c>
      <c r="F91" s="31" t="n">
        <f aca="false">IF(OR($A47="",AND($C47&lt;&gt;"",N($C47)&lt;C$6)),0,MAX(O47*C$8*1000*$E47,$D47))</f>
        <v>0</v>
      </c>
      <c r="G91" s="31" t="n">
        <f aca="false">IF(OR($A47="",AND($C47&lt;&gt;"",N($C47)&lt;D$6)),0,MAX(P47*D$8*1000*$E47,$D47))</f>
        <v>0</v>
      </c>
      <c r="H91" s="31" t="n">
        <f aca="false">IF(OR($A47="",AND($C47&lt;&gt;"",N($C47)&lt;B$6)),0,MAX(Q47*B$8*1000*$E47,$D47))</f>
        <v>0</v>
      </c>
      <c r="I91" s="31" t="n">
        <f aca="false">IF(OR($A47="",AND($C47&lt;&gt;"",N($C47)&lt;C$6)),0,MAX(R47*C$8*1000*$E47,$D47))</f>
        <v>0</v>
      </c>
      <c r="J91" s="31" t="n">
        <f aca="false">IF(OR($A47="",AND($C47&lt;&gt;"",N($C47)&lt;D$6)),0,MAX(S47*D$8*1000*$E47,$D47))</f>
        <v>0</v>
      </c>
    </row>
    <row r="92" customFormat="false" ht="15" hidden="false" customHeight="false" outlineLevel="0" collapsed="false">
      <c r="A92" s="3" t="str">
        <f aca="false">A48</f>
        <v/>
      </c>
      <c r="B92" s="31" t="n">
        <f aca="false">IF(OR($A48="",AND($C48&lt;&gt;"",N($C48)&lt;B$6)),0,MAX(K48*B$8*1000*$E48,$D48))</f>
        <v>0</v>
      </c>
      <c r="C92" s="31" t="n">
        <f aca="false">IF(OR($A48="",AND($C48&lt;&gt;"",N($C48)&lt;C$6)),0,MAX(L48*C$8*1000*$E48,$D48))</f>
        <v>0</v>
      </c>
      <c r="D92" s="31" t="n">
        <f aca="false">IF(OR($A48="",AND($C48&lt;&gt;"",N($C48)&lt;D$6)),0,MAX(M48*D$8*1000*$E48,$D48))</f>
        <v>0</v>
      </c>
      <c r="E92" s="31" t="n">
        <f aca="false">IF(OR($A48="",AND($C48&lt;&gt;"",N($C48)&lt;B$6)),0,MAX(N48*B$8*1000*$E48,$D48))</f>
        <v>0</v>
      </c>
      <c r="F92" s="31" t="n">
        <f aca="false">IF(OR($A48="",AND($C48&lt;&gt;"",N($C48)&lt;C$6)),0,MAX(O48*C$8*1000*$E48,$D48))</f>
        <v>0</v>
      </c>
      <c r="G92" s="31" t="n">
        <f aca="false">IF(OR($A48="",AND($C48&lt;&gt;"",N($C48)&lt;D$6)),0,MAX(P48*D$8*1000*$E48,$D48))</f>
        <v>0</v>
      </c>
      <c r="H92" s="31" t="n">
        <f aca="false">IF(OR($A48="",AND($C48&lt;&gt;"",N($C48)&lt;B$6)),0,MAX(Q48*B$8*1000*$E48,$D48))</f>
        <v>0</v>
      </c>
      <c r="I92" s="31" t="n">
        <f aca="false">IF(OR($A48="",AND($C48&lt;&gt;"",N($C48)&lt;C$6)),0,MAX(R48*C$8*1000*$E48,$D48))</f>
        <v>0</v>
      </c>
      <c r="J92" s="31" t="n">
        <f aca="false">IF(OR($A48="",AND($C48&lt;&gt;"",N($C48)&lt;D$6)),0,MAX(S48*D$8*1000*$E48,$D48))</f>
        <v>0</v>
      </c>
    </row>
    <row r="93" customFormat="false" ht="15" hidden="false" customHeight="false" outlineLevel="0" collapsed="false">
      <c r="A93" s="3" t="str">
        <f aca="false">A49</f>
        <v/>
      </c>
      <c r="B93" s="31" t="n">
        <f aca="false">IF(OR($A49="",AND($C49&lt;&gt;"",N($C49)&lt;B$6)),0,MAX(K49*B$8*1000*$E49,$D49))</f>
        <v>0</v>
      </c>
      <c r="C93" s="31" t="n">
        <f aca="false">IF(OR($A49="",AND($C49&lt;&gt;"",N($C49)&lt;C$6)),0,MAX(L49*C$8*1000*$E49,$D49))</f>
        <v>0</v>
      </c>
      <c r="D93" s="31" t="n">
        <f aca="false">IF(OR($A49="",AND($C49&lt;&gt;"",N($C49)&lt;D$6)),0,MAX(M49*D$8*1000*$E49,$D49))</f>
        <v>0</v>
      </c>
      <c r="E93" s="31" t="n">
        <f aca="false">IF(OR($A49="",AND($C49&lt;&gt;"",N($C49)&lt;B$6)),0,MAX(N49*B$8*1000*$E49,$D49))</f>
        <v>0</v>
      </c>
      <c r="F93" s="31" t="n">
        <f aca="false">IF(OR($A49="",AND($C49&lt;&gt;"",N($C49)&lt;C$6)),0,MAX(O49*C$8*1000*$E49,$D49))</f>
        <v>0</v>
      </c>
      <c r="G93" s="31" t="n">
        <f aca="false">IF(OR($A49="",AND($C49&lt;&gt;"",N($C49)&lt;D$6)),0,MAX(P49*D$8*1000*$E49,$D49))</f>
        <v>0</v>
      </c>
      <c r="H93" s="31" t="n">
        <f aca="false">IF(OR($A49="",AND($C49&lt;&gt;"",N($C49)&lt;B$6)),0,MAX(Q49*B$8*1000*$E49,$D49))</f>
        <v>0</v>
      </c>
      <c r="I93" s="31" t="n">
        <f aca="false">IF(OR($A49="",AND($C49&lt;&gt;"",N($C49)&lt;C$6)),0,MAX(R49*C$8*1000*$E49,$D49))</f>
        <v>0</v>
      </c>
      <c r="J93" s="31" t="n">
        <f aca="false">IF(OR($A49="",AND($C49&lt;&gt;"",N($C49)&lt;D$6)),0,MAX(S49*D$8*1000*$E49,$D49))</f>
        <v>0</v>
      </c>
    </row>
    <row r="94" customFormat="false" ht="15" hidden="false" customHeight="false" outlineLevel="0" collapsed="false">
      <c r="A94" s="3" t="str">
        <f aca="false">A50</f>
        <v/>
      </c>
      <c r="B94" s="31" t="n">
        <f aca="false">IF(OR($A50="",AND($C50&lt;&gt;"",N($C50)&lt;B$6)),0,MAX(K50*B$8*1000*$E50,$D50))</f>
        <v>0</v>
      </c>
      <c r="C94" s="31" t="n">
        <f aca="false">IF(OR($A50="",AND($C50&lt;&gt;"",N($C50)&lt;C$6)),0,MAX(L50*C$8*1000*$E50,$D50))</f>
        <v>0</v>
      </c>
      <c r="D94" s="31" t="n">
        <f aca="false">IF(OR($A50="",AND($C50&lt;&gt;"",N($C50)&lt;D$6)),0,MAX(M50*D$8*1000*$E50,$D50))</f>
        <v>0</v>
      </c>
      <c r="E94" s="31" t="n">
        <f aca="false">IF(OR($A50="",AND($C50&lt;&gt;"",N($C50)&lt;B$6)),0,MAX(N50*B$8*1000*$E50,$D50))</f>
        <v>0</v>
      </c>
      <c r="F94" s="31" t="n">
        <f aca="false">IF(OR($A50="",AND($C50&lt;&gt;"",N($C50)&lt;C$6)),0,MAX(O50*C$8*1000*$E50,$D50))</f>
        <v>0</v>
      </c>
      <c r="G94" s="31" t="n">
        <f aca="false">IF(OR($A50="",AND($C50&lt;&gt;"",N($C50)&lt;D$6)),0,MAX(P50*D$8*1000*$E50,$D50))</f>
        <v>0</v>
      </c>
      <c r="H94" s="31" t="n">
        <f aca="false">IF(OR($A50="",AND($C50&lt;&gt;"",N($C50)&lt;B$6)),0,MAX(Q50*B$8*1000*$E50,$D50))</f>
        <v>0</v>
      </c>
      <c r="I94" s="31" t="n">
        <f aca="false">IF(OR($A50="",AND($C50&lt;&gt;"",N($C50)&lt;C$6)),0,MAX(R50*C$8*1000*$E50,$D50))</f>
        <v>0</v>
      </c>
      <c r="J94" s="31" t="n">
        <f aca="false">IF(OR($A50="",AND($C50&lt;&gt;"",N($C50)&lt;D$6)),0,MAX(S50*D$8*1000*$E50,$D50))</f>
        <v>0</v>
      </c>
    </row>
    <row r="95" customFormat="false" ht="15" hidden="false" customHeight="false" outlineLevel="0" collapsed="false">
      <c r="A95" s="3" t="str">
        <f aca="false">A51</f>
        <v/>
      </c>
      <c r="B95" s="31" t="n">
        <f aca="false">IF(OR($A51="",AND($C51&lt;&gt;"",N($C51)&lt;B$6)),0,MAX(K51*B$8*1000*$E51,$D51))</f>
        <v>0</v>
      </c>
      <c r="C95" s="31" t="n">
        <f aca="false">IF(OR($A51="",AND($C51&lt;&gt;"",N($C51)&lt;C$6)),0,MAX(L51*C$8*1000*$E51,$D51))</f>
        <v>0</v>
      </c>
      <c r="D95" s="31" t="n">
        <f aca="false">IF(OR($A51="",AND($C51&lt;&gt;"",N($C51)&lt;D$6)),0,MAX(M51*D$8*1000*$E51,$D51))</f>
        <v>0</v>
      </c>
      <c r="E95" s="31" t="n">
        <f aca="false">IF(OR($A51="",AND($C51&lt;&gt;"",N($C51)&lt;B$6)),0,MAX(N51*B$8*1000*$E51,$D51))</f>
        <v>0</v>
      </c>
      <c r="F95" s="31" t="n">
        <f aca="false">IF(OR($A51="",AND($C51&lt;&gt;"",N($C51)&lt;C$6)),0,MAX(O51*C$8*1000*$E51,$D51))</f>
        <v>0</v>
      </c>
      <c r="G95" s="31" t="n">
        <f aca="false">IF(OR($A51="",AND($C51&lt;&gt;"",N($C51)&lt;D$6)),0,MAX(P51*D$8*1000*$E51,$D51))</f>
        <v>0</v>
      </c>
      <c r="H95" s="31" t="n">
        <f aca="false">IF(OR($A51="",AND($C51&lt;&gt;"",N($C51)&lt;B$6)),0,MAX(Q51*B$8*1000*$E51,$D51))</f>
        <v>0</v>
      </c>
      <c r="I95" s="31" t="n">
        <f aca="false">IF(OR($A51="",AND($C51&lt;&gt;"",N($C51)&lt;C$6)),0,MAX(R51*C$8*1000*$E51,$D51))</f>
        <v>0</v>
      </c>
      <c r="J95" s="31" t="n">
        <f aca="false">IF(OR($A51="",AND($C51&lt;&gt;"",N($C51)&lt;D$6)),0,MAX(S51*D$8*1000*$E51,$D51))</f>
        <v>0</v>
      </c>
    </row>
    <row r="96" customFormat="false" ht="15" hidden="false" customHeight="false" outlineLevel="0" collapsed="false">
      <c r="A96" s="3" t="str">
        <f aca="false">A52</f>
        <v/>
      </c>
      <c r="B96" s="31" t="n">
        <f aca="false">IF(OR($A52="",AND($C52&lt;&gt;"",N($C52)&lt;B$6)),0,MAX(K52*B$8*1000*$E52,$D52))</f>
        <v>0</v>
      </c>
      <c r="C96" s="31" t="n">
        <f aca="false">IF(OR($A52="",AND($C52&lt;&gt;"",N($C52)&lt;C$6)),0,MAX(L52*C$8*1000*$E52,$D52))</f>
        <v>0</v>
      </c>
      <c r="D96" s="31" t="n">
        <f aca="false">IF(OR($A52="",AND($C52&lt;&gt;"",N($C52)&lt;D$6)),0,MAX(M52*D$8*1000*$E52,$D52))</f>
        <v>0</v>
      </c>
      <c r="E96" s="31" t="n">
        <f aca="false">IF(OR($A52="",AND($C52&lt;&gt;"",N($C52)&lt;B$6)),0,MAX(N52*B$8*1000*$E52,$D52))</f>
        <v>0</v>
      </c>
      <c r="F96" s="31" t="n">
        <f aca="false">IF(OR($A52="",AND($C52&lt;&gt;"",N($C52)&lt;C$6)),0,MAX(O52*C$8*1000*$E52,$D52))</f>
        <v>0</v>
      </c>
      <c r="G96" s="31" t="n">
        <f aca="false">IF(OR($A52="",AND($C52&lt;&gt;"",N($C52)&lt;D$6)),0,MAX(P52*D$8*1000*$E52,$D52))</f>
        <v>0</v>
      </c>
      <c r="H96" s="31" t="n">
        <f aca="false">IF(OR($A52="",AND($C52&lt;&gt;"",N($C52)&lt;B$6)),0,MAX(Q52*B$8*1000*$E52,$D52))</f>
        <v>0</v>
      </c>
      <c r="I96" s="31" t="n">
        <f aca="false">IF(OR($A52="",AND($C52&lt;&gt;"",N($C52)&lt;C$6)),0,MAX(R52*C$8*1000*$E52,$D52))</f>
        <v>0</v>
      </c>
      <c r="J96" s="31" t="n">
        <f aca="false">IF(OR($A52="",AND($C52&lt;&gt;"",N($C52)&lt;D$6)),0,MAX(S52*D$8*1000*$E52,$D52))</f>
        <v>0</v>
      </c>
    </row>
    <row r="97" customFormat="false" ht="15" hidden="false" customHeight="false" outlineLevel="0" collapsed="false">
      <c r="A97" s="2" t="s">
        <v>87</v>
      </c>
      <c r="B97" s="32" t="n">
        <f aca="false">SUM(B57:B96)</f>
        <v>204584.092416242</v>
      </c>
      <c r="C97" s="32" t="n">
        <f aca="false">SUM(C57:C96)</f>
        <v>199920.089435073</v>
      </c>
      <c r="D97" s="32" t="n">
        <f aca="false">SUM(D57:D96)</f>
        <v>204584.092416242</v>
      </c>
      <c r="E97" s="32" t="n">
        <f aca="false">SUM(E57:E96)</f>
        <v>209802.371767677</v>
      </c>
      <c r="F97" s="32" t="n">
        <f aca="false">SUM(F57:F96)</f>
        <v>209732.094592195</v>
      </c>
      <c r="G97" s="32" t="n">
        <f aca="false">SUM(G57:G96)</f>
        <v>221134.02601096</v>
      </c>
      <c r="H97" s="32" t="n">
        <f aca="false">SUM(H57:H96)</f>
        <v>220732.874112377</v>
      </c>
      <c r="I97" s="32" t="n">
        <f aca="false">SUM(I57:I96)</f>
        <v>226305.13354188</v>
      </c>
      <c r="J97" s="32" t="n">
        <f aca="false">SUM(J57:J96)</f>
        <v>244781.222939539</v>
      </c>
    </row>
    <row r="99" customFormat="false" ht="15" hidden="false" customHeight="false" outlineLevel="0" collapsed="false">
      <c r="A99" s="2" t="s">
        <v>230</v>
      </c>
    </row>
    <row r="100" customFormat="false" ht="35.05" hidden="false" customHeight="false" outlineLevel="0" collapsed="false">
      <c r="A100" s="8" t="s">
        <v>122</v>
      </c>
      <c r="B100" s="8" t="s">
        <v>114</v>
      </c>
      <c r="C100" s="8" t="s">
        <v>124</v>
      </c>
      <c r="D100" s="8" t="s">
        <v>231</v>
      </c>
      <c r="E100" s="8" t="s">
        <v>126</v>
      </c>
      <c r="F100" s="8" t="s">
        <v>232</v>
      </c>
      <c r="G100" s="8" t="s">
        <v>118</v>
      </c>
      <c r="H100" s="8" t="s">
        <v>233</v>
      </c>
      <c r="I100" s="8" t="s">
        <v>234</v>
      </c>
      <c r="J100" s="8" t="s">
        <v>235</v>
      </c>
      <c r="K100" s="8" t="s">
        <v>236</v>
      </c>
      <c r="L100" s="8" t="s">
        <v>237</v>
      </c>
      <c r="M100" s="8" t="s">
        <v>238</v>
      </c>
      <c r="N100" s="8" t="s">
        <v>239</v>
      </c>
      <c r="O100" s="8" t="s">
        <v>240</v>
      </c>
      <c r="P100" s="8" t="s">
        <v>241</v>
      </c>
      <c r="Q100" s="8" t="s">
        <v>242</v>
      </c>
    </row>
    <row r="101" customFormat="false" ht="15" hidden="false" customHeight="false" outlineLevel="0" collapsed="false">
      <c r="A101" s="3" t="str">
        <f aca="false">IF(INDEX(Data_Pipeline!$A:$A,1+1)="","",INDEX(Data_Pipeline!$A:$A,1+1))</f>
        <v>D-101</v>
      </c>
      <c r="B101" s="3" t="str">
        <f aca="false">IF(INDEX(Data_Pipeline!$B:$B,1+1)="","",INDEX(Data_Pipeline!$B:$B,1+1))</f>
        <v>Vantage Health Claims</v>
      </c>
      <c r="C101" s="25" t="n">
        <f aca="false">IF($A101="",0,N(INDEX(Data_Pipeline!$D:$D,1+1)))</f>
        <v>0.7</v>
      </c>
      <c r="D101" s="31" t="n">
        <f aca="false">IF($A101="",0,N(INDEX(Data_Pipeline!$E:$E,1+1)))</f>
        <v>22500</v>
      </c>
      <c r="E101" s="30" t="n">
        <f aca="false">IF(INDEX(Data_Pipeline!$F:$F,1+1)="","",INDEX(Data_Pipeline!$F:$F,1+1))</f>
        <v>46461</v>
      </c>
      <c r="F101" s="25" t="n">
        <f aca="false">IF($A101="",0,N(INDEX(Data_Pipeline!$G:$G,1+1)))</f>
        <v>0.15</v>
      </c>
      <c r="G101" s="26" t="n">
        <f aca="false">$F$8*(1-F101)</f>
        <v>0.0357</v>
      </c>
      <c r="H101" s="29" t="n">
        <f aca="false">IF(G101=0,0,D101/G101/30.4/1000)</f>
        <v>20.7319770013268</v>
      </c>
      <c r="I101" s="25" t="n">
        <v>0</v>
      </c>
      <c r="J101" s="25" t="n">
        <f aca="false">C101</f>
        <v>0.7</v>
      </c>
      <c r="K101" s="25" t="n">
        <f aca="false">IF(C101&gt;=0.5,1,C101)</f>
        <v>1</v>
      </c>
      <c r="L101" s="23" t="n">
        <f aca="false">IF(OR($A101="",$E101=""),0,MAX(0,B$7-MAX($E101,B$6)+1))</f>
        <v>17</v>
      </c>
      <c r="M101" s="25" t="n">
        <f aca="false">IF(L101=0,0,MIN(1,0.1+0.9*((MAX($E101,B$6)+B$7)/2-$E101)/Forecast!$C$13))</f>
        <v>0.22</v>
      </c>
      <c r="N101" s="23" t="n">
        <f aca="false">IF(OR($A101="",$E101=""),0,MAX(0,C$7-MAX($E101,C$6)+1))</f>
        <v>30</v>
      </c>
      <c r="O101" s="25" t="n">
        <f aca="false">IF(N101=0,0,MIN(1,0.1+0.9*((MAX($E101,C$6)+C$7)/2-$E101)/Forecast!$C$13))</f>
        <v>0.5725</v>
      </c>
      <c r="P101" s="23" t="n">
        <f aca="false">IF(OR($A101="",$E101=""),0,MAX(0,D$7-MAX($E101,D$6)+1))</f>
        <v>31</v>
      </c>
      <c r="Q101" s="25" t="n">
        <f aca="false">IF(P101=0,0,MIN(1,0.1+0.9*((MAX($E101,D$6)+D$7)/2-$E101)/Forecast!$C$13))</f>
        <v>1</v>
      </c>
    </row>
    <row r="102" customFormat="false" ht="15" hidden="false" customHeight="false" outlineLevel="0" collapsed="false">
      <c r="A102" s="3" t="str">
        <f aca="false">IF(INDEX(Data_Pipeline!$A:$A,2+1)="","",INDEX(Data_Pipeline!$A:$A,2+1))</f>
        <v>D-102</v>
      </c>
      <c r="B102" s="3" t="str">
        <f aca="false">IF(INDEX(Data_Pipeline!$B:$B,2+1)="","",INDEX(Data_Pipeline!$B:$B,2+1))</f>
        <v>Orbit Marketplace</v>
      </c>
      <c r="C102" s="25" t="n">
        <f aca="false">IF($A102="",0,N(INDEX(Data_Pipeline!$D:$D,2+1)))</f>
        <v>0.5</v>
      </c>
      <c r="D102" s="31" t="n">
        <f aca="false">IF($A102="",0,N(INDEX(Data_Pipeline!$E:$E,2+1)))</f>
        <v>15000</v>
      </c>
      <c r="E102" s="30" t="n">
        <f aca="false">IF(INDEX(Data_Pipeline!$F:$F,2+1)="","",INDEX(Data_Pipeline!$F:$F,2+1))</f>
        <v>46478</v>
      </c>
      <c r="F102" s="25" t="n">
        <f aca="false">IF($A102="",0,N(INDEX(Data_Pipeline!$G:$G,2+1)))</f>
        <v>0.15</v>
      </c>
      <c r="G102" s="26" t="n">
        <f aca="false">$F$8*(1-F102)</f>
        <v>0.0357</v>
      </c>
      <c r="H102" s="29" t="n">
        <f aca="false">IF(G102=0,0,D102/G102/30.4/1000)</f>
        <v>13.8213180008846</v>
      </c>
      <c r="I102" s="25" t="n">
        <v>0</v>
      </c>
      <c r="J102" s="25" t="n">
        <f aca="false">C102</f>
        <v>0.5</v>
      </c>
      <c r="K102" s="25" t="n">
        <f aca="false">IF(C102&gt;=0.5,1,C102)</f>
        <v>1</v>
      </c>
      <c r="L102" s="23" t="n">
        <f aca="false">IF(OR($A102="",$E102=""),0,MAX(0,B$7-MAX($E102,B$6)+1))</f>
        <v>0</v>
      </c>
      <c r="M102" s="25" t="n">
        <f aca="false">IF(L102=0,0,MIN(1,0.1+0.9*((MAX($E102,B$6)+B$7)/2-$E102)/Forecast!$C$13))</f>
        <v>0</v>
      </c>
      <c r="N102" s="23" t="n">
        <f aca="false">IF(OR($A102="",$E102=""),0,MAX(0,C$7-MAX($E102,C$6)+1))</f>
        <v>30</v>
      </c>
      <c r="O102" s="25" t="n">
        <f aca="false">IF(N102=0,0,MIN(1,0.1+0.9*((MAX($E102,C$6)+C$7)/2-$E102)/Forecast!$C$13))</f>
        <v>0.3175</v>
      </c>
      <c r="P102" s="23" t="n">
        <f aca="false">IF(OR($A102="",$E102=""),0,MAX(0,D$7-MAX($E102,D$6)+1))</f>
        <v>31</v>
      </c>
      <c r="Q102" s="25" t="n">
        <f aca="false">IF(P102=0,0,MIN(1,0.1+0.9*((MAX($E102,D$6)+D$7)/2-$E102)/Forecast!$C$13))</f>
        <v>0.775</v>
      </c>
    </row>
    <row r="103" customFormat="false" ht="15" hidden="false" customHeight="false" outlineLevel="0" collapsed="false">
      <c r="A103" s="3" t="str">
        <f aca="false">IF(INDEX(Data_Pipeline!$A:$A,3+1)="","",INDEX(Data_Pipeline!$A:$A,3+1))</f>
        <v>D-104</v>
      </c>
      <c r="B103" s="3" t="str">
        <f aca="false">IF(INDEX(Data_Pipeline!$B:$B,3+1)="","",INDEX(Data_Pipeline!$B:$B,3+1))</f>
        <v>Atlas Support Cloud</v>
      </c>
      <c r="C103" s="25" t="n">
        <f aca="false">IF($A103="",0,N(INDEX(Data_Pipeline!$D:$D,3+1)))</f>
        <v>0.3</v>
      </c>
      <c r="D103" s="31" t="n">
        <f aca="false">IF($A103="",0,N(INDEX(Data_Pipeline!$E:$E,3+1)))</f>
        <v>12500</v>
      </c>
      <c r="E103" s="30" t="n">
        <f aca="false">IF(INDEX(Data_Pipeline!$F:$F,3+1)="","",INDEX(Data_Pipeline!$F:$F,3+1))</f>
        <v>46492</v>
      </c>
      <c r="F103" s="25" t="n">
        <f aca="false">IF($A103="",0,N(INDEX(Data_Pipeline!$G:$G,3+1)))</f>
        <v>0.15</v>
      </c>
      <c r="G103" s="26" t="n">
        <f aca="false">$F$8*(1-F103)</f>
        <v>0.0357</v>
      </c>
      <c r="H103" s="29" t="n">
        <f aca="false">IF(G103=0,0,D103/G103/30.4/1000)</f>
        <v>11.5177650007371</v>
      </c>
      <c r="I103" s="25" t="n">
        <v>0</v>
      </c>
      <c r="J103" s="25" t="n">
        <f aca="false">C103</f>
        <v>0.3</v>
      </c>
      <c r="K103" s="25" t="n">
        <f aca="false">IF(C103&gt;=0.5,1,C103)</f>
        <v>0.3</v>
      </c>
      <c r="L103" s="23" t="n">
        <f aca="false">IF(OR($A103="",$E103=""),0,MAX(0,B$7-MAX($E103,B$6)+1))</f>
        <v>0</v>
      </c>
      <c r="M103" s="25" t="n">
        <f aca="false">IF(L103=0,0,MIN(1,0.1+0.9*((MAX($E103,B$6)+B$7)/2-$E103)/Forecast!$C$13))</f>
        <v>0</v>
      </c>
      <c r="N103" s="23" t="n">
        <f aca="false">IF(OR($A103="",$E103=""),0,MAX(0,C$7-MAX($E103,C$6)+1))</f>
        <v>16</v>
      </c>
      <c r="O103" s="25" t="n">
        <f aca="false">IF(N103=0,0,MIN(1,0.1+0.9*((MAX($E103,C$6)+C$7)/2-$E103)/Forecast!$C$13))</f>
        <v>0.2125</v>
      </c>
      <c r="P103" s="23" t="n">
        <f aca="false">IF(OR($A103="",$E103=""),0,MAX(0,D$7-MAX($E103,D$6)+1))</f>
        <v>31</v>
      </c>
      <c r="Q103" s="25" t="n">
        <f aca="false">IF(P103=0,0,MIN(1,0.1+0.9*((MAX($E103,D$6)+D$7)/2-$E103)/Forecast!$C$13))</f>
        <v>0.565</v>
      </c>
    </row>
    <row r="104" customFormat="false" ht="15" hidden="false" customHeight="false" outlineLevel="0" collapsed="false">
      <c r="A104" s="3" t="str">
        <f aca="false">IF(INDEX(Data_Pipeline!$A:$A,4+1)="","",INDEX(Data_Pipeline!$A:$A,4+1))</f>
        <v>D-103</v>
      </c>
      <c r="B104" s="3" t="str">
        <f aca="false">IF(INDEX(Data_Pipeline!$B:$B,4+1)="","",INDEX(Data_Pipeline!$B:$B,4+1))</f>
        <v>Helix Bank</v>
      </c>
      <c r="C104" s="25" t="n">
        <f aca="false">IF($A104="",0,N(INDEX(Data_Pipeline!$D:$D,4+1)))</f>
        <v>0.25</v>
      </c>
      <c r="D104" s="31" t="n">
        <f aca="false">IF($A104="",0,N(INDEX(Data_Pipeline!$E:$E,4+1)))</f>
        <v>45000</v>
      </c>
      <c r="E104" s="30" t="n">
        <f aca="false">IF(INDEX(Data_Pipeline!$F:$F,4+1)="","",INDEX(Data_Pipeline!$F:$F,4+1))</f>
        <v>46508</v>
      </c>
      <c r="F104" s="25" t="n">
        <f aca="false">IF($A104="",0,N(INDEX(Data_Pipeline!$G:$G,4+1)))</f>
        <v>0.15</v>
      </c>
      <c r="G104" s="26" t="n">
        <f aca="false">$F$8*(1-F104)</f>
        <v>0.0357</v>
      </c>
      <c r="H104" s="29" t="n">
        <f aca="false">IF(G104=0,0,D104/G104/30.4/1000)</f>
        <v>41.4639540026537</v>
      </c>
      <c r="I104" s="25" t="n">
        <v>0</v>
      </c>
      <c r="J104" s="25" t="n">
        <f aca="false">C104</f>
        <v>0.25</v>
      </c>
      <c r="K104" s="25" t="n">
        <f aca="false">IF(C104&gt;=0.5,1,C104)</f>
        <v>0.25</v>
      </c>
      <c r="L104" s="23" t="n">
        <f aca="false">IF(OR($A104="",$E104=""),0,MAX(0,B$7-MAX($E104,B$6)+1))</f>
        <v>0</v>
      </c>
      <c r="M104" s="25" t="n">
        <f aca="false">IF(L104=0,0,MIN(1,0.1+0.9*((MAX($E104,B$6)+B$7)/2-$E104)/Forecast!$C$13))</f>
        <v>0</v>
      </c>
      <c r="N104" s="23" t="n">
        <f aca="false">IF(OR($A104="",$E104=""),0,MAX(0,C$7-MAX($E104,C$6)+1))</f>
        <v>0</v>
      </c>
      <c r="O104" s="25" t="n">
        <f aca="false">IF(N104=0,0,MIN(1,0.1+0.9*((MAX($E104,C$6)+C$7)/2-$E104)/Forecast!$C$13))</f>
        <v>0</v>
      </c>
      <c r="P104" s="23" t="n">
        <f aca="false">IF(OR($A104="",$E104=""),0,MAX(0,D$7-MAX($E104,D$6)+1))</f>
        <v>31</v>
      </c>
      <c r="Q104" s="25" t="n">
        <f aca="false">IF(P104=0,0,MIN(1,0.1+0.9*((MAX($E104,D$6)+D$7)/2-$E104)/Forecast!$C$13))</f>
        <v>0.325</v>
      </c>
    </row>
    <row r="105" customFormat="false" ht="15" hidden="false" customHeight="false" outlineLevel="0" collapsed="false">
      <c r="A105" s="3" t="str">
        <f aca="false">IF(INDEX(Data_Pipeline!$A:$A,5+1)="","",INDEX(Data_Pipeline!$A:$A,5+1))</f>
        <v>D-105</v>
      </c>
      <c r="B105" s="3" t="str">
        <f aca="false">IF(INDEX(Data_Pipeline!$B:$B,5+1)="","",INDEX(Data_Pipeline!$B:$B,5+1))</f>
        <v>Kite Robotics</v>
      </c>
      <c r="C105" s="25" t="n">
        <f aca="false">IF($A105="",0,N(INDEX(Data_Pipeline!$D:$D,5+1)))</f>
        <v>0.1</v>
      </c>
      <c r="D105" s="31" t="n">
        <f aca="false">IF($A105="",0,N(INDEX(Data_Pipeline!$E:$E,5+1)))</f>
        <v>7500</v>
      </c>
      <c r="E105" s="30" t="n">
        <f aca="false">IF(INDEX(Data_Pipeline!$F:$F,5+1)="","",INDEX(Data_Pipeline!$F:$F,5+1))</f>
        <v>46522</v>
      </c>
      <c r="F105" s="25" t="n">
        <f aca="false">IF($A105="",0,N(INDEX(Data_Pipeline!$G:$G,5+1)))</f>
        <v>0.15</v>
      </c>
      <c r="G105" s="26" t="n">
        <f aca="false">$F$8*(1-F105)</f>
        <v>0.0357</v>
      </c>
      <c r="H105" s="29" t="n">
        <f aca="false">IF(G105=0,0,D105/G105/30.4/1000)</f>
        <v>6.91065900044228</v>
      </c>
      <c r="I105" s="25" t="n">
        <v>0</v>
      </c>
      <c r="J105" s="25" t="n">
        <f aca="false">C105</f>
        <v>0.1</v>
      </c>
      <c r="K105" s="25" t="n">
        <f aca="false">IF(C105&gt;=0.5,1,C105)</f>
        <v>0.1</v>
      </c>
      <c r="L105" s="23" t="n">
        <f aca="false">IF(OR($A105="",$E105=""),0,MAX(0,B$7-MAX($E105,B$6)+1))</f>
        <v>0</v>
      </c>
      <c r="M105" s="25" t="n">
        <f aca="false">IF(L105=0,0,MIN(1,0.1+0.9*((MAX($E105,B$6)+B$7)/2-$E105)/Forecast!$C$13))</f>
        <v>0</v>
      </c>
      <c r="N105" s="23" t="n">
        <f aca="false">IF(OR($A105="",$E105=""),0,MAX(0,C$7-MAX($E105,C$6)+1))</f>
        <v>0</v>
      </c>
      <c r="O105" s="25" t="n">
        <f aca="false">IF(N105=0,0,MIN(1,0.1+0.9*((MAX($E105,C$6)+C$7)/2-$E105)/Forecast!$C$13))</f>
        <v>0</v>
      </c>
      <c r="P105" s="23" t="n">
        <f aca="false">IF(OR($A105="",$E105=""),0,MAX(0,D$7-MAX($E105,D$6)+1))</f>
        <v>17</v>
      </c>
      <c r="Q105" s="25" t="n">
        <f aca="false">IF(P105=0,0,MIN(1,0.1+0.9*((MAX($E105,D$6)+D$7)/2-$E105)/Forecast!$C$13))</f>
        <v>0.22</v>
      </c>
    </row>
    <row r="106" customFormat="false" ht="15" hidden="false" customHeight="false" outlineLevel="0" collapsed="false">
      <c r="A106" s="3" t="str">
        <f aca="false">IF(INDEX(Data_Pipeline!$A:$A,6+1)="","",INDEX(Data_Pipeline!$A:$A,6+1))</f>
        <v/>
      </c>
      <c r="B106" s="3" t="str">
        <f aca="false">IF(INDEX(Data_Pipeline!$B:$B,6+1)="","",INDEX(Data_Pipeline!$B:$B,6+1))</f>
        <v/>
      </c>
      <c r="C106" s="25" t="n">
        <f aca="false">IF($A106="",0,N(INDEX(Data_Pipeline!$D:$D,6+1)))</f>
        <v>0</v>
      </c>
      <c r="D106" s="31" t="n">
        <f aca="false">IF($A106="",0,N(INDEX(Data_Pipeline!$E:$E,6+1)))</f>
        <v>0</v>
      </c>
      <c r="E106" s="30" t="str">
        <f aca="false">IF(INDEX(Data_Pipeline!$F:$F,6+1)="","",INDEX(Data_Pipeline!$F:$F,6+1))</f>
        <v/>
      </c>
      <c r="F106" s="25" t="n">
        <f aca="false">IF($A106="",0,N(INDEX(Data_Pipeline!$G:$G,6+1)))</f>
        <v>0</v>
      </c>
      <c r="G106" s="26" t="n">
        <f aca="false">$F$8*(1-F106)</f>
        <v>0.042</v>
      </c>
      <c r="H106" s="29" t="n">
        <f aca="false">IF(G106=0,0,D106/G106/30.4/1000)</f>
        <v>0</v>
      </c>
      <c r="I106" s="25" t="n">
        <v>0</v>
      </c>
      <c r="J106" s="25" t="n">
        <f aca="false">C106</f>
        <v>0</v>
      </c>
      <c r="K106" s="25" t="n">
        <f aca="false">IF(C106&gt;=0.5,1,C106)</f>
        <v>0</v>
      </c>
      <c r="L106" s="23" t="n">
        <f aca="false">IF(OR($A106="",$E106=""),0,MAX(0,B$7-MAX($E106,B$6)+1))</f>
        <v>0</v>
      </c>
      <c r="M106" s="25" t="n">
        <f aca="false">IF(L106=0,0,MIN(1,0.1+0.9*((MAX($E106,B$6)+B$7)/2-$E106)/Forecast!$C$13))</f>
        <v>0</v>
      </c>
      <c r="N106" s="23" t="n">
        <f aca="false">IF(OR($A106="",$E106=""),0,MAX(0,C$7-MAX($E106,C$6)+1))</f>
        <v>0</v>
      </c>
      <c r="O106" s="25" t="n">
        <f aca="false">IF(N106=0,0,MIN(1,0.1+0.9*((MAX($E106,C$6)+C$7)/2-$E106)/Forecast!$C$13))</f>
        <v>0</v>
      </c>
      <c r="P106" s="23" t="n">
        <f aca="false">IF(OR($A106="",$E106=""),0,MAX(0,D$7-MAX($E106,D$6)+1))</f>
        <v>0</v>
      </c>
      <c r="Q106" s="25" t="n">
        <f aca="false">IF(P106=0,0,MIN(1,0.1+0.9*((MAX($E106,D$6)+D$7)/2-$E106)/Forecast!$C$13))</f>
        <v>0</v>
      </c>
    </row>
    <row r="107" customFormat="false" ht="15" hidden="false" customHeight="false" outlineLevel="0" collapsed="false">
      <c r="A107" s="3" t="str">
        <f aca="false">IF(INDEX(Data_Pipeline!$A:$A,7+1)="","",INDEX(Data_Pipeline!$A:$A,7+1))</f>
        <v/>
      </c>
      <c r="B107" s="3" t="str">
        <f aca="false">IF(INDEX(Data_Pipeline!$B:$B,7+1)="","",INDEX(Data_Pipeline!$B:$B,7+1))</f>
        <v/>
      </c>
      <c r="C107" s="25" t="n">
        <f aca="false">IF($A107="",0,N(INDEX(Data_Pipeline!$D:$D,7+1)))</f>
        <v>0</v>
      </c>
      <c r="D107" s="31" t="n">
        <f aca="false">IF($A107="",0,N(INDEX(Data_Pipeline!$E:$E,7+1)))</f>
        <v>0</v>
      </c>
      <c r="E107" s="30" t="str">
        <f aca="false">IF(INDEX(Data_Pipeline!$F:$F,7+1)="","",INDEX(Data_Pipeline!$F:$F,7+1))</f>
        <v/>
      </c>
      <c r="F107" s="25" t="n">
        <f aca="false">IF($A107="",0,N(INDEX(Data_Pipeline!$G:$G,7+1)))</f>
        <v>0</v>
      </c>
      <c r="G107" s="26" t="n">
        <f aca="false">$F$8*(1-F107)</f>
        <v>0.042</v>
      </c>
      <c r="H107" s="29" t="n">
        <f aca="false">IF(G107=0,0,D107/G107/30.4/1000)</f>
        <v>0</v>
      </c>
      <c r="I107" s="25" t="n">
        <v>0</v>
      </c>
      <c r="J107" s="25" t="n">
        <f aca="false">C107</f>
        <v>0</v>
      </c>
      <c r="K107" s="25" t="n">
        <f aca="false">IF(C107&gt;=0.5,1,C107)</f>
        <v>0</v>
      </c>
      <c r="L107" s="23" t="n">
        <f aca="false">IF(OR($A107="",$E107=""),0,MAX(0,B$7-MAX($E107,B$6)+1))</f>
        <v>0</v>
      </c>
      <c r="M107" s="25" t="n">
        <f aca="false">IF(L107=0,0,MIN(1,0.1+0.9*((MAX($E107,B$6)+B$7)/2-$E107)/Forecast!$C$13))</f>
        <v>0</v>
      </c>
      <c r="N107" s="23" t="n">
        <f aca="false">IF(OR($A107="",$E107=""),0,MAX(0,C$7-MAX($E107,C$6)+1))</f>
        <v>0</v>
      </c>
      <c r="O107" s="25" t="n">
        <f aca="false">IF(N107=0,0,MIN(1,0.1+0.9*((MAX($E107,C$6)+C$7)/2-$E107)/Forecast!$C$13))</f>
        <v>0</v>
      </c>
      <c r="P107" s="23" t="n">
        <f aca="false">IF(OR($A107="",$E107=""),0,MAX(0,D$7-MAX($E107,D$6)+1))</f>
        <v>0</v>
      </c>
      <c r="Q107" s="25" t="n">
        <f aca="false">IF(P107=0,0,MIN(1,0.1+0.9*((MAX($E107,D$6)+D$7)/2-$E107)/Forecast!$C$13))</f>
        <v>0</v>
      </c>
    </row>
    <row r="108" customFormat="false" ht="15" hidden="false" customHeight="false" outlineLevel="0" collapsed="false">
      <c r="A108" s="3" t="str">
        <f aca="false">IF(INDEX(Data_Pipeline!$A:$A,8+1)="","",INDEX(Data_Pipeline!$A:$A,8+1))</f>
        <v/>
      </c>
      <c r="B108" s="3" t="str">
        <f aca="false">IF(INDEX(Data_Pipeline!$B:$B,8+1)="","",INDEX(Data_Pipeline!$B:$B,8+1))</f>
        <v/>
      </c>
      <c r="C108" s="25" t="n">
        <f aca="false">IF($A108="",0,N(INDEX(Data_Pipeline!$D:$D,8+1)))</f>
        <v>0</v>
      </c>
      <c r="D108" s="31" t="n">
        <f aca="false">IF($A108="",0,N(INDEX(Data_Pipeline!$E:$E,8+1)))</f>
        <v>0</v>
      </c>
      <c r="E108" s="30" t="str">
        <f aca="false">IF(INDEX(Data_Pipeline!$F:$F,8+1)="","",INDEX(Data_Pipeline!$F:$F,8+1))</f>
        <v/>
      </c>
      <c r="F108" s="25" t="n">
        <f aca="false">IF($A108="",0,N(INDEX(Data_Pipeline!$G:$G,8+1)))</f>
        <v>0</v>
      </c>
      <c r="G108" s="26" t="n">
        <f aca="false">$F$8*(1-F108)</f>
        <v>0.042</v>
      </c>
      <c r="H108" s="29" t="n">
        <f aca="false">IF(G108=0,0,D108/G108/30.4/1000)</f>
        <v>0</v>
      </c>
      <c r="I108" s="25" t="n">
        <v>0</v>
      </c>
      <c r="J108" s="25" t="n">
        <f aca="false">C108</f>
        <v>0</v>
      </c>
      <c r="K108" s="25" t="n">
        <f aca="false">IF(C108&gt;=0.5,1,C108)</f>
        <v>0</v>
      </c>
      <c r="L108" s="23" t="n">
        <f aca="false">IF(OR($A108="",$E108=""),0,MAX(0,B$7-MAX($E108,B$6)+1))</f>
        <v>0</v>
      </c>
      <c r="M108" s="25" t="n">
        <f aca="false">IF(L108=0,0,MIN(1,0.1+0.9*((MAX($E108,B$6)+B$7)/2-$E108)/Forecast!$C$13))</f>
        <v>0</v>
      </c>
      <c r="N108" s="23" t="n">
        <f aca="false">IF(OR($A108="",$E108=""),0,MAX(0,C$7-MAX($E108,C$6)+1))</f>
        <v>0</v>
      </c>
      <c r="O108" s="25" t="n">
        <f aca="false">IF(N108=0,0,MIN(1,0.1+0.9*((MAX($E108,C$6)+C$7)/2-$E108)/Forecast!$C$13))</f>
        <v>0</v>
      </c>
      <c r="P108" s="23" t="n">
        <f aca="false">IF(OR($A108="",$E108=""),0,MAX(0,D$7-MAX($E108,D$6)+1))</f>
        <v>0</v>
      </c>
      <c r="Q108" s="25" t="n">
        <f aca="false">IF(P108=0,0,MIN(1,0.1+0.9*((MAX($E108,D$6)+D$7)/2-$E108)/Forecast!$C$13))</f>
        <v>0</v>
      </c>
    </row>
    <row r="109" customFormat="false" ht="15" hidden="false" customHeight="false" outlineLevel="0" collapsed="false">
      <c r="A109" s="3" t="str">
        <f aca="false">IF(INDEX(Data_Pipeline!$A:$A,9+1)="","",INDEX(Data_Pipeline!$A:$A,9+1))</f>
        <v/>
      </c>
      <c r="B109" s="3" t="str">
        <f aca="false">IF(INDEX(Data_Pipeline!$B:$B,9+1)="","",INDEX(Data_Pipeline!$B:$B,9+1))</f>
        <v/>
      </c>
      <c r="C109" s="25" t="n">
        <f aca="false">IF($A109="",0,N(INDEX(Data_Pipeline!$D:$D,9+1)))</f>
        <v>0</v>
      </c>
      <c r="D109" s="31" t="n">
        <f aca="false">IF($A109="",0,N(INDEX(Data_Pipeline!$E:$E,9+1)))</f>
        <v>0</v>
      </c>
      <c r="E109" s="30" t="str">
        <f aca="false">IF(INDEX(Data_Pipeline!$F:$F,9+1)="","",INDEX(Data_Pipeline!$F:$F,9+1))</f>
        <v/>
      </c>
      <c r="F109" s="25" t="n">
        <f aca="false">IF($A109="",0,N(INDEX(Data_Pipeline!$G:$G,9+1)))</f>
        <v>0</v>
      </c>
      <c r="G109" s="26" t="n">
        <f aca="false">$F$8*(1-F109)</f>
        <v>0.042</v>
      </c>
      <c r="H109" s="29" t="n">
        <f aca="false">IF(G109=0,0,D109/G109/30.4/1000)</f>
        <v>0</v>
      </c>
      <c r="I109" s="25" t="n">
        <v>0</v>
      </c>
      <c r="J109" s="25" t="n">
        <f aca="false">C109</f>
        <v>0</v>
      </c>
      <c r="K109" s="25" t="n">
        <f aca="false">IF(C109&gt;=0.5,1,C109)</f>
        <v>0</v>
      </c>
      <c r="L109" s="23" t="n">
        <f aca="false">IF(OR($A109="",$E109=""),0,MAX(0,B$7-MAX($E109,B$6)+1))</f>
        <v>0</v>
      </c>
      <c r="M109" s="25" t="n">
        <f aca="false">IF(L109=0,0,MIN(1,0.1+0.9*((MAX($E109,B$6)+B$7)/2-$E109)/Forecast!$C$13))</f>
        <v>0</v>
      </c>
      <c r="N109" s="23" t="n">
        <f aca="false">IF(OR($A109="",$E109=""),0,MAX(0,C$7-MAX($E109,C$6)+1))</f>
        <v>0</v>
      </c>
      <c r="O109" s="25" t="n">
        <f aca="false">IF(N109=0,0,MIN(1,0.1+0.9*((MAX($E109,C$6)+C$7)/2-$E109)/Forecast!$C$13))</f>
        <v>0</v>
      </c>
      <c r="P109" s="23" t="n">
        <f aca="false">IF(OR($A109="",$E109=""),0,MAX(0,D$7-MAX($E109,D$6)+1))</f>
        <v>0</v>
      </c>
      <c r="Q109" s="25" t="n">
        <f aca="false">IF(P109=0,0,MIN(1,0.1+0.9*((MAX($E109,D$6)+D$7)/2-$E109)/Forecast!$C$13))</f>
        <v>0</v>
      </c>
    </row>
    <row r="110" customFormat="false" ht="15" hidden="false" customHeight="false" outlineLevel="0" collapsed="false">
      <c r="A110" s="3" t="str">
        <f aca="false">IF(INDEX(Data_Pipeline!$A:$A,10+1)="","",INDEX(Data_Pipeline!$A:$A,10+1))</f>
        <v/>
      </c>
      <c r="B110" s="3" t="str">
        <f aca="false">IF(INDEX(Data_Pipeline!$B:$B,10+1)="","",INDEX(Data_Pipeline!$B:$B,10+1))</f>
        <v/>
      </c>
      <c r="C110" s="25" t="n">
        <f aca="false">IF($A110="",0,N(INDEX(Data_Pipeline!$D:$D,10+1)))</f>
        <v>0</v>
      </c>
      <c r="D110" s="31" t="n">
        <f aca="false">IF($A110="",0,N(INDEX(Data_Pipeline!$E:$E,10+1)))</f>
        <v>0</v>
      </c>
      <c r="E110" s="30" t="str">
        <f aca="false">IF(INDEX(Data_Pipeline!$F:$F,10+1)="","",INDEX(Data_Pipeline!$F:$F,10+1))</f>
        <v/>
      </c>
      <c r="F110" s="25" t="n">
        <f aca="false">IF($A110="",0,N(INDEX(Data_Pipeline!$G:$G,10+1)))</f>
        <v>0</v>
      </c>
      <c r="G110" s="26" t="n">
        <f aca="false">$F$8*(1-F110)</f>
        <v>0.042</v>
      </c>
      <c r="H110" s="29" t="n">
        <f aca="false">IF(G110=0,0,D110/G110/30.4/1000)</f>
        <v>0</v>
      </c>
      <c r="I110" s="25" t="n">
        <v>0</v>
      </c>
      <c r="J110" s="25" t="n">
        <f aca="false">C110</f>
        <v>0</v>
      </c>
      <c r="K110" s="25" t="n">
        <f aca="false">IF(C110&gt;=0.5,1,C110)</f>
        <v>0</v>
      </c>
      <c r="L110" s="23" t="n">
        <f aca="false">IF(OR($A110="",$E110=""),0,MAX(0,B$7-MAX($E110,B$6)+1))</f>
        <v>0</v>
      </c>
      <c r="M110" s="25" t="n">
        <f aca="false">IF(L110=0,0,MIN(1,0.1+0.9*((MAX($E110,B$6)+B$7)/2-$E110)/Forecast!$C$13))</f>
        <v>0</v>
      </c>
      <c r="N110" s="23" t="n">
        <f aca="false">IF(OR($A110="",$E110=""),0,MAX(0,C$7-MAX($E110,C$6)+1))</f>
        <v>0</v>
      </c>
      <c r="O110" s="25" t="n">
        <f aca="false">IF(N110=0,0,MIN(1,0.1+0.9*((MAX($E110,C$6)+C$7)/2-$E110)/Forecast!$C$13))</f>
        <v>0</v>
      </c>
      <c r="P110" s="23" t="n">
        <f aca="false">IF(OR($A110="",$E110=""),0,MAX(0,D$7-MAX($E110,D$6)+1))</f>
        <v>0</v>
      </c>
      <c r="Q110" s="25" t="n">
        <f aca="false">IF(P110=0,0,MIN(1,0.1+0.9*((MAX($E110,D$6)+D$7)/2-$E110)/Forecast!$C$13))</f>
        <v>0</v>
      </c>
    </row>
    <row r="111" customFormat="false" ht="15" hidden="false" customHeight="false" outlineLevel="0" collapsed="false">
      <c r="A111" s="3" t="str">
        <f aca="false">IF(INDEX(Data_Pipeline!$A:$A,11+1)="","",INDEX(Data_Pipeline!$A:$A,11+1))</f>
        <v/>
      </c>
      <c r="B111" s="3" t="str">
        <f aca="false">IF(INDEX(Data_Pipeline!$B:$B,11+1)="","",INDEX(Data_Pipeline!$B:$B,11+1))</f>
        <v/>
      </c>
      <c r="C111" s="25" t="n">
        <f aca="false">IF($A111="",0,N(INDEX(Data_Pipeline!$D:$D,11+1)))</f>
        <v>0</v>
      </c>
      <c r="D111" s="31" t="n">
        <f aca="false">IF($A111="",0,N(INDEX(Data_Pipeline!$E:$E,11+1)))</f>
        <v>0</v>
      </c>
      <c r="E111" s="30" t="str">
        <f aca="false">IF(INDEX(Data_Pipeline!$F:$F,11+1)="","",INDEX(Data_Pipeline!$F:$F,11+1))</f>
        <v/>
      </c>
      <c r="F111" s="25" t="n">
        <f aca="false">IF($A111="",0,N(INDEX(Data_Pipeline!$G:$G,11+1)))</f>
        <v>0</v>
      </c>
      <c r="G111" s="26" t="n">
        <f aca="false">$F$8*(1-F111)</f>
        <v>0.042</v>
      </c>
      <c r="H111" s="29" t="n">
        <f aca="false">IF(G111=0,0,D111/G111/30.4/1000)</f>
        <v>0</v>
      </c>
      <c r="I111" s="25" t="n">
        <v>0</v>
      </c>
      <c r="J111" s="25" t="n">
        <f aca="false">C111</f>
        <v>0</v>
      </c>
      <c r="K111" s="25" t="n">
        <f aca="false">IF(C111&gt;=0.5,1,C111)</f>
        <v>0</v>
      </c>
      <c r="L111" s="23" t="n">
        <f aca="false">IF(OR($A111="",$E111=""),0,MAX(0,B$7-MAX($E111,B$6)+1))</f>
        <v>0</v>
      </c>
      <c r="M111" s="25" t="n">
        <f aca="false">IF(L111=0,0,MIN(1,0.1+0.9*((MAX($E111,B$6)+B$7)/2-$E111)/Forecast!$C$13))</f>
        <v>0</v>
      </c>
      <c r="N111" s="23" t="n">
        <f aca="false">IF(OR($A111="",$E111=""),0,MAX(0,C$7-MAX($E111,C$6)+1))</f>
        <v>0</v>
      </c>
      <c r="O111" s="25" t="n">
        <f aca="false">IF(N111=0,0,MIN(1,0.1+0.9*((MAX($E111,C$6)+C$7)/2-$E111)/Forecast!$C$13))</f>
        <v>0</v>
      </c>
      <c r="P111" s="23" t="n">
        <f aca="false">IF(OR($A111="",$E111=""),0,MAX(0,D$7-MAX($E111,D$6)+1))</f>
        <v>0</v>
      </c>
      <c r="Q111" s="25" t="n">
        <f aca="false">IF(P111=0,0,MIN(1,0.1+0.9*((MAX($E111,D$6)+D$7)/2-$E111)/Forecast!$C$13))</f>
        <v>0</v>
      </c>
    </row>
    <row r="112" customFormat="false" ht="15" hidden="false" customHeight="false" outlineLevel="0" collapsed="false">
      <c r="A112" s="3" t="str">
        <f aca="false">IF(INDEX(Data_Pipeline!$A:$A,12+1)="","",INDEX(Data_Pipeline!$A:$A,12+1))</f>
        <v/>
      </c>
      <c r="B112" s="3" t="str">
        <f aca="false">IF(INDEX(Data_Pipeline!$B:$B,12+1)="","",INDEX(Data_Pipeline!$B:$B,12+1))</f>
        <v/>
      </c>
      <c r="C112" s="25" t="n">
        <f aca="false">IF($A112="",0,N(INDEX(Data_Pipeline!$D:$D,12+1)))</f>
        <v>0</v>
      </c>
      <c r="D112" s="31" t="n">
        <f aca="false">IF($A112="",0,N(INDEX(Data_Pipeline!$E:$E,12+1)))</f>
        <v>0</v>
      </c>
      <c r="E112" s="30" t="str">
        <f aca="false">IF(INDEX(Data_Pipeline!$F:$F,12+1)="","",INDEX(Data_Pipeline!$F:$F,12+1))</f>
        <v/>
      </c>
      <c r="F112" s="25" t="n">
        <f aca="false">IF($A112="",0,N(INDEX(Data_Pipeline!$G:$G,12+1)))</f>
        <v>0</v>
      </c>
      <c r="G112" s="26" t="n">
        <f aca="false">$F$8*(1-F112)</f>
        <v>0.042</v>
      </c>
      <c r="H112" s="29" t="n">
        <f aca="false">IF(G112=0,0,D112/G112/30.4/1000)</f>
        <v>0</v>
      </c>
      <c r="I112" s="25" t="n">
        <v>0</v>
      </c>
      <c r="J112" s="25" t="n">
        <f aca="false">C112</f>
        <v>0</v>
      </c>
      <c r="K112" s="25" t="n">
        <f aca="false">IF(C112&gt;=0.5,1,C112)</f>
        <v>0</v>
      </c>
      <c r="L112" s="23" t="n">
        <f aca="false">IF(OR($A112="",$E112=""),0,MAX(0,B$7-MAX($E112,B$6)+1))</f>
        <v>0</v>
      </c>
      <c r="M112" s="25" t="n">
        <f aca="false">IF(L112=0,0,MIN(1,0.1+0.9*((MAX($E112,B$6)+B$7)/2-$E112)/Forecast!$C$13))</f>
        <v>0</v>
      </c>
      <c r="N112" s="23" t="n">
        <f aca="false">IF(OR($A112="",$E112=""),0,MAX(0,C$7-MAX($E112,C$6)+1))</f>
        <v>0</v>
      </c>
      <c r="O112" s="25" t="n">
        <f aca="false">IF(N112=0,0,MIN(1,0.1+0.9*((MAX($E112,C$6)+C$7)/2-$E112)/Forecast!$C$13))</f>
        <v>0</v>
      </c>
      <c r="P112" s="23" t="n">
        <f aca="false">IF(OR($A112="",$E112=""),0,MAX(0,D$7-MAX($E112,D$6)+1))</f>
        <v>0</v>
      </c>
      <c r="Q112" s="25" t="n">
        <f aca="false">IF(P112=0,0,MIN(1,0.1+0.9*((MAX($E112,D$6)+D$7)/2-$E112)/Forecast!$C$13))</f>
        <v>0</v>
      </c>
    </row>
    <row r="113" customFormat="false" ht="15" hidden="false" customHeight="false" outlineLevel="0" collapsed="false">
      <c r="A113" s="3" t="str">
        <f aca="false">IF(INDEX(Data_Pipeline!$A:$A,13+1)="","",INDEX(Data_Pipeline!$A:$A,13+1))</f>
        <v/>
      </c>
      <c r="B113" s="3" t="str">
        <f aca="false">IF(INDEX(Data_Pipeline!$B:$B,13+1)="","",INDEX(Data_Pipeline!$B:$B,13+1))</f>
        <v/>
      </c>
      <c r="C113" s="25" t="n">
        <f aca="false">IF($A113="",0,N(INDEX(Data_Pipeline!$D:$D,13+1)))</f>
        <v>0</v>
      </c>
      <c r="D113" s="31" t="n">
        <f aca="false">IF($A113="",0,N(INDEX(Data_Pipeline!$E:$E,13+1)))</f>
        <v>0</v>
      </c>
      <c r="E113" s="30" t="str">
        <f aca="false">IF(INDEX(Data_Pipeline!$F:$F,13+1)="","",INDEX(Data_Pipeline!$F:$F,13+1))</f>
        <v/>
      </c>
      <c r="F113" s="25" t="n">
        <f aca="false">IF($A113="",0,N(INDEX(Data_Pipeline!$G:$G,13+1)))</f>
        <v>0</v>
      </c>
      <c r="G113" s="26" t="n">
        <f aca="false">$F$8*(1-F113)</f>
        <v>0.042</v>
      </c>
      <c r="H113" s="29" t="n">
        <f aca="false">IF(G113=0,0,D113/G113/30.4/1000)</f>
        <v>0</v>
      </c>
      <c r="I113" s="25" t="n">
        <v>0</v>
      </c>
      <c r="J113" s="25" t="n">
        <f aca="false">C113</f>
        <v>0</v>
      </c>
      <c r="K113" s="25" t="n">
        <f aca="false">IF(C113&gt;=0.5,1,C113)</f>
        <v>0</v>
      </c>
      <c r="L113" s="23" t="n">
        <f aca="false">IF(OR($A113="",$E113=""),0,MAX(0,B$7-MAX($E113,B$6)+1))</f>
        <v>0</v>
      </c>
      <c r="M113" s="25" t="n">
        <f aca="false">IF(L113=0,0,MIN(1,0.1+0.9*((MAX($E113,B$6)+B$7)/2-$E113)/Forecast!$C$13))</f>
        <v>0</v>
      </c>
      <c r="N113" s="23" t="n">
        <f aca="false">IF(OR($A113="",$E113=""),0,MAX(0,C$7-MAX($E113,C$6)+1))</f>
        <v>0</v>
      </c>
      <c r="O113" s="25" t="n">
        <f aca="false">IF(N113=0,0,MIN(1,0.1+0.9*((MAX($E113,C$6)+C$7)/2-$E113)/Forecast!$C$13))</f>
        <v>0</v>
      </c>
      <c r="P113" s="23" t="n">
        <f aca="false">IF(OR($A113="",$E113=""),0,MAX(0,D$7-MAX($E113,D$6)+1))</f>
        <v>0</v>
      </c>
      <c r="Q113" s="25" t="n">
        <f aca="false">IF(P113=0,0,MIN(1,0.1+0.9*((MAX($E113,D$6)+D$7)/2-$E113)/Forecast!$C$13))</f>
        <v>0</v>
      </c>
    </row>
    <row r="114" customFormat="false" ht="15" hidden="false" customHeight="false" outlineLevel="0" collapsed="false">
      <c r="A114" s="3" t="str">
        <f aca="false">IF(INDEX(Data_Pipeline!$A:$A,14+1)="","",INDEX(Data_Pipeline!$A:$A,14+1))</f>
        <v/>
      </c>
      <c r="B114" s="3" t="str">
        <f aca="false">IF(INDEX(Data_Pipeline!$B:$B,14+1)="","",INDEX(Data_Pipeline!$B:$B,14+1))</f>
        <v/>
      </c>
      <c r="C114" s="25" t="n">
        <f aca="false">IF($A114="",0,N(INDEX(Data_Pipeline!$D:$D,14+1)))</f>
        <v>0</v>
      </c>
      <c r="D114" s="31" t="n">
        <f aca="false">IF($A114="",0,N(INDEX(Data_Pipeline!$E:$E,14+1)))</f>
        <v>0</v>
      </c>
      <c r="E114" s="30" t="str">
        <f aca="false">IF(INDEX(Data_Pipeline!$F:$F,14+1)="","",INDEX(Data_Pipeline!$F:$F,14+1))</f>
        <v/>
      </c>
      <c r="F114" s="25" t="n">
        <f aca="false">IF($A114="",0,N(INDEX(Data_Pipeline!$G:$G,14+1)))</f>
        <v>0</v>
      </c>
      <c r="G114" s="26" t="n">
        <f aca="false">$F$8*(1-F114)</f>
        <v>0.042</v>
      </c>
      <c r="H114" s="29" t="n">
        <f aca="false">IF(G114=0,0,D114/G114/30.4/1000)</f>
        <v>0</v>
      </c>
      <c r="I114" s="25" t="n">
        <v>0</v>
      </c>
      <c r="J114" s="25" t="n">
        <f aca="false">C114</f>
        <v>0</v>
      </c>
      <c r="K114" s="25" t="n">
        <f aca="false">IF(C114&gt;=0.5,1,C114)</f>
        <v>0</v>
      </c>
      <c r="L114" s="23" t="n">
        <f aca="false">IF(OR($A114="",$E114=""),0,MAX(0,B$7-MAX($E114,B$6)+1))</f>
        <v>0</v>
      </c>
      <c r="M114" s="25" t="n">
        <f aca="false">IF(L114=0,0,MIN(1,0.1+0.9*((MAX($E114,B$6)+B$7)/2-$E114)/Forecast!$C$13))</f>
        <v>0</v>
      </c>
      <c r="N114" s="23" t="n">
        <f aca="false">IF(OR($A114="",$E114=""),0,MAX(0,C$7-MAX($E114,C$6)+1))</f>
        <v>0</v>
      </c>
      <c r="O114" s="25" t="n">
        <f aca="false">IF(N114=0,0,MIN(1,0.1+0.9*((MAX($E114,C$6)+C$7)/2-$E114)/Forecast!$C$13))</f>
        <v>0</v>
      </c>
      <c r="P114" s="23" t="n">
        <f aca="false">IF(OR($A114="",$E114=""),0,MAX(0,D$7-MAX($E114,D$6)+1))</f>
        <v>0</v>
      </c>
      <c r="Q114" s="25" t="n">
        <f aca="false">IF(P114=0,0,MIN(1,0.1+0.9*((MAX($E114,D$6)+D$7)/2-$E114)/Forecast!$C$13))</f>
        <v>0</v>
      </c>
    </row>
    <row r="115" customFormat="false" ht="15" hidden="false" customHeight="false" outlineLevel="0" collapsed="false">
      <c r="A115" s="3" t="str">
        <f aca="false">IF(INDEX(Data_Pipeline!$A:$A,15+1)="","",INDEX(Data_Pipeline!$A:$A,15+1))</f>
        <v/>
      </c>
      <c r="B115" s="3" t="str">
        <f aca="false">IF(INDEX(Data_Pipeline!$B:$B,15+1)="","",INDEX(Data_Pipeline!$B:$B,15+1))</f>
        <v/>
      </c>
      <c r="C115" s="25" t="n">
        <f aca="false">IF($A115="",0,N(INDEX(Data_Pipeline!$D:$D,15+1)))</f>
        <v>0</v>
      </c>
      <c r="D115" s="31" t="n">
        <f aca="false">IF($A115="",0,N(INDEX(Data_Pipeline!$E:$E,15+1)))</f>
        <v>0</v>
      </c>
      <c r="E115" s="30" t="str">
        <f aca="false">IF(INDEX(Data_Pipeline!$F:$F,15+1)="","",INDEX(Data_Pipeline!$F:$F,15+1))</f>
        <v/>
      </c>
      <c r="F115" s="25" t="n">
        <f aca="false">IF($A115="",0,N(INDEX(Data_Pipeline!$G:$G,15+1)))</f>
        <v>0</v>
      </c>
      <c r="G115" s="26" t="n">
        <f aca="false">$F$8*(1-F115)</f>
        <v>0.042</v>
      </c>
      <c r="H115" s="29" t="n">
        <f aca="false">IF(G115=0,0,D115/G115/30.4/1000)</f>
        <v>0</v>
      </c>
      <c r="I115" s="25" t="n">
        <v>0</v>
      </c>
      <c r="J115" s="25" t="n">
        <f aca="false">C115</f>
        <v>0</v>
      </c>
      <c r="K115" s="25" t="n">
        <f aca="false">IF(C115&gt;=0.5,1,C115)</f>
        <v>0</v>
      </c>
      <c r="L115" s="23" t="n">
        <f aca="false">IF(OR($A115="",$E115=""),0,MAX(0,B$7-MAX($E115,B$6)+1))</f>
        <v>0</v>
      </c>
      <c r="M115" s="25" t="n">
        <f aca="false">IF(L115=0,0,MIN(1,0.1+0.9*((MAX($E115,B$6)+B$7)/2-$E115)/Forecast!$C$13))</f>
        <v>0</v>
      </c>
      <c r="N115" s="23" t="n">
        <f aca="false">IF(OR($A115="",$E115=""),0,MAX(0,C$7-MAX($E115,C$6)+1))</f>
        <v>0</v>
      </c>
      <c r="O115" s="25" t="n">
        <f aca="false">IF(N115=0,0,MIN(1,0.1+0.9*((MAX($E115,C$6)+C$7)/2-$E115)/Forecast!$C$13))</f>
        <v>0</v>
      </c>
      <c r="P115" s="23" t="n">
        <f aca="false">IF(OR($A115="",$E115=""),0,MAX(0,D$7-MAX($E115,D$6)+1))</f>
        <v>0</v>
      </c>
      <c r="Q115" s="25" t="n">
        <f aca="false">IF(P115=0,0,MIN(1,0.1+0.9*((MAX($E115,D$6)+D$7)/2-$E115)/Forecast!$C$13))</f>
        <v>0</v>
      </c>
    </row>
    <row r="116" customFormat="false" ht="15" hidden="false" customHeight="false" outlineLevel="0" collapsed="false">
      <c r="A116" s="3" t="str">
        <f aca="false">IF(INDEX(Data_Pipeline!$A:$A,16+1)="","",INDEX(Data_Pipeline!$A:$A,16+1))</f>
        <v/>
      </c>
      <c r="B116" s="3" t="str">
        <f aca="false">IF(INDEX(Data_Pipeline!$B:$B,16+1)="","",INDEX(Data_Pipeline!$B:$B,16+1))</f>
        <v/>
      </c>
      <c r="C116" s="25" t="n">
        <f aca="false">IF($A116="",0,N(INDEX(Data_Pipeline!$D:$D,16+1)))</f>
        <v>0</v>
      </c>
      <c r="D116" s="31" t="n">
        <f aca="false">IF($A116="",0,N(INDEX(Data_Pipeline!$E:$E,16+1)))</f>
        <v>0</v>
      </c>
      <c r="E116" s="30" t="str">
        <f aca="false">IF(INDEX(Data_Pipeline!$F:$F,16+1)="","",INDEX(Data_Pipeline!$F:$F,16+1))</f>
        <v/>
      </c>
      <c r="F116" s="25" t="n">
        <f aca="false">IF($A116="",0,N(INDEX(Data_Pipeline!$G:$G,16+1)))</f>
        <v>0</v>
      </c>
      <c r="G116" s="26" t="n">
        <f aca="false">$F$8*(1-F116)</f>
        <v>0.042</v>
      </c>
      <c r="H116" s="29" t="n">
        <f aca="false">IF(G116=0,0,D116/G116/30.4/1000)</f>
        <v>0</v>
      </c>
      <c r="I116" s="25" t="n">
        <v>0</v>
      </c>
      <c r="J116" s="25" t="n">
        <f aca="false">C116</f>
        <v>0</v>
      </c>
      <c r="K116" s="25" t="n">
        <f aca="false">IF(C116&gt;=0.5,1,C116)</f>
        <v>0</v>
      </c>
      <c r="L116" s="23" t="n">
        <f aca="false">IF(OR($A116="",$E116=""),0,MAX(0,B$7-MAX($E116,B$6)+1))</f>
        <v>0</v>
      </c>
      <c r="M116" s="25" t="n">
        <f aca="false">IF(L116=0,0,MIN(1,0.1+0.9*((MAX($E116,B$6)+B$7)/2-$E116)/Forecast!$C$13))</f>
        <v>0</v>
      </c>
      <c r="N116" s="23" t="n">
        <f aca="false">IF(OR($A116="",$E116=""),0,MAX(0,C$7-MAX($E116,C$6)+1))</f>
        <v>0</v>
      </c>
      <c r="O116" s="25" t="n">
        <f aca="false">IF(N116=0,0,MIN(1,0.1+0.9*((MAX($E116,C$6)+C$7)/2-$E116)/Forecast!$C$13))</f>
        <v>0</v>
      </c>
      <c r="P116" s="23" t="n">
        <f aca="false">IF(OR($A116="",$E116=""),0,MAX(0,D$7-MAX($E116,D$6)+1))</f>
        <v>0</v>
      </c>
      <c r="Q116" s="25" t="n">
        <f aca="false">IF(P116=0,0,MIN(1,0.1+0.9*((MAX($E116,D$6)+D$7)/2-$E116)/Forecast!$C$13))</f>
        <v>0</v>
      </c>
    </row>
    <row r="117" customFormat="false" ht="15" hidden="false" customHeight="false" outlineLevel="0" collapsed="false">
      <c r="A117" s="3" t="str">
        <f aca="false">IF(INDEX(Data_Pipeline!$A:$A,17+1)="","",INDEX(Data_Pipeline!$A:$A,17+1))</f>
        <v/>
      </c>
      <c r="B117" s="3" t="str">
        <f aca="false">IF(INDEX(Data_Pipeline!$B:$B,17+1)="","",INDEX(Data_Pipeline!$B:$B,17+1))</f>
        <v/>
      </c>
      <c r="C117" s="25" t="n">
        <f aca="false">IF($A117="",0,N(INDEX(Data_Pipeline!$D:$D,17+1)))</f>
        <v>0</v>
      </c>
      <c r="D117" s="31" t="n">
        <f aca="false">IF($A117="",0,N(INDEX(Data_Pipeline!$E:$E,17+1)))</f>
        <v>0</v>
      </c>
      <c r="E117" s="30" t="str">
        <f aca="false">IF(INDEX(Data_Pipeline!$F:$F,17+1)="","",INDEX(Data_Pipeline!$F:$F,17+1))</f>
        <v/>
      </c>
      <c r="F117" s="25" t="n">
        <f aca="false">IF($A117="",0,N(INDEX(Data_Pipeline!$G:$G,17+1)))</f>
        <v>0</v>
      </c>
      <c r="G117" s="26" t="n">
        <f aca="false">$F$8*(1-F117)</f>
        <v>0.042</v>
      </c>
      <c r="H117" s="29" t="n">
        <f aca="false">IF(G117=0,0,D117/G117/30.4/1000)</f>
        <v>0</v>
      </c>
      <c r="I117" s="25" t="n">
        <v>0</v>
      </c>
      <c r="J117" s="25" t="n">
        <f aca="false">C117</f>
        <v>0</v>
      </c>
      <c r="K117" s="25" t="n">
        <f aca="false">IF(C117&gt;=0.5,1,C117)</f>
        <v>0</v>
      </c>
      <c r="L117" s="23" t="n">
        <f aca="false">IF(OR($A117="",$E117=""),0,MAX(0,B$7-MAX($E117,B$6)+1))</f>
        <v>0</v>
      </c>
      <c r="M117" s="25" t="n">
        <f aca="false">IF(L117=0,0,MIN(1,0.1+0.9*((MAX($E117,B$6)+B$7)/2-$E117)/Forecast!$C$13))</f>
        <v>0</v>
      </c>
      <c r="N117" s="23" t="n">
        <f aca="false">IF(OR($A117="",$E117=""),0,MAX(0,C$7-MAX($E117,C$6)+1))</f>
        <v>0</v>
      </c>
      <c r="O117" s="25" t="n">
        <f aca="false">IF(N117=0,0,MIN(1,0.1+0.9*((MAX($E117,C$6)+C$7)/2-$E117)/Forecast!$C$13))</f>
        <v>0</v>
      </c>
      <c r="P117" s="23" t="n">
        <f aca="false">IF(OR($A117="",$E117=""),0,MAX(0,D$7-MAX($E117,D$6)+1))</f>
        <v>0</v>
      </c>
      <c r="Q117" s="25" t="n">
        <f aca="false">IF(P117=0,0,MIN(1,0.1+0.9*((MAX($E117,D$6)+D$7)/2-$E117)/Forecast!$C$13))</f>
        <v>0</v>
      </c>
    </row>
    <row r="118" customFormat="false" ht="15" hidden="false" customHeight="false" outlineLevel="0" collapsed="false">
      <c r="A118" s="3" t="str">
        <f aca="false">IF(INDEX(Data_Pipeline!$A:$A,18+1)="","",INDEX(Data_Pipeline!$A:$A,18+1))</f>
        <v/>
      </c>
      <c r="B118" s="3" t="str">
        <f aca="false">IF(INDEX(Data_Pipeline!$B:$B,18+1)="","",INDEX(Data_Pipeline!$B:$B,18+1))</f>
        <v/>
      </c>
      <c r="C118" s="25" t="n">
        <f aca="false">IF($A118="",0,N(INDEX(Data_Pipeline!$D:$D,18+1)))</f>
        <v>0</v>
      </c>
      <c r="D118" s="31" t="n">
        <f aca="false">IF($A118="",0,N(INDEX(Data_Pipeline!$E:$E,18+1)))</f>
        <v>0</v>
      </c>
      <c r="E118" s="30" t="str">
        <f aca="false">IF(INDEX(Data_Pipeline!$F:$F,18+1)="","",INDEX(Data_Pipeline!$F:$F,18+1))</f>
        <v/>
      </c>
      <c r="F118" s="25" t="n">
        <f aca="false">IF($A118="",0,N(INDEX(Data_Pipeline!$G:$G,18+1)))</f>
        <v>0</v>
      </c>
      <c r="G118" s="26" t="n">
        <f aca="false">$F$8*(1-F118)</f>
        <v>0.042</v>
      </c>
      <c r="H118" s="29" t="n">
        <f aca="false">IF(G118=0,0,D118/G118/30.4/1000)</f>
        <v>0</v>
      </c>
      <c r="I118" s="25" t="n">
        <v>0</v>
      </c>
      <c r="J118" s="25" t="n">
        <f aca="false">C118</f>
        <v>0</v>
      </c>
      <c r="K118" s="25" t="n">
        <f aca="false">IF(C118&gt;=0.5,1,C118)</f>
        <v>0</v>
      </c>
      <c r="L118" s="23" t="n">
        <f aca="false">IF(OR($A118="",$E118=""),0,MAX(0,B$7-MAX($E118,B$6)+1))</f>
        <v>0</v>
      </c>
      <c r="M118" s="25" t="n">
        <f aca="false">IF(L118=0,0,MIN(1,0.1+0.9*((MAX($E118,B$6)+B$7)/2-$E118)/Forecast!$C$13))</f>
        <v>0</v>
      </c>
      <c r="N118" s="23" t="n">
        <f aca="false">IF(OR($A118="",$E118=""),0,MAX(0,C$7-MAX($E118,C$6)+1))</f>
        <v>0</v>
      </c>
      <c r="O118" s="25" t="n">
        <f aca="false">IF(N118=0,0,MIN(1,0.1+0.9*((MAX($E118,C$6)+C$7)/2-$E118)/Forecast!$C$13))</f>
        <v>0</v>
      </c>
      <c r="P118" s="23" t="n">
        <f aca="false">IF(OR($A118="",$E118=""),0,MAX(0,D$7-MAX($E118,D$6)+1))</f>
        <v>0</v>
      </c>
      <c r="Q118" s="25" t="n">
        <f aca="false">IF(P118=0,0,MIN(1,0.1+0.9*((MAX($E118,D$6)+D$7)/2-$E118)/Forecast!$C$13))</f>
        <v>0</v>
      </c>
    </row>
    <row r="119" customFormat="false" ht="15" hidden="false" customHeight="false" outlineLevel="0" collapsed="false">
      <c r="A119" s="3" t="str">
        <f aca="false">IF(INDEX(Data_Pipeline!$A:$A,19+1)="","",INDEX(Data_Pipeline!$A:$A,19+1))</f>
        <v/>
      </c>
      <c r="B119" s="3" t="str">
        <f aca="false">IF(INDEX(Data_Pipeline!$B:$B,19+1)="","",INDEX(Data_Pipeline!$B:$B,19+1))</f>
        <v/>
      </c>
      <c r="C119" s="25" t="n">
        <f aca="false">IF($A119="",0,N(INDEX(Data_Pipeline!$D:$D,19+1)))</f>
        <v>0</v>
      </c>
      <c r="D119" s="31" t="n">
        <f aca="false">IF($A119="",0,N(INDEX(Data_Pipeline!$E:$E,19+1)))</f>
        <v>0</v>
      </c>
      <c r="E119" s="30" t="str">
        <f aca="false">IF(INDEX(Data_Pipeline!$F:$F,19+1)="","",INDEX(Data_Pipeline!$F:$F,19+1))</f>
        <v/>
      </c>
      <c r="F119" s="25" t="n">
        <f aca="false">IF($A119="",0,N(INDEX(Data_Pipeline!$G:$G,19+1)))</f>
        <v>0</v>
      </c>
      <c r="G119" s="26" t="n">
        <f aca="false">$F$8*(1-F119)</f>
        <v>0.042</v>
      </c>
      <c r="H119" s="29" t="n">
        <f aca="false">IF(G119=0,0,D119/G119/30.4/1000)</f>
        <v>0</v>
      </c>
      <c r="I119" s="25" t="n">
        <v>0</v>
      </c>
      <c r="J119" s="25" t="n">
        <f aca="false">C119</f>
        <v>0</v>
      </c>
      <c r="K119" s="25" t="n">
        <f aca="false">IF(C119&gt;=0.5,1,C119)</f>
        <v>0</v>
      </c>
      <c r="L119" s="23" t="n">
        <f aca="false">IF(OR($A119="",$E119=""),0,MAX(0,B$7-MAX($E119,B$6)+1))</f>
        <v>0</v>
      </c>
      <c r="M119" s="25" t="n">
        <f aca="false">IF(L119=0,0,MIN(1,0.1+0.9*((MAX($E119,B$6)+B$7)/2-$E119)/Forecast!$C$13))</f>
        <v>0</v>
      </c>
      <c r="N119" s="23" t="n">
        <f aca="false">IF(OR($A119="",$E119=""),0,MAX(0,C$7-MAX($E119,C$6)+1))</f>
        <v>0</v>
      </c>
      <c r="O119" s="25" t="n">
        <f aca="false">IF(N119=0,0,MIN(1,0.1+0.9*((MAX($E119,C$6)+C$7)/2-$E119)/Forecast!$C$13))</f>
        <v>0</v>
      </c>
      <c r="P119" s="23" t="n">
        <f aca="false">IF(OR($A119="",$E119=""),0,MAX(0,D$7-MAX($E119,D$6)+1))</f>
        <v>0</v>
      </c>
      <c r="Q119" s="25" t="n">
        <f aca="false">IF(P119=0,0,MIN(1,0.1+0.9*((MAX($E119,D$6)+D$7)/2-$E119)/Forecast!$C$13))</f>
        <v>0</v>
      </c>
    </row>
    <row r="120" customFormat="false" ht="15" hidden="false" customHeight="false" outlineLevel="0" collapsed="false">
      <c r="A120" s="3" t="str">
        <f aca="false">IF(INDEX(Data_Pipeline!$A:$A,20+1)="","",INDEX(Data_Pipeline!$A:$A,20+1))</f>
        <v/>
      </c>
      <c r="B120" s="3" t="str">
        <f aca="false">IF(INDEX(Data_Pipeline!$B:$B,20+1)="","",INDEX(Data_Pipeline!$B:$B,20+1))</f>
        <v/>
      </c>
      <c r="C120" s="25" t="n">
        <f aca="false">IF($A120="",0,N(INDEX(Data_Pipeline!$D:$D,20+1)))</f>
        <v>0</v>
      </c>
      <c r="D120" s="31" t="n">
        <f aca="false">IF($A120="",0,N(INDEX(Data_Pipeline!$E:$E,20+1)))</f>
        <v>0</v>
      </c>
      <c r="E120" s="30" t="str">
        <f aca="false">IF(INDEX(Data_Pipeline!$F:$F,20+1)="","",INDEX(Data_Pipeline!$F:$F,20+1))</f>
        <v/>
      </c>
      <c r="F120" s="25" t="n">
        <f aca="false">IF($A120="",0,N(INDEX(Data_Pipeline!$G:$G,20+1)))</f>
        <v>0</v>
      </c>
      <c r="G120" s="26" t="n">
        <f aca="false">$F$8*(1-F120)</f>
        <v>0.042</v>
      </c>
      <c r="H120" s="29" t="n">
        <f aca="false">IF(G120=0,0,D120/G120/30.4/1000)</f>
        <v>0</v>
      </c>
      <c r="I120" s="25" t="n">
        <v>0</v>
      </c>
      <c r="J120" s="25" t="n">
        <f aca="false">C120</f>
        <v>0</v>
      </c>
      <c r="K120" s="25" t="n">
        <f aca="false">IF(C120&gt;=0.5,1,C120)</f>
        <v>0</v>
      </c>
      <c r="L120" s="23" t="n">
        <f aca="false">IF(OR($A120="",$E120=""),0,MAX(0,B$7-MAX($E120,B$6)+1))</f>
        <v>0</v>
      </c>
      <c r="M120" s="25" t="n">
        <f aca="false">IF(L120=0,0,MIN(1,0.1+0.9*((MAX($E120,B$6)+B$7)/2-$E120)/Forecast!$C$13))</f>
        <v>0</v>
      </c>
      <c r="N120" s="23" t="n">
        <f aca="false">IF(OR($A120="",$E120=""),0,MAX(0,C$7-MAX($E120,C$6)+1))</f>
        <v>0</v>
      </c>
      <c r="O120" s="25" t="n">
        <f aca="false">IF(N120=0,0,MIN(1,0.1+0.9*((MAX($E120,C$6)+C$7)/2-$E120)/Forecast!$C$13))</f>
        <v>0</v>
      </c>
      <c r="P120" s="23" t="n">
        <f aca="false">IF(OR($A120="",$E120=""),0,MAX(0,D$7-MAX($E120,D$6)+1))</f>
        <v>0</v>
      </c>
      <c r="Q120" s="25" t="n">
        <f aca="false">IF(P120=0,0,MIN(1,0.1+0.9*((MAX($E120,D$6)+D$7)/2-$E120)/Forecast!$C$13))</f>
        <v>0</v>
      </c>
    </row>
    <row r="121" customFormat="false" ht="15" hidden="false" customHeight="false" outlineLevel="0" collapsed="false">
      <c r="A121" s="3" t="str">
        <f aca="false">IF(INDEX(Data_Pipeline!$A:$A,21+1)="","",INDEX(Data_Pipeline!$A:$A,21+1))</f>
        <v/>
      </c>
      <c r="B121" s="3" t="str">
        <f aca="false">IF(INDEX(Data_Pipeline!$B:$B,21+1)="","",INDEX(Data_Pipeline!$B:$B,21+1))</f>
        <v/>
      </c>
      <c r="C121" s="25" t="n">
        <f aca="false">IF($A121="",0,N(INDEX(Data_Pipeline!$D:$D,21+1)))</f>
        <v>0</v>
      </c>
      <c r="D121" s="31" t="n">
        <f aca="false">IF($A121="",0,N(INDEX(Data_Pipeline!$E:$E,21+1)))</f>
        <v>0</v>
      </c>
      <c r="E121" s="30" t="str">
        <f aca="false">IF(INDEX(Data_Pipeline!$F:$F,21+1)="","",INDEX(Data_Pipeline!$F:$F,21+1))</f>
        <v/>
      </c>
      <c r="F121" s="25" t="n">
        <f aca="false">IF($A121="",0,N(INDEX(Data_Pipeline!$G:$G,21+1)))</f>
        <v>0</v>
      </c>
      <c r="G121" s="26" t="n">
        <f aca="false">$F$8*(1-F121)</f>
        <v>0.042</v>
      </c>
      <c r="H121" s="29" t="n">
        <f aca="false">IF(G121=0,0,D121/G121/30.4/1000)</f>
        <v>0</v>
      </c>
      <c r="I121" s="25" t="n">
        <v>0</v>
      </c>
      <c r="J121" s="25" t="n">
        <f aca="false">C121</f>
        <v>0</v>
      </c>
      <c r="K121" s="25" t="n">
        <f aca="false">IF(C121&gt;=0.5,1,C121)</f>
        <v>0</v>
      </c>
      <c r="L121" s="23" t="n">
        <f aca="false">IF(OR($A121="",$E121=""),0,MAX(0,B$7-MAX($E121,B$6)+1))</f>
        <v>0</v>
      </c>
      <c r="M121" s="25" t="n">
        <f aca="false">IF(L121=0,0,MIN(1,0.1+0.9*((MAX($E121,B$6)+B$7)/2-$E121)/Forecast!$C$13))</f>
        <v>0</v>
      </c>
      <c r="N121" s="23" t="n">
        <f aca="false">IF(OR($A121="",$E121=""),0,MAX(0,C$7-MAX($E121,C$6)+1))</f>
        <v>0</v>
      </c>
      <c r="O121" s="25" t="n">
        <f aca="false">IF(N121=0,0,MIN(1,0.1+0.9*((MAX($E121,C$6)+C$7)/2-$E121)/Forecast!$C$13))</f>
        <v>0</v>
      </c>
      <c r="P121" s="23" t="n">
        <f aca="false">IF(OR($A121="",$E121=""),0,MAX(0,D$7-MAX($E121,D$6)+1))</f>
        <v>0</v>
      </c>
      <c r="Q121" s="25" t="n">
        <f aca="false">IF(P121=0,0,MIN(1,0.1+0.9*((MAX($E121,D$6)+D$7)/2-$E121)/Forecast!$C$13))</f>
        <v>0</v>
      </c>
    </row>
    <row r="122" customFormat="false" ht="15" hidden="false" customHeight="false" outlineLevel="0" collapsed="false">
      <c r="A122" s="3" t="str">
        <f aca="false">IF(INDEX(Data_Pipeline!$A:$A,22+1)="","",INDEX(Data_Pipeline!$A:$A,22+1))</f>
        <v/>
      </c>
      <c r="B122" s="3" t="str">
        <f aca="false">IF(INDEX(Data_Pipeline!$B:$B,22+1)="","",INDEX(Data_Pipeline!$B:$B,22+1))</f>
        <v/>
      </c>
      <c r="C122" s="25" t="n">
        <f aca="false">IF($A122="",0,N(INDEX(Data_Pipeline!$D:$D,22+1)))</f>
        <v>0</v>
      </c>
      <c r="D122" s="31" t="n">
        <f aca="false">IF($A122="",0,N(INDEX(Data_Pipeline!$E:$E,22+1)))</f>
        <v>0</v>
      </c>
      <c r="E122" s="30" t="str">
        <f aca="false">IF(INDEX(Data_Pipeline!$F:$F,22+1)="","",INDEX(Data_Pipeline!$F:$F,22+1))</f>
        <v/>
      </c>
      <c r="F122" s="25" t="n">
        <f aca="false">IF($A122="",0,N(INDEX(Data_Pipeline!$G:$G,22+1)))</f>
        <v>0</v>
      </c>
      <c r="G122" s="26" t="n">
        <f aca="false">$F$8*(1-F122)</f>
        <v>0.042</v>
      </c>
      <c r="H122" s="29" t="n">
        <f aca="false">IF(G122=0,0,D122/G122/30.4/1000)</f>
        <v>0</v>
      </c>
      <c r="I122" s="25" t="n">
        <v>0</v>
      </c>
      <c r="J122" s="25" t="n">
        <f aca="false">C122</f>
        <v>0</v>
      </c>
      <c r="K122" s="25" t="n">
        <f aca="false">IF(C122&gt;=0.5,1,C122)</f>
        <v>0</v>
      </c>
      <c r="L122" s="23" t="n">
        <f aca="false">IF(OR($A122="",$E122=""),0,MAX(0,B$7-MAX($E122,B$6)+1))</f>
        <v>0</v>
      </c>
      <c r="M122" s="25" t="n">
        <f aca="false">IF(L122=0,0,MIN(1,0.1+0.9*((MAX($E122,B$6)+B$7)/2-$E122)/Forecast!$C$13))</f>
        <v>0</v>
      </c>
      <c r="N122" s="23" t="n">
        <f aca="false">IF(OR($A122="",$E122=""),0,MAX(0,C$7-MAX($E122,C$6)+1))</f>
        <v>0</v>
      </c>
      <c r="O122" s="25" t="n">
        <f aca="false">IF(N122=0,0,MIN(1,0.1+0.9*((MAX($E122,C$6)+C$7)/2-$E122)/Forecast!$C$13))</f>
        <v>0</v>
      </c>
      <c r="P122" s="23" t="n">
        <f aca="false">IF(OR($A122="",$E122=""),0,MAX(0,D$7-MAX($E122,D$6)+1))</f>
        <v>0</v>
      </c>
      <c r="Q122" s="25" t="n">
        <f aca="false">IF(P122=0,0,MIN(1,0.1+0.9*((MAX($E122,D$6)+D$7)/2-$E122)/Forecast!$C$13))</f>
        <v>0</v>
      </c>
    </row>
    <row r="123" customFormat="false" ht="15" hidden="false" customHeight="false" outlineLevel="0" collapsed="false">
      <c r="A123" s="3" t="str">
        <f aca="false">IF(INDEX(Data_Pipeline!$A:$A,23+1)="","",INDEX(Data_Pipeline!$A:$A,23+1))</f>
        <v/>
      </c>
      <c r="B123" s="3" t="str">
        <f aca="false">IF(INDEX(Data_Pipeline!$B:$B,23+1)="","",INDEX(Data_Pipeline!$B:$B,23+1))</f>
        <v/>
      </c>
      <c r="C123" s="25" t="n">
        <f aca="false">IF($A123="",0,N(INDEX(Data_Pipeline!$D:$D,23+1)))</f>
        <v>0</v>
      </c>
      <c r="D123" s="31" t="n">
        <f aca="false">IF($A123="",0,N(INDEX(Data_Pipeline!$E:$E,23+1)))</f>
        <v>0</v>
      </c>
      <c r="E123" s="30" t="str">
        <f aca="false">IF(INDEX(Data_Pipeline!$F:$F,23+1)="","",INDEX(Data_Pipeline!$F:$F,23+1))</f>
        <v/>
      </c>
      <c r="F123" s="25" t="n">
        <f aca="false">IF($A123="",0,N(INDEX(Data_Pipeline!$G:$G,23+1)))</f>
        <v>0</v>
      </c>
      <c r="G123" s="26" t="n">
        <f aca="false">$F$8*(1-F123)</f>
        <v>0.042</v>
      </c>
      <c r="H123" s="29" t="n">
        <f aca="false">IF(G123=0,0,D123/G123/30.4/1000)</f>
        <v>0</v>
      </c>
      <c r="I123" s="25" t="n">
        <v>0</v>
      </c>
      <c r="J123" s="25" t="n">
        <f aca="false">C123</f>
        <v>0</v>
      </c>
      <c r="K123" s="25" t="n">
        <f aca="false">IF(C123&gt;=0.5,1,C123)</f>
        <v>0</v>
      </c>
      <c r="L123" s="23" t="n">
        <f aca="false">IF(OR($A123="",$E123=""),0,MAX(0,B$7-MAX($E123,B$6)+1))</f>
        <v>0</v>
      </c>
      <c r="M123" s="25" t="n">
        <f aca="false">IF(L123=0,0,MIN(1,0.1+0.9*((MAX($E123,B$6)+B$7)/2-$E123)/Forecast!$C$13))</f>
        <v>0</v>
      </c>
      <c r="N123" s="23" t="n">
        <f aca="false">IF(OR($A123="",$E123=""),0,MAX(0,C$7-MAX($E123,C$6)+1))</f>
        <v>0</v>
      </c>
      <c r="O123" s="25" t="n">
        <f aca="false">IF(N123=0,0,MIN(1,0.1+0.9*((MAX($E123,C$6)+C$7)/2-$E123)/Forecast!$C$13))</f>
        <v>0</v>
      </c>
      <c r="P123" s="23" t="n">
        <f aca="false">IF(OR($A123="",$E123=""),0,MAX(0,D$7-MAX($E123,D$6)+1))</f>
        <v>0</v>
      </c>
      <c r="Q123" s="25" t="n">
        <f aca="false">IF(P123=0,0,MIN(1,0.1+0.9*((MAX($E123,D$6)+D$7)/2-$E123)/Forecast!$C$13))</f>
        <v>0</v>
      </c>
    </row>
    <row r="124" customFormat="false" ht="15" hidden="false" customHeight="false" outlineLevel="0" collapsed="false">
      <c r="A124" s="3" t="str">
        <f aca="false">IF(INDEX(Data_Pipeline!$A:$A,24+1)="","",INDEX(Data_Pipeline!$A:$A,24+1))</f>
        <v/>
      </c>
      <c r="B124" s="3" t="str">
        <f aca="false">IF(INDEX(Data_Pipeline!$B:$B,24+1)="","",INDEX(Data_Pipeline!$B:$B,24+1))</f>
        <v/>
      </c>
      <c r="C124" s="25" t="n">
        <f aca="false">IF($A124="",0,N(INDEX(Data_Pipeline!$D:$D,24+1)))</f>
        <v>0</v>
      </c>
      <c r="D124" s="31" t="n">
        <f aca="false">IF($A124="",0,N(INDEX(Data_Pipeline!$E:$E,24+1)))</f>
        <v>0</v>
      </c>
      <c r="E124" s="30" t="str">
        <f aca="false">IF(INDEX(Data_Pipeline!$F:$F,24+1)="","",INDEX(Data_Pipeline!$F:$F,24+1))</f>
        <v/>
      </c>
      <c r="F124" s="25" t="n">
        <f aca="false">IF($A124="",0,N(INDEX(Data_Pipeline!$G:$G,24+1)))</f>
        <v>0</v>
      </c>
      <c r="G124" s="26" t="n">
        <f aca="false">$F$8*(1-F124)</f>
        <v>0.042</v>
      </c>
      <c r="H124" s="29" t="n">
        <f aca="false">IF(G124=0,0,D124/G124/30.4/1000)</f>
        <v>0</v>
      </c>
      <c r="I124" s="25" t="n">
        <v>0</v>
      </c>
      <c r="J124" s="25" t="n">
        <f aca="false">C124</f>
        <v>0</v>
      </c>
      <c r="K124" s="25" t="n">
        <f aca="false">IF(C124&gt;=0.5,1,C124)</f>
        <v>0</v>
      </c>
      <c r="L124" s="23" t="n">
        <f aca="false">IF(OR($A124="",$E124=""),0,MAX(0,B$7-MAX($E124,B$6)+1))</f>
        <v>0</v>
      </c>
      <c r="M124" s="25" t="n">
        <f aca="false">IF(L124=0,0,MIN(1,0.1+0.9*((MAX($E124,B$6)+B$7)/2-$E124)/Forecast!$C$13))</f>
        <v>0</v>
      </c>
      <c r="N124" s="23" t="n">
        <f aca="false">IF(OR($A124="",$E124=""),0,MAX(0,C$7-MAX($E124,C$6)+1))</f>
        <v>0</v>
      </c>
      <c r="O124" s="25" t="n">
        <f aca="false">IF(N124=0,0,MIN(1,0.1+0.9*((MAX($E124,C$6)+C$7)/2-$E124)/Forecast!$C$13))</f>
        <v>0</v>
      </c>
      <c r="P124" s="23" t="n">
        <f aca="false">IF(OR($A124="",$E124=""),0,MAX(0,D$7-MAX($E124,D$6)+1))</f>
        <v>0</v>
      </c>
      <c r="Q124" s="25" t="n">
        <f aca="false">IF(P124=0,0,MIN(1,0.1+0.9*((MAX($E124,D$6)+D$7)/2-$E124)/Forecast!$C$13))</f>
        <v>0</v>
      </c>
    </row>
    <row r="125" customFormat="false" ht="15" hidden="false" customHeight="false" outlineLevel="0" collapsed="false">
      <c r="A125" s="3" t="str">
        <f aca="false">IF(INDEX(Data_Pipeline!$A:$A,25+1)="","",INDEX(Data_Pipeline!$A:$A,25+1))</f>
        <v/>
      </c>
      <c r="B125" s="3" t="str">
        <f aca="false">IF(INDEX(Data_Pipeline!$B:$B,25+1)="","",INDEX(Data_Pipeline!$B:$B,25+1))</f>
        <v/>
      </c>
      <c r="C125" s="25" t="n">
        <f aca="false">IF($A125="",0,N(INDEX(Data_Pipeline!$D:$D,25+1)))</f>
        <v>0</v>
      </c>
      <c r="D125" s="31" t="n">
        <f aca="false">IF($A125="",0,N(INDEX(Data_Pipeline!$E:$E,25+1)))</f>
        <v>0</v>
      </c>
      <c r="E125" s="30" t="str">
        <f aca="false">IF(INDEX(Data_Pipeline!$F:$F,25+1)="","",INDEX(Data_Pipeline!$F:$F,25+1))</f>
        <v/>
      </c>
      <c r="F125" s="25" t="n">
        <f aca="false">IF($A125="",0,N(INDEX(Data_Pipeline!$G:$G,25+1)))</f>
        <v>0</v>
      </c>
      <c r="G125" s="26" t="n">
        <f aca="false">$F$8*(1-F125)</f>
        <v>0.042</v>
      </c>
      <c r="H125" s="29" t="n">
        <f aca="false">IF(G125=0,0,D125/G125/30.4/1000)</f>
        <v>0</v>
      </c>
      <c r="I125" s="25" t="n">
        <v>0</v>
      </c>
      <c r="J125" s="25" t="n">
        <f aca="false">C125</f>
        <v>0</v>
      </c>
      <c r="K125" s="25" t="n">
        <f aca="false">IF(C125&gt;=0.5,1,C125)</f>
        <v>0</v>
      </c>
      <c r="L125" s="23" t="n">
        <f aca="false">IF(OR($A125="",$E125=""),0,MAX(0,B$7-MAX($E125,B$6)+1))</f>
        <v>0</v>
      </c>
      <c r="M125" s="25" t="n">
        <f aca="false">IF(L125=0,0,MIN(1,0.1+0.9*((MAX($E125,B$6)+B$7)/2-$E125)/Forecast!$C$13))</f>
        <v>0</v>
      </c>
      <c r="N125" s="23" t="n">
        <f aca="false">IF(OR($A125="",$E125=""),0,MAX(0,C$7-MAX($E125,C$6)+1))</f>
        <v>0</v>
      </c>
      <c r="O125" s="25" t="n">
        <f aca="false">IF(N125=0,0,MIN(1,0.1+0.9*((MAX($E125,C$6)+C$7)/2-$E125)/Forecast!$C$13))</f>
        <v>0</v>
      </c>
      <c r="P125" s="23" t="n">
        <f aca="false">IF(OR($A125="",$E125=""),0,MAX(0,D$7-MAX($E125,D$6)+1))</f>
        <v>0</v>
      </c>
      <c r="Q125" s="25" t="n">
        <f aca="false">IF(P125=0,0,MIN(1,0.1+0.9*((MAX($E125,D$6)+D$7)/2-$E125)/Forecast!$C$13))</f>
        <v>0</v>
      </c>
    </row>
    <row r="126" customFormat="false" ht="15" hidden="false" customHeight="false" outlineLevel="0" collapsed="false">
      <c r="A126" s="3" t="str">
        <f aca="false">IF(INDEX(Data_Pipeline!$A:$A,26+1)="","",INDEX(Data_Pipeline!$A:$A,26+1))</f>
        <v/>
      </c>
      <c r="B126" s="3" t="str">
        <f aca="false">IF(INDEX(Data_Pipeline!$B:$B,26+1)="","",INDEX(Data_Pipeline!$B:$B,26+1))</f>
        <v/>
      </c>
      <c r="C126" s="25" t="n">
        <f aca="false">IF($A126="",0,N(INDEX(Data_Pipeline!$D:$D,26+1)))</f>
        <v>0</v>
      </c>
      <c r="D126" s="31" t="n">
        <f aca="false">IF($A126="",0,N(INDEX(Data_Pipeline!$E:$E,26+1)))</f>
        <v>0</v>
      </c>
      <c r="E126" s="30" t="str">
        <f aca="false">IF(INDEX(Data_Pipeline!$F:$F,26+1)="","",INDEX(Data_Pipeline!$F:$F,26+1))</f>
        <v/>
      </c>
      <c r="F126" s="25" t="n">
        <f aca="false">IF($A126="",0,N(INDEX(Data_Pipeline!$G:$G,26+1)))</f>
        <v>0</v>
      </c>
      <c r="G126" s="26" t="n">
        <f aca="false">$F$8*(1-F126)</f>
        <v>0.042</v>
      </c>
      <c r="H126" s="29" t="n">
        <f aca="false">IF(G126=0,0,D126/G126/30.4/1000)</f>
        <v>0</v>
      </c>
      <c r="I126" s="25" t="n">
        <v>0</v>
      </c>
      <c r="J126" s="25" t="n">
        <f aca="false">C126</f>
        <v>0</v>
      </c>
      <c r="K126" s="25" t="n">
        <f aca="false">IF(C126&gt;=0.5,1,C126)</f>
        <v>0</v>
      </c>
      <c r="L126" s="23" t="n">
        <f aca="false">IF(OR($A126="",$E126=""),0,MAX(0,B$7-MAX($E126,B$6)+1))</f>
        <v>0</v>
      </c>
      <c r="M126" s="25" t="n">
        <f aca="false">IF(L126=0,0,MIN(1,0.1+0.9*((MAX($E126,B$6)+B$7)/2-$E126)/Forecast!$C$13))</f>
        <v>0</v>
      </c>
      <c r="N126" s="23" t="n">
        <f aca="false">IF(OR($A126="",$E126=""),0,MAX(0,C$7-MAX($E126,C$6)+1))</f>
        <v>0</v>
      </c>
      <c r="O126" s="25" t="n">
        <f aca="false">IF(N126=0,0,MIN(1,0.1+0.9*((MAX($E126,C$6)+C$7)/2-$E126)/Forecast!$C$13))</f>
        <v>0</v>
      </c>
      <c r="P126" s="23" t="n">
        <f aca="false">IF(OR($A126="",$E126=""),0,MAX(0,D$7-MAX($E126,D$6)+1))</f>
        <v>0</v>
      </c>
      <c r="Q126" s="25" t="n">
        <f aca="false">IF(P126=0,0,MIN(1,0.1+0.9*((MAX($E126,D$6)+D$7)/2-$E126)/Forecast!$C$13))</f>
        <v>0</v>
      </c>
    </row>
    <row r="127" customFormat="false" ht="15" hidden="false" customHeight="false" outlineLevel="0" collapsed="false">
      <c r="A127" s="3" t="str">
        <f aca="false">IF(INDEX(Data_Pipeline!$A:$A,27+1)="","",INDEX(Data_Pipeline!$A:$A,27+1))</f>
        <v/>
      </c>
      <c r="B127" s="3" t="str">
        <f aca="false">IF(INDEX(Data_Pipeline!$B:$B,27+1)="","",INDEX(Data_Pipeline!$B:$B,27+1))</f>
        <v/>
      </c>
      <c r="C127" s="25" t="n">
        <f aca="false">IF($A127="",0,N(INDEX(Data_Pipeline!$D:$D,27+1)))</f>
        <v>0</v>
      </c>
      <c r="D127" s="31" t="n">
        <f aca="false">IF($A127="",0,N(INDEX(Data_Pipeline!$E:$E,27+1)))</f>
        <v>0</v>
      </c>
      <c r="E127" s="30" t="str">
        <f aca="false">IF(INDEX(Data_Pipeline!$F:$F,27+1)="","",INDEX(Data_Pipeline!$F:$F,27+1))</f>
        <v/>
      </c>
      <c r="F127" s="25" t="n">
        <f aca="false">IF($A127="",0,N(INDEX(Data_Pipeline!$G:$G,27+1)))</f>
        <v>0</v>
      </c>
      <c r="G127" s="26" t="n">
        <f aca="false">$F$8*(1-F127)</f>
        <v>0.042</v>
      </c>
      <c r="H127" s="29" t="n">
        <f aca="false">IF(G127=0,0,D127/G127/30.4/1000)</f>
        <v>0</v>
      </c>
      <c r="I127" s="25" t="n">
        <v>0</v>
      </c>
      <c r="J127" s="25" t="n">
        <f aca="false">C127</f>
        <v>0</v>
      </c>
      <c r="K127" s="25" t="n">
        <f aca="false">IF(C127&gt;=0.5,1,C127)</f>
        <v>0</v>
      </c>
      <c r="L127" s="23" t="n">
        <f aca="false">IF(OR($A127="",$E127=""),0,MAX(0,B$7-MAX($E127,B$6)+1))</f>
        <v>0</v>
      </c>
      <c r="M127" s="25" t="n">
        <f aca="false">IF(L127=0,0,MIN(1,0.1+0.9*((MAX($E127,B$6)+B$7)/2-$E127)/Forecast!$C$13))</f>
        <v>0</v>
      </c>
      <c r="N127" s="23" t="n">
        <f aca="false">IF(OR($A127="",$E127=""),0,MAX(0,C$7-MAX($E127,C$6)+1))</f>
        <v>0</v>
      </c>
      <c r="O127" s="25" t="n">
        <f aca="false">IF(N127=0,0,MIN(1,0.1+0.9*((MAX($E127,C$6)+C$7)/2-$E127)/Forecast!$C$13))</f>
        <v>0</v>
      </c>
      <c r="P127" s="23" t="n">
        <f aca="false">IF(OR($A127="",$E127=""),0,MAX(0,D$7-MAX($E127,D$6)+1))</f>
        <v>0</v>
      </c>
      <c r="Q127" s="25" t="n">
        <f aca="false">IF(P127=0,0,MIN(1,0.1+0.9*((MAX($E127,D$6)+D$7)/2-$E127)/Forecast!$C$13))</f>
        <v>0</v>
      </c>
    </row>
    <row r="128" customFormat="false" ht="15" hidden="false" customHeight="false" outlineLevel="0" collapsed="false">
      <c r="A128" s="3" t="str">
        <f aca="false">IF(INDEX(Data_Pipeline!$A:$A,28+1)="","",INDEX(Data_Pipeline!$A:$A,28+1))</f>
        <v/>
      </c>
      <c r="B128" s="3" t="str">
        <f aca="false">IF(INDEX(Data_Pipeline!$B:$B,28+1)="","",INDEX(Data_Pipeline!$B:$B,28+1))</f>
        <v/>
      </c>
      <c r="C128" s="25" t="n">
        <f aca="false">IF($A128="",0,N(INDEX(Data_Pipeline!$D:$D,28+1)))</f>
        <v>0</v>
      </c>
      <c r="D128" s="31" t="n">
        <f aca="false">IF($A128="",0,N(INDEX(Data_Pipeline!$E:$E,28+1)))</f>
        <v>0</v>
      </c>
      <c r="E128" s="30" t="str">
        <f aca="false">IF(INDEX(Data_Pipeline!$F:$F,28+1)="","",INDEX(Data_Pipeline!$F:$F,28+1))</f>
        <v/>
      </c>
      <c r="F128" s="25" t="n">
        <f aca="false">IF($A128="",0,N(INDEX(Data_Pipeline!$G:$G,28+1)))</f>
        <v>0</v>
      </c>
      <c r="G128" s="26" t="n">
        <f aca="false">$F$8*(1-F128)</f>
        <v>0.042</v>
      </c>
      <c r="H128" s="29" t="n">
        <f aca="false">IF(G128=0,0,D128/G128/30.4/1000)</f>
        <v>0</v>
      </c>
      <c r="I128" s="25" t="n">
        <v>0</v>
      </c>
      <c r="J128" s="25" t="n">
        <f aca="false">C128</f>
        <v>0</v>
      </c>
      <c r="K128" s="25" t="n">
        <f aca="false">IF(C128&gt;=0.5,1,C128)</f>
        <v>0</v>
      </c>
      <c r="L128" s="23" t="n">
        <f aca="false">IF(OR($A128="",$E128=""),0,MAX(0,B$7-MAX($E128,B$6)+1))</f>
        <v>0</v>
      </c>
      <c r="M128" s="25" t="n">
        <f aca="false">IF(L128=0,0,MIN(1,0.1+0.9*((MAX($E128,B$6)+B$7)/2-$E128)/Forecast!$C$13))</f>
        <v>0</v>
      </c>
      <c r="N128" s="23" t="n">
        <f aca="false">IF(OR($A128="",$E128=""),0,MAX(0,C$7-MAX($E128,C$6)+1))</f>
        <v>0</v>
      </c>
      <c r="O128" s="25" t="n">
        <f aca="false">IF(N128=0,0,MIN(1,0.1+0.9*((MAX($E128,C$6)+C$7)/2-$E128)/Forecast!$C$13))</f>
        <v>0</v>
      </c>
      <c r="P128" s="23" t="n">
        <f aca="false">IF(OR($A128="",$E128=""),0,MAX(0,D$7-MAX($E128,D$6)+1))</f>
        <v>0</v>
      </c>
      <c r="Q128" s="25" t="n">
        <f aca="false">IF(P128=0,0,MIN(1,0.1+0.9*((MAX($E128,D$6)+D$7)/2-$E128)/Forecast!$C$13))</f>
        <v>0</v>
      </c>
    </row>
    <row r="129" customFormat="false" ht="15" hidden="false" customHeight="false" outlineLevel="0" collapsed="false">
      <c r="A129" s="3" t="str">
        <f aca="false">IF(INDEX(Data_Pipeline!$A:$A,29+1)="","",INDEX(Data_Pipeline!$A:$A,29+1))</f>
        <v/>
      </c>
      <c r="B129" s="3" t="str">
        <f aca="false">IF(INDEX(Data_Pipeline!$B:$B,29+1)="","",INDEX(Data_Pipeline!$B:$B,29+1))</f>
        <v/>
      </c>
      <c r="C129" s="25" t="n">
        <f aca="false">IF($A129="",0,N(INDEX(Data_Pipeline!$D:$D,29+1)))</f>
        <v>0</v>
      </c>
      <c r="D129" s="31" t="n">
        <f aca="false">IF($A129="",0,N(INDEX(Data_Pipeline!$E:$E,29+1)))</f>
        <v>0</v>
      </c>
      <c r="E129" s="30" t="str">
        <f aca="false">IF(INDEX(Data_Pipeline!$F:$F,29+1)="","",INDEX(Data_Pipeline!$F:$F,29+1))</f>
        <v/>
      </c>
      <c r="F129" s="25" t="n">
        <f aca="false">IF($A129="",0,N(INDEX(Data_Pipeline!$G:$G,29+1)))</f>
        <v>0</v>
      </c>
      <c r="G129" s="26" t="n">
        <f aca="false">$F$8*(1-F129)</f>
        <v>0.042</v>
      </c>
      <c r="H129" s="29" t="n">
        <f aca="false">IF(G129=0,0,D129/G129/30.4/1000)</f>
        <v>0</v>
      </c>
      <c r="I129" s="25" t="n">
        <v>0</v>
      </c>
      <c r="J129" s="25" t="n">
        <f aca="false">C129</f>
        <v>0</v>
      </c>
      <c r="K129" s="25" t="n">
        <f aca="false">IF(C129&gt;=0.5,1,C129)</f>
        <v>0</v>
      </c>
      <c r="L129" s="23" t="n">
        <f aca="false">IF(OR($A129="",$E129=""),0,MAX(0,B$7-MAX($E129,B$6)+1))</f>
        <v>0</v>
      </c>
      <c r="M129" s="25" t="n">
        <f aca="false">IF(L129=0,0,MIN(1,0.1+0.9*((MAX($E129,B$6)+B$7)/2-$E129)/Forecast!$C$13))</f>
        <v>0</v>
      </c>
      <c r="N129" s="23" t="n">
        <f aca="false">IF(OR($A129="",$E129=""),0,MAX(0,C$7-MAX($E129,C$6)+1))</f>
        <v>0</v>
      </c>
      <c r="O129" s="25" t="n">
        <f aca="false">IF(N129=0,0,MIN(1,0.1+0.9*((MAX($E129,C$6)+C$7)/2-$E129)/Forecast!$C$13))</f>
        <v>0</v>
      </c>
      <c r="P129" s="23" t="n">
        <f aca="false">IF(OR($A129="",$E129=""),0,MAX(0,D$7-MAX($E129,D$6)+1))</f>
        <v>0</v>
      </c>
      <c r="Q129" s="25" t="n">
        <f aca="false">IF(P129=0,0,MIN(1,0.1+0.9*((MAX($E129,D$6)+D$7)/2-$E129)/Forecast!$C$13))</f>
        <v>0</v>
      </c>
    </row>
    <row r="130" customFormat="false" ht="15" hidden="false" customHeight="false" outlineLevel="0" collapsed="false">
      <c r="A130" s="3" t="str">
        <f aca="false">IF(INDEX(Data_Pipeline!$A:$A,30+1)="","",INDEX(Data_Pipeline!$A:$A,30+1))</f>
        <v/>
      </c>
      <c r="B130" s="3" t="str">
        <f aca="false">IF(INDEX(Data_Pipeline!$B:$B,30+1)="","",INDEX(Data_Pipeline!$B:$B,30+1))</f>
        <v/>
      </c>
      <c r="C130" s="25" t="n">
        <f aca="false">IF($A130="",0,N(INDEX(Data_Pipeline!$D:$D,30+1)))</f>
        <v>0</v>
      </c>
      <c r="D130" s="31" t="n">
        <f aca="false">IF($A130="",0,N(INDEX(Data_Pipeline!$E:$E,30+1)))</f>
        <v>0</v>
      </c>
      <c r="E130" s="30" t="str">
        <f aca="false">IF(INDEX(Data_Pipeline!$F:$F,30+1)="","",INDEX(Data_Pipeline!$F:$F,30+1))</f>
        <v/>
      </c>
      <c r="F130" s="25" t="n">
        <f aca="false">IF($A130="",0,N(INDEX(Data_Pipeline!$G:$G,30+1)))</f>
        <v>0</v>
      </c>
      <c r="G130" s="26" t="n">
        <f aca="false">$F$8*(1-F130)</f>
        <v>0.042</v>
      </c>
      <c r="H130" s="29" t="n">
        <f aca="false">IF(G130=0,0,D130/G130/30.4/1000)</f>
        <v>0</v>
      </c>
      <c r="I130" s="25" t="n">
        <v>0</v>
      </c>
      <c r="J130" s="25" t="n">
        <f aca="false">C130</f>
        <v>0</v>
      </c>
      <c r="K130" s="25" t="n">
        <f aca="false">IF(C130&gt;=0.5,1,C130)</f>
        <v>0</v>
      </c>
      <c r="L130" s="23" t="n">
        <f aca="false">IF(OR($A130="",$E130=""),0,MAX(0,B$7-MAX($E130,B$6)+1))</f>
        <v>0</v>
      </c>
      <c r="M130" s="25" t="n">
        <f aca="false">IF(L130=0,0,MIN(1,0.1+0.9*((MAX($E130,B$6)+B$7)/2-$E130)/Forecast!$C$13))</f>
        <v>0</v>
      </c>
      <c r="N130" s="23" t="n">
        <f aca="false">IF(OR($A130="",$E130=""),0,MAX(0,C$7-MAX($E130,C$6)+1))</f>
        <v>0</v>
      </c>
      <c r="O130" s="25" t="n">
        <f aca="false">IF(N130=0,0,MIN(1,0.1+0.9*((MAX($E130,C$6)+C$7)/2-$E130)/Forecast!$C$13))</f>
        <v>0</v>
      </c>
      <c r="P130" s="23" t="n">
        <f aca="false">IF(OR($A130="",$E130=""),0,MAX(0,D$7-MAX($E130,D$6)+1))</f>
        <v>0</v>
      </c>
      <c r="Q130" s="25" t="n">
        <f aca="false">IF(P130=0,0,MIN(1,0.1+0.9*((MAX($E130,D$6)+D$7)/2-$E130)/Forecast!$C$13))</f>
        <v>0</v>
      </c>
    </row>
    <row r="131" customFormat="false" ht="15" hidden="false" customHeight="false" outlineLevel="0" collapsed="false">
      <c r="A131" s="3" t="str">
        <f aca="false">IF(INDEX(Data_Pipeline!$A:$A,31+1)="","",INDEX(Data_Pipeline!$A:$A,31+1))</f>
        <v/>
      </c>
      <c r="B131" s="3" t="str">
        <f aca="false">IF(INDEX(Data_Pipeline!$B:$B,31+1)="","",INDEX(Data_Pipeline!$B:$B,31+1))</f>
        <v/>
      </c>
      <c r="C131" s="25" t="n">
        <f aca="false">IF($A131="",0,N(INDEX(Data_Pipeline!$D:$D,31+1)))</f>
        <v>0</v>
      </c>
      <c r="D131" s="31" t="n">
        <f aca="false">IF($A131="",0,N(INDEX(Data_Pipeline!$E:$E,31+1)))</f>
        <v>0</v>
      </c>
      <c r="E131" s="30" t="str">
        <f aca="false">IF(INDEX(Data_Pipeline!$F:$F,31+1)="","",INDEX(Data_Pipeline!$F:$F,31+1))</f>
        <v/>
      </c>
      <c r="F131" s="25" t="n">
        <f aca="false">IF($A131="",0,N(INDEX(Data_Pipeline!$G:$G,31+1)))</f>
        <v>0</v>
      </c>
      <c r="G131" s="26" t="n">
        <f aca="false">$F$8*(1-F131)</f>
        <v>0.042</v>
      </c>
      <c r="H131" s="29" t="n">
        <f aca="false">IF(G131=0,0,D131/G131/30.4/1000)</f>
        <v>0</v>
      </c>
      <c r="I131" s="25" t="n">
        <v>0</v>
      </c>
      <c r="J131" s="25" t="n">
        <f aca="false">C131</f>
        <v>0</v>
      </c>
      <c r="K131" s="25" t="n">
        <f aca="false">IF(C131&gt;=0.5,1,C131)</f>
        <v>0</v>
      </c>
      <c r="L131" s="23" t="n">
        <f aca="false">IF(OR($A131="",$E131=""),0,MAX(0,B$7-MAX($E131,B$6)+1))</f>
        <v>0</v>
      </c>
      <c r="M131" s="25" t="n">
        <f aca="false">IF(L131=0,0,MIN(1,0.1+0.9*((MAX($E131,B$6)+B$7)/2-$E131)/Forecast!$C$13))</f>
        <v>0</v>
      </c>
      <c r="N131" s="23" t="n">
        <f aca="false">IF(OR($A131="",$E131=""),0,MAX(0,C$7-MAX($E131,C$6)+1))</f>
        <v>0</v>
      </c>
      <c r="O131" s="25" t="n">
        <f aca="false">IF(N131=0,0,MIN(1,0.1+0.9*((MAX($E131,C$6)+C$7)/2-$E131)/Forecast!$C$13))</f>
        <v>0</v>
      </c>
      <c r="P131" s="23" t="n">
        <f aca="false">IF(OR($A131="",$E131=""),0,MAX(0,D$7-MAX($E131,D$6)+1))</f>
        <v>0</v>
      </c>
      <c r="Q131" s="25" t="n">
        <f aca="false">IF(P131=0,0,MIN(1,0.1+0.9*((MAX($E131,D$6)+D$7)/2-$E131)/Forecast!$C$13))</f>
        <v>0</v>
      </c>
    </row>
    <row r="132" customFormat="false" ht="15" hidden="false" customHeight="false" outlineLevel="0" collapsed="false">
      <c r="A132" s="3" t="str">
        <f aca="false">IF(INDEX(Data_Pipeline!$A:$A,32+1)="","",INDEX(Data_Pipeline!$A:$A,32+1))</f>
        <v/>
      </c>
      <c r="B132" s="3" t="str">
        <f aca="false">IF(INDEX(Data_Pipeline!$B:$B,32+1)="","",INDEX(Data_Pipeline!$B:$B,32+1))</f>
        <v/>
      </c>
      <c r="C132" s="25" t="n">
        <f aca="false">IF($A132="",0,N(INDEX(Data_Pipeline!$D:$D,32+1)))</f>
        <v>0</v>
      </c>
      <c r="D132" s="31" t="n">
        <f aca="false">IF($A132="",0,N(INDEX(Data_Pipeline!$E:$E,32+1)))</f>
        <v>0</v>
      </c>
      <c r="E132" s="30" t="str">
        <f aca="false">IF(INDEX(Data_Pipeline!$F:$F,32+1)="","",INDEX(Data_Pipeline!$F:$F,32+1))</f>
        <v/>
      </c>
      <c r="F132" s="25" t="n">
        <f aca="false">IF($A132="",0,N(INDEX(Data_Pipeline!$G:$G,32+1)))</f>
        <v>0</v>
      </c>
      <c r="G132" s="26" t="n">
        <f aca="false">$F$8*(1-F132)</f>
        <v>0.042</v>
      </c>
      <c r="H132" s="29" t="n">
        <f aca="false">IF(G132=0,0,D132/G132/30.4/1000)</f>
        <v>0</v>
      </c>
      <c r="I132" s="25" t="n">
        <v>0</v>
      </c>
      <c r="J132" s="25" t="n">
        <f aca="false">C132</f>
        <v>0</v>
      </c>
      <c r="K132" s="25" t="n">
        <f aca="false">IF(C132&gt;=0.5,1,C132)</f>
        <v>0</v>
      </c>
      <c r="L132" s="23" t="n">
        <f aca="false">IF(OR($A132="",$E132=""),0,MAX(0,B$7-MAX($E132,B$6)+1))</f>
        <v>0</v>
      </c>
      <c r="M132" s="25" t="n">
        <f aca="false">IF(L132=0,0,MIN(1,0.1+0.9*((MAX($E132,B$6)+B$7)/2-$E132)/Forecast!$C$13))</f>
        <v>0</v>
      </c>
      <c r="N132" s="23" t="n">
        <f aca="false">IF(OR($A132="",$E132=""),0,MAX(0,C$7-MAX($E132,C$6)+1))</f>
        <v>0</v>
      </c>
      <c r="O132" s="25" t="n">
        <f aca="false">IF(N132=0,0,MIN(1,0.1+0.9*((MAX($E132,C$6)+C$7)/2-$E132)/Forecast!$C$13))</f>
        <v>0</v>
      </c>
      <c r="P132" s="23" t="n">
        <f aca="false">IF(OR($A132="",$E132=""),0,MAX(0,D$7-MAX($E132,D$6)+1))</f>
        <v>0</v>
      </c>
      <c r="Q132" s="25" t="n">
        <f aca="false">IF(P132=0,0,MIN(1,0.1+0.9*((MAX($E132,D$6)+D$7)/2-$E132)/Forecast!$C$13))</f>
        <v>0</v>
      </c>
    </row>
    <row r="133" customFormat="false" ht="15" hidden="false" customHeight="false" outlineLevel="0" collapsed="false">
      <c r="A133" s="3" t="str">
        <f aca="false">IF(INDEX(Data_Pipeline!$A:$A,33+1)="","",INDEX(Data_Pipeline!$A:$A,33+1))</f>
        <v/>
      </c>
      <c r="B133" s="3" t="str">
        <f aca="false">IF(INDEX(Data_Pipeline!$B:$B,33+1)="","",INDEX(Data_Pipeline!$B:$B,33+1))</f>
        <v/>
      </c>
      <c r="C133" s="25" t="n">
        <f aca="false">IF($A133="",0,N(INDEX(Data_Pipeline!$D:$D,33+1)))</f>
        <v>0</v>
      </c>
      <c r="D133" s="31" t="n">
        <f aca="false">IF($A133="",0,N(INDEX(Data_Pipeline!$E:$E,33+1)))</f>
        <v>0</v>
      </c>
      <c r="E133" s="30" t="str">
        <f aca="false">IF(INDEX(Data_Pipeline!$F:$F,33+1)="","",INDEX(Data_Pipeline!$F:$F,33+1))</f>
        <v/>
      </c>
      <c r="F133" s="25" t="n">
        <f aca="false">IF($A133="",0,N(INDEX(Data_Pipeline!$G:$G,33+1)))</f>
        <v>0</v>
      </c>
      <c r="G133" s="26" t="n">
        <f aca="false">$F$8*(1-F133)</f>
        <v>0.042</v>
      </c>
      <c r="H133" s="29" t="n">
        <f aca="false">IF(G133=0,0,D133/G133/30.4/1000)</f>
        <v>0</v>
      </c>
      <c r="I133" s="25" t="n">
        <v>0</v>
      </c>
      <c r="J133" s="25" t="n">
        <f aca="false">C133</f>
        <v>0</v>
      </c>
      <c r="K133" s="25" t="n">
        <f aca="false">IF(C133&gt;=0.5,1,C133)</f>
        <v>0</v>
      </c>
      <c r="L133" s="23" t="n">
        <f aca="false">IF(OR($A133="",$E133=""),0,MAX(0,B$7-MAX($E133,B$6)+1))</f>
        <v>0</v>
      </c>
      <c r="M133" s="25" t="n">
        <f aca="false">IF(L133=0,0,MIN(1,0.1+0.9*((MAX($E133,B$6)+B$7)/2-$E133)/Forecast!$C$13))</f>
        <v>0</v>
      </c>
      <c r="N133" s="23" t="n">
        <f aca="false">IF(OR($A133="",$E133=""),0,MAX(0,C$7-MAX($E133,C$6)+1))</f>
        <v>0</v>
      </c>
      <c r="O133" s="25" t="n">
        <f aca="false">IF(N133=0,0,MIN(1,0.1+0.9*((MAX($E133,C$6)+C$7)/2-$E133)/Forecast!$C$13))</f>
        <v>0</v>
      </c>
      <c r="P133" s="23" t="n">
        <f aca="false">IF(OR($A133="",$E133=""),0,MAX(0,D$7-MAX($E133,D$6)+1))</f>
        <v>0</v>
      </c>
      <c r="Q133" s="25" t="n">
        <f aca="false">IF(P133=0,0,MIN(1,0.1+0.9*((MAX($E133,D$6)+D$7)/2-$E133)/Forecast!$C$13))</f>
        <v>0</v>
      </c>
    </row>
    <row r="134" customFormat="false" ht="15" hidden="false" customHeight="false" outlineLevel="0" collapsed="false">
      <c r="A134" s="3" t="str">
        <f aca="false">IF(INDEX(Data_Pipeline!$A:$A,34+1)="","",INDEX(Data_Pipeline!$A:$A,34+1))</f>
        <v/>
      </c>
      <c r="B134" s="3" t="str">
        <f aca="false">IF(INDEX(Data_Pipeline!$B:$B,34+1)="","",INDEX(Data_Pipeline!$B:$B,34+1))</f>
        <v/>
      </c>
      <c r="C134" s="25" t="n">
        <f aca="false">IF($A134="",0,N(INDEX(Data_Pipeline!$D:$D,34+1)))</f>
        <v>0</v>
      </c>
      <c r="D134" s="31" t="n">
        <f aca="false">IF($A134="",0,N(INDEX(Data_Pipeline!$E:$E,34+1)))</f>
        <v>0</v>
      </c>
      <c r="E134" s="30" t="str">
        <f aca="false">IF(INDEX(Data_Pipeline!$F:$F,34+1)="","",INDEX(Data_Pipeline!$F:$F,34+1))</f>
        <v/>
      </c>
      <c r="F134" s="25" t="n">
        <f aca="false">IF($A134="",0,N(INDEX(Data_Pipeline!$G:$G,34+1)))</f>
        <v>0</v>
      </c>
      <c r="G134" s="26" t="n">
        <f aca="false">$F$8*(1-F134)</f>
        <v>0.042</v>
      </c>
      <c r="H134" s="29" t="n">
        <f aca="false">IF(G134=0,0,D134/G134/30.4/1000)</f>
        <v>0</v>
      </c>
      <c r="I134" s="25" t="n">
        <v>0</v>
      </c>
      <c r="J134" s="25" t="n">
        <f aca="false">C134</f>
        <v>0</v>
      </c>
      <c r="K134" s="25" t="n">
        <f aca="false">IF(C134&gt;=0.5,1,C134)</f>
        <v>0</v>
      </c>
      <c r="L134" s="23" t="n">
        <f aca="false">IF(OR($A134="",$E134=""),0,MAX(0,B$7-MAX($E134,B$6)+1))</f>
        <v>0</v>
      </c>
      <c r="M134" s="25" t="n">
        <f aca="false">IF(L134=0,0,MIN(1,0.1+0.9*((MAX($E134,B$6)+B$7)/2-$E134)/Forecast!$C$13))</f>
        <v>0</v>
      </c>
      <c r="N134" s="23" t="n">
        <f aca="false">IF(OR($A134="",$E134=""),0,MAX(0,C$7-MAX($E134,C$6)+1))</f>
        <v>0</v>
      </c>
      <c r="O134" s="25" t="n">
        <f aca="false">IF(N134=0,0,MIN(1,0.1+0.9*((MAX($E134,C$6)+C$7)/2-$E134)/Forecast!$C$13))</f>
        <v>0</v>
      </c>
      <c r="P134" s="23" t="n">
        <f aca="false">IF(OR($A134="",$E134=""),0,MAX(0,D$7-MAX($E134,D$6)+1))</f>
        <v>0</v>
      </c>
      <c r="Q134" s="25" t="n">
        <f aca="false">IF(P134=0,0,MIN(1,0.1+0.9*((MAX($E134,D$6)+D$7)/2-$E134)/Forecast!$C$13))</f>
        <v>0</v>
      </c>
    </row>
    <row r="135" customFormat="false" ht="15" hidden="false" customHeight="false" outlineLevel="0" collapsed="false">
      <c r="A135" s="3" t="str">
        <f aca="false">IF(INDEX(Data_Pipeline!$A:$A,35+1)="","",INDEX(Data_Pipeline!$A:$A,35+1))</f>
        <v/>
      </c>
      <c r="B135" s="3" t="str">
        <f aca="false">IF(INDEX(Data_Pipeline!$B:$B,35+1)="","",INDEX(Data_Pipeline!$B:$B,35+1))</f>
        <v/>
      </c>
      <c r="C135" s="25" t="n">
        <f aca="false">IF($A135="",0,N(INDEX(Data_Pipeline!$D:$D,35+1)))</f>
        <v>0</v>
      </c>
      <c r="D135" s="31" t="n">
        <f aca="false">IF($A135="",0,N(INDEX(Data_Pipeline!$E:$E,35+1)))</f>
        <v>0</v>
      </c>
      <c r="E135" s="30" t="str">
        <f aca="false">IF(INDEX(Data_Pipeline!$F:$F,35+1)="","",INDEX(Data_Pipeline!$F:$F,35+1))</f>
        <v/>
      </c>
      <c r="F135" s="25" t="n">
        <f aca="false">IF($A135="",0,N(INDEX(Data_Pipeline!$G:$G,35+1)))</f>
        <v>0</v>
      </c>
      <c r="G135" s="26" t="n">
        <f aca="false">$F$8*(1-F135)</f>
        <v>0.042</v>
      </c>
      <c r="H135" s="29" t="n">
        <f aca="false">IF(G135=0,0,D135/G135/30.4/1000)</f>
        <v>0</v>
      </c>
      <c r="I135" s="25" t="n">
        <v>0</v>
      </c>
      <c r="J135" s="25" t="n">
        <f aca="false">C135</f>
        <v>0</v>
      </c>
      <c r="K135" s="25" t="n">
        <f aca="false">IF(C135&gt;=0.5,1,C135)</f>
        <v>0</v>
      </c>
      <c r="L135" s="23" t="n">
        <f aca="false">IF(OR($A135="",$E135=""),0,MAX(0,B$7-MAX($E135,B$6)+1))</f>
        <v>0</v>
      </c>
      <c r="M135" s="25" t="n">
        <f aca="false">IF(L135=0,0,MIN(1,0.1+0.9*((MAX($E135,B$6)+B$7)/2-$E135)/Forecast!$C$13))</f>
        <v>0</v>
      </c>
      <c r="N135" s="23" t="n">
        <f aca="false">IF(OR($A135="",$E135=""),0,MAX(0,C$7-MAX($E135,C$6)+1))</f>
        <v>0</v>
      </c>
      <c r="O135" s="25" t="n">
        <f aca="false">IF(N135=0,0,MIN(1,0.1+0.9*((MAX($E135,C$6)+C$7)/2-$E135)/Forecast!$C$13))</f>
        <v>0</v>
      </c>
      <c r="P135" s="23" t="n">
        <f aca="false">IF(OR($A135="",$E135=""),0,MAX(0,D$7-MAX($E135,D$6)+1))</f>
        <v>0</v>
      </c>
      <c r="Q135" s="25" t="n">
        <f aca="false">IF(P135=0,0,MIN(1,0.1+0.9*((MAX($E135,D$6)+D$7)/2-$E135)/Forecast!$C$13))</f>
        <v>0</v>
      </c>
    </row>
    <row r="136" customFormat="false" ht="15" hidden="false" customHeight="false" outlineLevel="0" collapsed="false">
      <c r="A136" s="3" t="str">
        <f aca="false">IF(INDEX(Data_Pipeline!$A:$A,36+1)="","",INDEX(Data_Pipeline!$A:$A,36+1))</f>
        <v/>
      </c>
      <c r="B136" s="3" t="str">
        <f aca="false">IF(INDEX(Data_Pipeline!$B:$B,36+1)="","",INDEX(Data_Pipeline!$B:$B,36+1))</f>
        <v/>
      </c>
      <c r="C136" s="25" t="n">
        <f aca="false">IF($A136="",0,N(INDEX(Data_Pipeline!$D:$D,36+1)))</f>
        <v>0</v>
      </c>
      <c r="D136" s="31" t="n">
        <f aca="false">IF($A136="",0,N(INDEX(Data_Pipeline!$E:$E,36+1)))</f>
        <v>0</v>
      </c>
      <c r="E136" s="30" t="str">
        <f aca="false">IF(INDEX(Data_Pipeline!$F:$F,36+1)="","",INDEX(Data_Pipeline!$F:$F,36+1))</f>
        <v/>
      </c>
      <c r="F136" s="25" t="n">
        <f aca="false">IF($A136="",0,N(INDEX(Data_Pipeline!$G:$G,36+1)))</f>
        <v>0</v>
      </c>
      <c r="G136" s="26" t="n">
        <f aca="false">$F$8*(1-F136)</f>
        <v>0.042</v>
      </c>
      <c r="H136" s="29" t="n">
        <f aca="false">IF(G136=0,0,D136/G136/30.4/1000)</f>
        <v>0</v>
      </c>
      <c r="I136" s="25" t="n">
        <v>0</v>
      </c>
      <c r="J136" s="25" t="n">
        <f aca="false">C136</f>
        <v>0</v>
      </c>
      <c r="K136" s="25" t="n">
        <f aca="false">IF(C136&gt;=0.5,1,C136)</f>
        <v>0</v>
      </c>
      <c r="L136" s="23" t="n">
        <f aca="false">IF(OR($A136="",$E136=""),0,MAX(0,B$7-MAX($E136,B$6)+1))</f>
        <v>0</v>
      </c>
      <c r="M136" s="25" t="n">
        <f aca="false">IF(L136=0,0,MIN(1,0.1+0.9*((MAX($E136,B$6)+B$7)/2-$E136)/Forecast!$C$13))</f>
        <v>0</v>
      </c>
      <c r="N136" s="23" t="n">
        <f aca="false">IF(OR($A136="",$E136=""),0,MAX(0,C$7-MAX($E136,C$6)+1))</f>
        <v>0</v>
      </c>
      <c r="O136" s="25" t="n">
        <f aca="false">IF(N136=0,0,MIN(1,0.1+0.9*((MAX($E136,C$6)+C$7)/2-$E136)/Forecast!$C$13))</f>
        <v>0</v>
      </c>
      <c r="P136" s="23" t="n">
        <f aca="false">IF(OR($A136="",$E136=""),0,MAX(0,D$7-MAX($E136,D$6)+1))</f>
        <v>0</v>
      </c>
      <c r="Q136" s="25" t="n">
        <f aca="false">IF(P136=0,0,MIN(1,0.1+0.9*((MAX($E136,D$6)+D$7)/2-$E136)/Forecast!$C$13))</f>
        <v>0</v>
      </c>
    </row>
    <row r="137" customFormat="false" ht="15" hidden="false" customHeight="false" outlineLevel="0" collapsed="false">
      <c r="A137" s="3" t="str">
        <f aca="false">IF(INDEX(Data_Pipeline!$A:$A,37+1)="","",INDEX(Data_Pipeline!$A:$A,37+1))</f>
        <v/>
      </c>
      <c r="B137" s="3" t="str">
        <f aca="false">IF(INDEX(Data_Pipeline!$B:$B,37+1)="","",INDEX(Data_Pipeline!$B:$B,37+1))</f>
        <v/>
      </c>
      <c r="C137" s="25" t="n">
        <f aca="false">IF($A137="",0,N(INDEX(Data_Pipeline!$D:$D,37+1)))</f>
        <v>0</v>
      </c>
      <c r="D137" s="31" t="n">
        <f aca="false">IF($A137="",0,N(INDEX(Data_Pipeline!$E:$E,37+1)))</f>
        <v>0</v>
      </c>
      <c r="E137" s="30" t="str">
        <f aca="false">IF(INDEX(Data_Pipeline!$F:$F,37+1)="","",INDEX(Data_Pipeline!$F:$F,37+1))</f>
        <v/>
      </c>
      <c r="F137" s="25" t="n">
        <f aca="false">IF($A137="",0,N(INDEX(Data_Pipeline!$G:$G,37+1)))</f>
        <v>0</v>
      </c>
      <c r="G137" s="26" t="n">
        <f aca="false">$F$8*(1-F137)</f>
        <v>0.042</v>
      </c>
      <c r="H137" s="29" t="n">
        <f aca="false">IF(G137=0,0,D137/G137/30.4/1000)</f>
        <v>0</v>
      </c>
      <c r="I137" s="25" t="n">
        <v>0</v>
      </c>
      <c r="J137" s="25" t="n">
        <f aca="false">C137</f>
        <v>0</v>
      </c>
      <c r="K137" s="25" t="n">
        <f aca="false">IF(C137&gt;=0.5,1,C137)</f>
        <v>0</v>
      </c>
      <c r="L137" s="23" t="n">
        <f aca="false">IF(OR($A137="",$E137=""),0,MAX(0,B$7-MAX($E137,B$6)+1))</f>
        <v>0</v>
      </c>
      <c r="M137" s="25" t="n">
        <f aca="false">IF(L137=0,0,MIN(1,0.1+0.9*((MAX($E137,B$6)+B$7)/2-$E137)/Forecast!$C$13))</f>
        <v>0</v>
      </c>
      <c r="N137" s="23" t="n">
        <f aca="false">IF(OR($A137="",$E137=""),0,MAX(0,C$7-MAX($E137,C$6)+1))</f>
        <v>0</v>
      </c>
      <c r="O137" s="25" t="n">
        <f aca="false">IF(N137=0,0,MIN(1,0.1+0.9*((MAX($E137,C$6)+C$7)/2-$E137)/Forecast!$C$13))</f>
        <v>0</v>
      </c>
      <c r="P137" s="23" t="n">
        <f aca="false">IF(OR($A137="",$E137=""),0,MAX(0,D$7-MAX($E137,D$6)+1))</f>
        <v>0</v>
      </c>
      <c r="Q137" s="25" t="n">
        <f aca="false">IF(P137=0,0,MIN(1,0.1+0.9*((MAX($E137,D$6)+D$7)/2-$E137)/Forecast!$C$13))</f>
        <v>0</v>
      </c>
    </row>
    <row r="138" customFormat="false" ht="15" hidden="false" customHeight="false" outlineLevel="0" collapsed="false">
      <c r="A138" s="3" t="str">
        <f aca="false">IF(INDEX(Data_Pipeline!$A:$A,38+1)="","",INDEX(Data_Pipeline!$A:$A,38+1))</f>
        <v/>
      </c>
      <c r="B138" s="3" t="str">
        <f aca="false">IF(INDEX(Data_Pipeline!$B:$B,38+1)="","",INDEX(Data_Pipeline!$B:$B,38+1))</f>
        <v/>
      </c>
      <c r="C138" s="25" t="n">
        <f aca="false">IF($A138="",0,N(INDEX(Data_Pipeline!$D:$D,38+1)))</f>
        <v>0</v>
      </c>
      <c r="D138" s="31" t="n">
        <f aca="false">IF($A138="",0,N(INDEX(Data_Pipeline!$E:$E,38+1)))</f>
        <v>0</v>
      </c>
      <c r="E138" s="30" t="str">
        <f aca="false">IF(INDEX(Data_Pipeline!$F:$F,38+1)="","",INDEX(Data_Pipeline!$F:$F,38+1))</f>
        <v/>
      </c>
      <c r="F138" s="25" t="n">
        <f aca="false">IF($A138="",0,N(INDEX(Data_Pipeline!$G:$G,38+1)))</f>
        <v>0</v>
      </c>
      <c r="G138" s="26" t="n">
        <f aca="false">$F$8*(1-F138)</f>
        <v>0.042</v>
      </c>
      <c r="H138" s="29" t="n">
        <f aca="false">IF(G138=0,0,D138/G138/30.4/1000)</f>
        <v>0</v>
      </c>
      <c r="I138" s="25" t="n">
        <v>0</v>
      </c>
      <c r="J138" s="25" t="n">
        <f aca="false">C138</f>
        <v>0</v>
      </c>
      <c r="K138" s="25" t="n">
        <f aca="false">IF(C138&gt;=0.5,1,C138)</f>
        <v>0</v>
      </c>
      <c r="L138" s="23" t="n">
        <f aca="false">IF(OR($A138="",$E138=""),0,MAX(0,B$7-MAX($E138,B$6)+1))</f>
        <v>0</v>
      </c>
      <c r="M138" s="25" t="n">
        <f aca="false">IF(L138=0,0,MIN(1,0.1+0.9*((MAX($E138,B$6)+B$7)/2-$E138)/Forecast!$C$13))</f>
        <v>0</v>
      </c>
      <c r="N138" s="23" t="n">
        <f aca="false">IF(OR($A138="",$E138=""),0,MAX(0,C$7-MAX($E138,C$6)+1))</f>
        <v>0</v>
      </c>
      <c r="O138" s="25" t="n">
        <f aca="false">IF(N138=0,0,MIN(1,0.1+0.9*((MAX($E138,C$6)+C$7)/2-$E138)/Forecast!$C$13))</f>
        <v>0</v>
      </c>
      <c r="P138" s="23" t="n">
        <f aca="false">IF(OR($A138="",$E138=""),0,MAX(0,D$7-MAX($E138,D$6)+1))</f>
        <v>0</v>
      </c>
      <c r="Q138" s="25" t="n">
        <f aca="false">IF(P138=0,0,MIN(1,0.1+0.9*((MAX($E138,D$6)+D$7)/2-$E138)/Forecast!$C$13))</f>
        <v>0</v>
      </c>
    </row>
    <row r="139" customFormat="false" ht="15" hidden="false" customHeight="false" outlineLevel="0" collapsed="false">
      <c r="A139" s="3" t="str">
        <f aca="false">IF(INDEX(Data_Pipeline!$A:$A,39+1)="","",INDEX(Data_Pipeline!$A:$A,39+1))</f>
        <v/>
      </c>
      <c r="B139" s="3" t="str">
        <f aca="false">IF(INDEX(Data_Pipeline!$B:$B,39+1)="","",INDEX(Data_Pipeline!$B:$B,39+1))</f>
        <v/>
      </c>
      <c r="C139" s="25" t="n">
        <f aca="false">IF($A139="",0,N(INDEX(Data_Pipeline!$D:$D,39+1)))</f>
        <v>0</v>
      </c>
      <c r="D139" s="31" t="n">
        <f aca="false">IF($A139="",0,N(INDEX(Data_Pipeline!$E:$E,39+1)))</f>
        <v>0</v>
      </c>
      <c r="E139" s="30" t="str">
        <f aca="false">IF(INDEX(Data_Pipeline!$F:$F,39+1)="","",INDEX(Data_Pipeline!$F:$F,39+1))</f>
        <v/>
      </c>
      <c r="F139" s="25" t="n">
        <f aca="false">IF($A139="",0,N(INDEX(Data_Pipeline!$G:$G,39+1)))</f>
        <v>0</v>
      </c>
      <c r="G139" s="26" t="n">
        <f aca="false">$F$8*(1-F139)</f>
        <v>0.042</v>
      </c>
      <c r="H139" s="29" t="n">
        <f aca="false">IF(G139=0,0,D139/G139/30.4/1000)</f>
        <v>0</v>
      </c>
      <c r="I139" s="25" t="n">
        <v>0</v>
      </c>
      <c r="J139" s="25" t="n">
        <f aca="false">C139</f>
        <v>0</v>
      </c>
      <c r="K139" s="25" t="n">
        <f aca="false">IF(C139&gt;=0.5,1,C139)</f>
        <v>0</v>
      </c>
      <c r="L139" s="23" t="n">
        <f aca="false">IF(OR($A139="",$E139=""),0,MAX(0,B$7-MAX($E139,B$6)+1))</f>
        <v>0</v>
      </c>
      <c r="M139" s="25" t="n">
        <f aca="false">IF(L139=0,0,MIN(1,0.1+0.9*((MAX($E139,B$6)+B$7)/2-$E139)/Forecast!$C$13))</f>
        <v>0</v>
      </c>
      <c r="N139" s="23" t="n">
        <f aca="false">IF(OR($A139="",$E139=""),0,MAX(0,C$7-MAX($E139,C$6)+1))</f>
        <v>0</v>
      </c>
      <c r="O139" s="25" t="n">
        <f aca="false">IF(N139=0,0,MIN(1,0.1+0.9*((MAX($E139,C$6)+C$7)/2-$E139)/Forecast!$C$13))</f>
        <v>0</v>
      </c>
      <c r="P139" s="23" t="n">
        <f aca="false">IF(OR($A139="",$E139=""),0,MAX(0,D$7-MAX($E139,D$6)+1))</f>
        <v>0</v>
      </c>
      <c r="Q139" s="25" t="n">
        <f aca="false">IF(P139=0,0,MIN(1,0.1+0.9*((MAX($E139,D$6)+D$7)/2-$E139)/Forecast!$C$13))</f>
        <v>0</v>
      </c>
    </row>
    <row r="140" customFormat="false" ht="15" hidden="false" customHeight="false" outlineLevel="0" collapsed="false">
      <c r="A140" s="3" t="str">
        <f aca="false">IF(INDEX(Data_Pipeline!$A:$A,40+1)="","",INDEX(Data_Pipeline!$A:$A,40+1))</f>
        <v/>
      </c>
      <c r="B140" s="3" t="str">
        <f aca="false">IF(INDEX(Data_Pipeline!$B:$B,40+1)="","",INDEX(Data_Pipeline!$B:$B,40+1))</f>
        <v/>
      </c>
      <c r="C140" s="25" t="n">
        <f aca="false">IF($A140="",0,N(INDEX(Data_Pipeline!$D:$D,40+1)))</f>
        <v>0</v>
      </c>
      <c r="D140" s="31" t="n">
        <f aca="false">IF($A140="",0,N(INDEX(Data_Pipeline!$E:$E,40+1)))</f>
        <v>0</v>
      </c>
      <c r="E140" s="30" t="str">
        <f aca="false">IF(INDEX(Data_Pipeline!$F:$F,40+1)="","",INDEX(Data_Pipeline!$F:$F,40+1))</f>
        <v/>
      </c>
      <c r="F140" s="25" t="n">
        <f aca="false">IF($A140="",0,N(INDEX(Data_Pipeline!$G:$G,40+1)))</f>
        <v>0</v>
      </c>
      <c r="G140" s="26" t="n">
        <f aca="false">$F$8*(1-F140)</f>
        <v>0.042</v>
      </c>
      <c r="H140" s="29" t="n">
        <f aca="false">IF(G140=0,0,D140/G140/30.4/1000)</f>
        <v>0</v>
      </c>
      <c r="I140" s="25" t="n">
        <v>0</v>
      </c>
      <c r="J140" s="25" t="n">
        <f aca="false">C140</f>
        <v>0</v>
      </c>
      <c r="K140" s="25" t="n">
        <f aca="false">IF(C140&gt;=0.5,1,C140)</f>
        <v>0</v>
      </c>
      <c r="L140" s="23" t="n">
        <f aca="false">IF(OR($A140="",$E140=""),0,MAX(0,B$7-MAX($E140,B$6)+1))</f>
        <v>0</v>
      </c>
      <c r="M140" s="25" t="n">
        <f aca="false">IF(L140=0,0,MIN(1,0.1+0.9*((MAX($E140,B$6)+B$7)/2-$E140)/Forecast!$C$13))</f>
        <v>0</v>
      </c>
      <c r="N140" s="23" t="n">
        <f aca="false">IF(OR($A140="",$E140=""),0,MAX(0,C$7-MAX($E140,C$6)+1))</f>
        <v>0</v>
      </c>
      <c r="O140" s="25" t="n">
        <f aca="false">IF(N140=0,0,MIN(1,0.1+0.9*((MAX($E140,C$6)+C$7)/2-$E140)/Forecast!$C$13))</f>
        <v>0</v>
      </c>
      <c r="P140" s="23" t="n">
        <f aca="false">IF(OR($A140="",$E140=""),0,MAX(0,D$7-MAX($E140,D$6)+1))</f>
        <v>0</v>
      </c>
      <c r="Q140" s="25" t="n">
        <f aca="false">IF(P140=0,0,MIN(1,0.1+0.9*((MAX($E140,D$6)+D$7)/2-$E140)/Forecast!$C$13))</f>
        <v>0</v>
      </c>
    </row>
    <row r="142" customFormat="false" ht="15" hidden="false" customHeight="false" outlineLevel="0" collapsed="false">
      <c r="A142" s="2" t="s">
        <v>243</v>
      </c>
    </row>
    <row r="143" customFormat="false" ht="15" hidden="false" customHeight="false" outlineLevel="0" collapsed="false">
      <c r="A143" s="8" t="s">
        <v>58</v>
      </c>
      <c r="B143" s="8" t="s">
        <v>220</v>
      </c>
      <c r="C143" s="8" t="s">
        <v>221</v>
      </c>
      <c r="D143" s="8" t="s">
        <v>222</v>
      </c>
      <c r="E143" s="8" t="s">
        <v>223</v>
      </c>
      <c r="F143" s="8" t="s">
        <v>224</v>
      </c>
      <c r="G143" s="8" t="s">
        <v>225</v>
      </c>
      <c r="H143" s="8" t="s">
        <v>226</v>
      </c>
      <c r="I143" s="8" t="s">
        <v>227</v>
      </c>
      <c r="J143" s="8" t="s">
        <v>228</v>
      </c>
    </row>
    <row r="144" customFormat="false" ht="15" hidden="false" customHeight="false" outlineLevel="0" collapsed="false">
      <c r="A144" s="3" t="s">
        <v>66</v>
      </c>
      <c r="B144" s="29" t="n">
        <f aca="false">SUMPRODUCT(I101:I140,H101:H140,L101:L140,M101:M140)/B$8</f>
        <v>0</v>
      </c>
      <c r="C144" s="29" t="n">
        <f aca="false">SUMPRODUCT(I101:I140,H101:H140,N101:N140,O101:O140)/C$8</f>
        <v>0</v>
      </c>
      <c r="D144" s="29" t="n">
        <f aca="false">SUMPRODUCT(I101:I140,H101:H140,P101:P140,Q101:Q140)/D$8</f>
        <v>0</v>
      </c>
      <c r="E144" s="29" t="n">
        <f aca="false">SUMPRODUCT(J101:J140,H101:H140,L101:L140,M101:M140)/B$8</f>
        <v>1.75084889643464</v>
      </c>
      <c r="F144" s="29" t="n">
        <f aca="false">SUMPRODUCT(J101:J140,H101:H140,N101:N140,O101:O140)/C$8</f>
        <v>10.8940780259472</v>
      </c>
      <c r="G144" s="29" t="n">
        <f aca="false">SUMPRODUCT(J101:J140,H101:H140,P101:P140,Q101:Q140)/D$8</f>
        <v>25.2727258135852</v>
      </c>
      <c r="H144" s="29" t="n">
        <f aca="false">SUMPRODUCT(K101:K140,H101:H140,L101:L140,M101:M140)/B$8</f>
        <v>2.50121270919234</v>
      </c>
      <c r="I144" s="29" t="n">
        <f aca="false">SUMPRODUCT(K101:K140,H101:H140,N101:N140,O101:O140)/C$8</f>
        <v>16.6489293085655</v>
      </c>
      <c r="J144" s="29" t="n">
        <f aca="false">SUMPRODUCT(K101:K140,H101:H140,P101:P140,Q101:Q140)/D$8</f>
        <v>36.848079639326</v>
      </c>
    </row>
    <row r="145" customFormat="false" ht="15" hidden="false" customHeight="false" outlineLevel="0" collapsed="false">
      <c r="A145" s="3" t="s">
        <v>244</v>
      </c>
      <c r="B145" s="31" t="n">
        <f aca="false">SUMPRODUCT(I101:I140,H101:H140,L101:L140,M101:M140,G101:G140)*1000</f>
        <v>0</v>
      </c>
      <c r="C145" s="31" t="n">
        <f aca="false">SUMPRODUCT(I101:I140,H101:H140,N101:N140,O101:O140,G101:G140)*1000</f>
        <v>0</v>
      </c>
      <c r="D145" s="31" t="n">
        <f aca="false">SUMPRODUCT(I101:I140,H101:H140,P101:P140,Q101:Q140,G101:G140)*1000</f>
        <v>0</v>
      </c>
      <c r="E145" s="31" t="n">
        <f aca="false">SUMPRODUCT(J101:J140,H101:H140,L101:L140,M101:M140,G101:G140)*1000</f>
        <v>1937.66447368421</v>
      </c>
      <c r="F145" s="31" t="n">
        <f aca="false">SUMPRODUCT(J101:J140,H101:H140,N101:N140,O101:O140,G101:G140)*1000</f>
        <v>11667.5575657895</v>
      </c>
      <c r="G145" s="31" t="n">
        <f aca="false">SUMPRODUCT(J101:J140,H101:H140,P101:P140,Q101:Q140,G101:G140)*1000</f>
        <v>27969.3256578947</v>
      </c>
      <c r="H145" s="31" t="n">
        <f aca="false">SUMPRODUCT(K101:K140,H101:H140,L101:L140,M101:M140,G101:G140)*1000</f>
        <v>2768.09210526316</v>
      </c>
      <c r="I145" s="31" t="n">
        <f aca="false">SUMPRODUCT(K101:K140,H101:H140,N101:N140,O101:O140,G101:G140)*1000</f>
        <v>17831.0032894737</v>
      </c>
      <c r="J145" s="31" t="n">
        <f aca="false">SUMPRODUCT(K101:K140,H101:H140,P101:P140,Q101:Q140,G101:G140)*1000</f>
        <v>40779.7697368421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3"/>
    <col collapsed="false" customWidth="true" hidden="false" outlineLevel="0" max="10" min="5" style="0" width="12"/>
  </cols>
  <sheetData>
    <row r="1" customFormat="false" ht="17.35" hidden="false" customHeight="false" outlineLevel="0" collapsed="false">
      <c r="A1" s="1" t="str">
        <f aca="false">Data_Params!$B$14&amp;" | From demand forecast to GPUs: reserve the base, rent the peaks"</f>
        <v>Example Co (synthetic data) | From demand forecast to GPUs: reserve the base, rent the peaks</v>
      </c>
    </row>
    <row r="2" customFormat="false" ht="15" hidden="false" customHeight="false" outlineLevel="0" collapsed="false">
      <c r="A2" s="7" t="s">
        <v>245</v>
      </c>
    </row>
    <row r="4" customFormat="false" ht="15" hidden="false" customHeight="false" outlineLevel="0" collapsed="false">
      <c r="A4" s="2" t="s">
        <v>246</v>
      </c>
    </row>
    <row r="5" customFormat="false" ht="23.85" hidden="false" customHeight="false" outlineLevel="0" collapsed="false">
      <c r="A5" s="8" t="s">
        <v>140</v>
      </c>
      <c r="B5" s="8" t="s">
        <v>247</v>
      </c>
      <c r="C5" s="8" t="s">
        <v>248</v>
      </c>
    </row>
    <row r="6" customFormat="false" ht="15" hidden="false" customHeight="false" outlineLevel="0" collapsed="false">
      <c r="A6" s="3" t="s">
        <v>249</v>
      </c>
      <c r="B6" s="43" t="n">
        <f aca="false">Overrides!$E$26</f>
        <v>20604</v>
      </c>
      <c r="C6" s="7" t="s">
        <v>250</v>
      </c>
    </row>
    <row r="7" customFormat="false" ht="15" hidden="false" customHeight="false" outlineLevel="0" collapsed="false">
      <c r="A7" s="3" t="s">
        <v>251</v>
      </c>
      <c r="B7" s="37" t="n">
        <f aca="false">Overrides!$E$27</f>
        <v>0.85</v>
      </c>
      <c r="C7" s="7" t="s">
        <v>252</v>
      </c>
    </row>
    <row r="8" customFormat="false" ht="15" hidden="false" customHeight="false" outlineLevel="0" collapsed="false">
      <c r="A8" s="3" t="s">
        <v>253</v>
      </c>
      <c r="B8" s="14" t="n">
        <f aca="false">Overrides!$E$28</f>
        <v>2.5</v>
      </c>
      <c r="C8" s="7" t="s">
        <v>254</v>
      </c>
    </row>
    <row r="9" customFormat="false" ht="15" hidden="false" customHeight="false" outlineLevel="0" collapsed="false">
      <c r="A9" s="3" t="s">
        <v>255</v>
      </c>
      <c r="B9" s="14" t="n">
        <f aca="false">Overrides!$E$29</f>
        <v>3</v>
      </c>
      <c r="C9" s="7" t="s">
        <v>256</v>
      </c>
    </row>
    <row r="10" customFormat="false" ht="15" hidden="false" customHeight="false" outlineLevel="0" collapsed="false">
      <c r="A10" s="3" t="s">
        <v>257</v>
      </c>
      <c r="B10" s="34" t="n">
        <f aca="false">Overrides!$E$30</f>
        <v>1.75</v>
      </c>
      <c r="C10" s="7" t="s">
        <v>258</v>
      </c>
    </row>
    <row r="11" customFormat="false" ht="15" hidden="false" customHeight="false" outlineLevel="0" collapsed="false">
      <c r="A11" s="3" t="s">
        <v>259</v>
      </c>
      <c r="B11" s="34" t="n">
        <f aca="false">Overrides!$E$31</f>
        <v>0.55</v>
      </c>
      <c r="C11" s="7" t="s">
        <v>258</v>
      </c>
    </row>
    <row r="12" customFormat="false" ht="15" hidden="false" customHeight="false" outlineLevel="0" collapsed="false">
      <c r="A12" s="3" t="s">
        <v>260</v>
      </c>
      <c r="B12" s="38" t="n">
        <f aca="false">IF(COUNT(Data_Hourly!$B$2:$B$169)=0,B10,MAX(Data_Hourly!$B$2:$B$169)/AVERAGE(Data_Hourly!$B$2:$B$169))</f>
        <v>1.74647503483477</v>
      </c>
      <c r="C12" s="7" t="s">
        <v>261</v>
      </c>
    </row>
    <row r="13" customFormat="false" ht="15" hidden="false" customHeight="false" outlineLevel="0" collapsed="false">
      <c r="A13" s="3" t="s">
        <v>262</v>
      </c>
      <c r="B13" s="38" t="n">
        <f aca="false">IF(COUNT(Data_Hourly!$B$2:$B$169)=0,B11,MIN(Data_Hourly!$B$2:$B$169)/AVERAGE(Data_Hourly!$B$2:$B$169))</f>
        <v>0.531620201329303</v>
      </c>
      <c r="C13" s="7"/>
    </row>
    <row r="14" customFormat="false" ht="15" hidden="false" customHeight="false" outlineLevel="0" collapsed="false">
      <c r="A14" s="3" t="s">
        <v>263</v>
      </c>
      <c r="B14" s="24" t="n">
        <f aca="false">IF(COUNT(Data_Hourly!$B$2:$B$169)=0,"",SUM(Data_Hourly!$B$2:$B$169)/7/1000000000)</f>
        <v>223.833297994429</v>
      </c>
      <c r="C14" s="7"/>
    </row>
    <row r="16" customFormat="false" ht="15" hidden="false" customHeight="false" outlineLevel="0" collapsed="false">
      <c r="A16" s="2" t="s">
        <v>264</v>
      </c>
    </row>
    <row r="17" customFormat="false" ht="15" hidden="false" customHeight="false" outlineLevel="0" collapsed="false">
      <c r="A17" s="8" t="s">
        <v>58</v>
      </c>
      <c r="B17" s="9" t="str">
        <f aca="false">"Low "&amp;TEXT(EDATE(Data_Params!$B$2,1),"mmm")</f>
        <v>Low Mar</v>
      </c>
      <c r="C17" s="9" t="str">
        <f aca="false">"Low "&amp;TEXT(EDATE(Data_Params!$B$2,2),"mmm")</f>
        <v>Low Apr</v>
      </c>
      <c r="D17" s="9" t="str">
        <f aca="false">"Low "&amp;TEXT(EDATE(Data_Params!$B$2,3),"mmm")</f>
        <v>Low May</v>
      </c>
      <c r="E17" s="9" t="str">
        <f aca="false">"Base "&amp;TEXT(EDATE(Data_Params!$B$2,1),"mmm")</f>
        <v>Base Mar</v>
      </c>
      <c r="F17" s="9" t="str">
        <f aca="false">"Base "&amp;TEXT(EDATE(Data_Params!$B$2,2),"mmm")</f>
        <v>Base Apr</v>
      </c>
      <c r="G17" s="9" t="str">
        <f aca="false">"Base "&amp;TEXT(EDATE(Data_Params!$B$2,3),"mmm")</f>
        <v>Base May</v>
      </c>
      <c r="H17" s="9" t="str">
        <f aca="false">"High "&amp;TEXT(EDATE(Data_Params!$B$2,1),"mmm")</f>
        <v>High Mar</v>
      </c>
      <c r="I17" s="9" t="str">
        <f aca="false">"High "&amp;TEXT(EDATE(Data_Params!$B$2,2),"mmm")</f>
        <v>High Apr</v>
      </c>
      <c r="J17" s="9" t="str">
        <f aca="false">"High "&amp;TEXT(EDATE(Data_Params!$B$2,3),"mmm")</f>
        <v>High May</v>
      </c>
    </row>
    <row r="18" customFormat="false" ht="15" hidden="false" customHeight="false" outlineLevel="0" collapsed="false">
      <c r="A18" s="3" t="s">
        <v>66</v>
      </c>
      <c r="B18" s="39" t="n">
        <f aca="false">Forecast!B127</f>
        <v>226.977792026543</v>
      </c>
      <c r="C18" s="39" t="n">
        <f aca="false">Forecast!C127</f>
        <v>228.44125451057</v>
      </c>
      <c r="D18" s="39" t="n">
        <f aca="false">Forecast!D127</f>
        <v>228.447821143426</v>
      </c>
      <c r="E18" s="39" t="n">
        <f aca="false">Forecast!E127</f>
        <v>248.564380839011</v>
      </c>
      <c r="F18" s="39" t="n">
        <f aca="false">Forecast!F127</f>
        <v>279.402828143942</v>
      </c>
      <c r="G18" s="39" t="n">
        <f aca="false">Forecast!G127</f>
        <v>317.130972497883</v>
      </c>
      <c r="H18" s="39" t="n">
        <f aca="false">Forecast!H127</f>
        <v>266.413637594115</v>
      </c>
      <c r="I18" s="39" t="n">
        <f aca="false">Forecast!I127</f>
        <v>323.316822009403</v>
      </c>
      <c r="J18" s="39" t="n">
        <f aca="false">Forecast!J127</f>
        <v>398.038361162941</v>
      </c>
    </row>
    <row r="19" customFormat="false" ht="15" hidden="false" customHeight="false" outlineLevel="0" collapsed="false">
      <c r="A19" s="3" t="s">
        <v>265</v>
      </c>
      <c r="B19" s="23" t="n">
        <f aca="false">B18*1000000000/86400</f>
        <v>2627057.77808499</v>
      </c>
      <c r="C19" s="23" t="n">
        <f aca="false">C18*1000000000/86400</f>
        <v>2643996.00127974</v>
      </c>
      <c r="D19" s="23" t="n">
        <f aca="false">D18*1000000000/86400</f>
        <v>2644072.00397484</v>
      </c>
      <c r="E19" s="23" t="n">
        <f aca="false">E18*1000000000/86400</f>
        <v>2876902.55600707</v>
      </c>
      <c r="F19" s="23" t="n">
        <f aca="false">F18*1000000000/86400</f>
        <v>3233829.02944377</v>
      </c>
      <c r="G19" s="23" t="n">
        <f aca="false">G18*1000000000/86400</f>
        <v>3670497.36687364</v>
      </c>
      <c r="H19" s="23" t="n">
        <f aca="false">H18*1000000000/86400</f>
        <v>3083491.17585781</v>
      </c>
      <c r="I19" s="23" t="n">
        <f aca="false">I18*1000000000/86400</f>
        <v>3742092.84733106</v>
      </c>
      <c r="J19" s="23" t="n">
        <f aca="false">J18*1000000000/86400</f>
        <v>4606925.47642293</v>
      </c>
    </row>
    <row r="20" customFormat="false" ht="15" hidden="false" customHeight="false" outlineLevel="0" collapsed="false">
      <c r="A20" s="3" t="s">
        <v>266</v>
      </c>
      <c r="B20" s="23" t="n">
        <f aca="false">B19*$B$12</f>
        <v>4588090.82449392</v>
      </c>
      <c r="C20" s="23" t="n">
        <f aca="false">C19*$B$12</f>
        <v>4617673.00843802</v>
      </c>
      <c r="D20" s="23" t="n">
        <f aca="false">D19*$B$12</f>
        <v>4617805.74524758</v>
      </c>
      <c r="E20" s="23" t="n">
        <f aca="false">E19*$B$12</f>
        <v>5024438.49171867</v>
      </c>
      <c r="F20" s="23" t="n">
        <f aca="false">F19*$B$12</f>
        <v>5647801.66684749</v>
      </c>
      <c r="G20" s="23" t="n">
        <f aca="false">G19*$B$12</f>
        <v>6410432.01667156</v>
      </c>
      <c r="H20" s="23" t="n">
        <f aca="false">H19*$B$12</f>
        <v>5385240.35876896</v>
      </c>
      <c r="I20" s="23" t="n">
        <f aca="false">I19*$B$12</f>
        <v>6535471.73589743</v>
      </c>
      <c r="J20" s="23" t="n">
        <f aca="false">J19*$B$12</f>
        <v>8045880.3319169</v>
      </c>
    </row>
    <row r="21" customFormat="false" ht="15" hidden="false" customHeight="false" outlineLevel="0" collapsed="false">
      <c r="A21" s="3" t="s">
        <v>267</v>
      </c>
      <c r="B21" s="23" t="n">
        <f aca="false">B19*$B$13</f>
        <v>1396596.98488925</v>
      </c>
      <c r="C21" s="23" t="n">
        <f aca="false">C19*$B$13</f>
        <v>1405601.68651421</v>
      </c>
      <c r="D21" s="23" t="n">
        <f aca="false">D19*$B$13</f>
        <v>1405642.09108228</v>
      </c>
      <c r="E21" s="23" t="n">
        <f aca="false">E19*$B$13</f>
        <v>1529419.51602926</v>
      </c>
      <c r="F21" s="23" t="n">
        <f aca="false">F19*$B$13</f>
        <v>1719168.83969744</v>
      </c>
      <c r="G21" s="23" t="n">
        <f aca="false">G19*$B$13</f>
        <v>1951310.54915604</v>
      </c>
      <c r="H21" s="23" t="n">
        <f aca="false">H19*$B$13</f>
        <v>1639246.19970666</v>
      </c>
      <c r="I21" s="23" t="n">
        <f aca="false">I19*$B$13</f>
        <v>1989372.15289108</v>
      </c>
      <c r="J21" s="23" t="n">
        <f aca="false">J19*$B$13</f>
        <v>2449134.64928505</v>
      </c>
    </row>
    <row r="22" customFormat="false" ht="15" hidden="false" customHeight="false" outlineLevel="0" collapsed="false">
      <c r="A22" s="3" t="s">
        <v>268</v>
      </c>
      <c r="B22" s="44" t="n">
        <f aca="false">ROUNDUP(B20/$B$6/$B$7,0)</f>
        <v>262</v>
      </c>
      <c r="C22" s="44" t="n">
        <f aca="false">ROUNDUP(C20/$B$6/$B$7,0)</f>
        <v>264</v>
      </c>
      <c r="D22" s="44" t="n">
        <f aca="false">ROUNDUP(D20/$B$6/$B$7,0)</f>
        <v>264</v>
      </c>
      <c r="E22" s="44" t="n">
        <f aca="false">ROUNDUP(E20/$B$6/$B$7,0)</f>
        <v>287</v>
      </c>
      <c r="F22" s="44" t="n">
        <f aca="false">ROUNDUP(F20/$B$6/$B$7,0)</f>
        <v>323</v>
      </c>
      <c r="G22" s="44" t="n">
        <f aca="false">ROUNDUP(G20/$B$6/$B$7,0)</f>
        <v>367</v>
      </c>
      <c r="H22" s="44" t="n">
        <f aca="false">ROUNDUP(H20/$B$6/$B$7,0)</f>
        <v>308</v>
      </c>
      <c r="I22" s="44" t="n">
        <f aca="false">ROUNDUP(I20/$B$6/$B$7,0)</f>
        <v>374</v>
      </c>
      <c r="J22" s="44" t="n">
        <f aca="false">ROUNDUP(J20/$B$6/$B$7,0)</f>
        <v>460</v>
      </c>
    </row>
    <row r="23" customFormat="false" ht="15" hidden="false" customHeight="false" outlineLevel="0" collapsed="false">
      <c r="A23" s="3" t="s">
        <v>269</v>
      </c>
      <c r="B23" s="44" t="n">
        <f aca="false">ROUNDDOWN(B21/$B$6,0)</f>
        <v>67</v>
      </c>
      <c r="C23" s="44" t="n">
        <f aca="false">ROUNDDOWN(C21/$B$6,0)</f>
        <v>68</v>
      </c>
      <c r="D23" s="44" t="n">
        <f aca="false">ROUNDDOWN(D21/$B$6,0)</f>
        <v>68</v>
      </c>
      <c r="E23" s="44" t="n">
        <f aca="false">ROUNDDOWN(E21/$B$6,0)</f>
        <v>74</v>
      </c>
      <c r="F23" s="44" t="n">
        <f aca="false">ROUNDDOWN(F21/$B$6,0)</f>
        <v>83</v>
      </c>
      <c r="G23" s="44" t="n">
        <f aca="false">ROUNDDOWN(G21/$B$6,0)</f>
        <v>94</v>
      </c>
      <c r="H23" s="44" t="n">
        <f aca="false">ROUNDDOWN(H21/$B$6,0)</f>
        <v>79</v>
      </c>
      <c r="I23" s="44" t="n">
        <f aca="false">ROUNDDOWN(I21/$B$6,0)</f>
        <v>96</v>
      </c>
      <c r="J23" s="44" t="n">
        <f aca="false">ROUNDDOWN(J21/$B$6,0)</f>
        <v>118</v>
      </c>
    </row>
    <row r="26" customFormat="false" ht="15" hidden="false" customHeight="false" outlineLevel="0" collapsed="false">
      <c r="A26" s="40" t="s">
        <v>270</v>
      </c>
    </row>
    <row r="27" customFormat="false" ht="15" hidden="false" customHeight="false" outlineLevel="0" collapsed="false">
      <c r="A27" s="3" t="s">
        <v>271</v>
      </c>
      <c r="B27" s="44" t="n">
        <f aca="false">B23</f>
        <v>67</v>
      </c>
    </row>
    <row r="28" customFormat="false" ht="15" hidden="false" customHeight="false" outlineLevel="0" collapsed="false">
      <c r="A28" s="3" t="s">
        <v>272</v>
      </c>
      <c r="B28" s="44" t="n">
        <f aca="false">MAX(0,E22-$B$27)</f>
        <v>220</v>
      </c>
    </row>
    <row r="29" customFormat="false" ht="15" hidden="false" customHeight="false" outlineLevel="0" collapsed="false">
      <c r="A29" s="3" t="s">
        <v>273</v>
      </c>
      <c r="B29" s="44" t="n">
        <f aca="false">MAX(0,H22-$B$27)</f>
        <v>241</v>
      </c>
    </row>
    <row r="31" customFormat="false" ht="15" hidden="false" customHeight="false" outlineLevel="0" collapsed="false">
      <c r="A31" s="2" t="s">
        <v>274</v>
      </c>
    </row>
    <row r="32" customFormat="false" ht="23.85" hidden="false" customHeight="false" outlineLevel="0" collapsed="false">
      <c r="A32" s="8" t="s">
        <v>275</v>
      </c>
      <c r="B32" s="9" t="n">
        <f aca="false">EDATE(Data_Params!$B$2,1)</f>
        <v>46447</v>
      </c>
      <c r="C32" s="9" t="n">
        <f aca="false">EDATE(Data_Params!$B$2,2)</f>
        <v>46478</v>
      </c>
      <c r="D32" s="9" t="n">
        <f aca="false">EDATE(Data_Params!$B$2,3)</f>
        <v>46508</v>
      </c>
      <c r="E32" s="8" t="s">
        <v>276</v>
      </c>
    </row>
    <row r="33" customFormat="false" ht="15" hidden="false" customHeight="false" outlineLevel="0" collapsed="false">
      <c r="A33" s="2" t="s">
        <v>277</v>
      </c>
      <c r="B33" s="31" t="n">
        <f aca="false">IF(COUNT(Data_Hourly!$B$2:$B$169)=0,"needs hourly data",$B$27*24*DAY(EOMONTH(Data_Params!$B$2,1))*$B$8+SUMPRODUCT(((Data_Hourly!$B$2:$B$169/3600*(E18/$B$14)/$B$6/$B$7)-$B$27)*((Data_Hourly!$B$2:$B$169/3600*(E18/$B$14)/$B$6/$B$7)&gt;$B$27))/7*DAY(EOMONTH(Data_Params!$B$2,1))*$B$9)</f>
        <v>341723.624390911</v>
      </c>
      <c r="C33" s="31" t="n">
        <f aca="false">IF(COUNT(Data_Hourly!$B$2:$B$169)=0,"needs hourly data",$B$27*24*DAY(EOMONTH(Data_Params!$B$2,2))*$B$8+SUMPRODUCT(((Data_Hourly!$B$2:$B$169/3600*(F18/$B$14)/$B$6/$B$7)-$B$27)*((Data_Hourly!$B$2:$B$169/3600*(F18/$B$14)/$B$6/$B$7)&gt;$B$27))/7*DAY(EOMONTH(Data_Params!$B$2,2))*$B$9)</f>
        <v>374721.498715187</v>
      </c>
      <c r="D33" s="31" t="n">
        <f aca="false">IF(COUNT(Data_Hourly!$B$2:$B$169)=0,"needs hourly data",$B$27*24*DAY(EOMONTH(Data_Params!$B$2,3))*$B$8+SUMPRODUCT(((Data_Hourly!$B$2:$B$169/3600*(G18/$B$14)/$B$6/$B$7)-$B$27)*((Data_Hourly!$B$2:$B$169/3600*(G18/$B$14)/$B$6/$B$7)&gt;$B$27))/7*DAY(EOMONTH(Data_Params!$B$2,3))*$B$9)</f>
        <v>442863.529712219</v>
      </c>
      <c r="E33" s="7" t="s">
        <v>278</v>
      </c>
    </row>
    <row r="34" customFormat="false" ht="15" hidden="false" customHeight="false" outlineLevel="0" collapsed="false">
      <c r="A34" s="3" t="s">
        <v>279</v>
      </c>
      <c r="B34" s="31" t="n">
        <f aca="false">E22*24*DAY(EOMONTH(Data_Params!$B$2,1))*$B$8</f>
        <v>533820</v>
      </c>
      <c r="C34" s="31" t="n">
        <f aca="false">F22*24*DAY(EOMONTH(Data_Params!$B$2,2))*$B$8</f>
        <v>581400</v>
      </c>
      <c r="D34" s="31" t="n">
        <f aca="false">G22*24*DAY(EOMONTH(Data_Params!$B$2,3))*$B$8</f>
        <v>682620</v>
      </c>
      <c r="E34" s="7" t="s">
        <v>280</v>
      </c>
    </row>
    <row r="35" customFormat="false" ht="15" hidden="false" customHeight="false" outlineLevel="0" collapsed="false">
      <c r="A35" s="3" t="s">
        <v>281</v>
      </c>
      <c r="B35" s="31" t="n">
        <f aca="false">IF(COUNT(Data_Hourly!$B$2:$B$169)=0,"needs hourly data",SUMPRODUCT((Data_Hourly!$B$2:$B$169/3600*(E18/$B$14)/$B$6/$B$7))/7*DAY(EOMONTH(Data_Params!$B$2,1))*$B$9)</f>
        <v>366647.624390911</v>
      </c>
      <c r="C35" s="31" t="n">
        <f aca="false">IF(COUNT(Data_Hourly!$B$2:$B$169)=0,"needs hourly data",SUMPRODUCT((Data_Hourly!$B$2:$B$169/3600*(F18/$B$14)/$B$6/$B$7))/7*DAY(EOMONTH(Data_Params!$B$2,2))*$B$9)</f>
        <v>398841.498715187</v>
      </c>
      <c r="D35" s="31" t="n">
        <f aca="false">IF(COUNT(Data_Hourly!$B$2:$B$169)=0,"needs hourly data",SUMPRODUCT((Data_Hourly!$B$2:$B$169/3600*(G18/$B$14)/$B$6/$B$7))/7*DAY(EOMONTH(Data_Params!$B$2,3))*$B$9)</f>
        <v>467787.529712219</v>
      </c>
      <c r="E35" s="7" t="s">
        <v>282</v>
      </c>
    </row>
    <row r="36" customFormat="false" ht="15" hidden="false" customHeight="false" outlineLevel="0" collapsed="false">
      <c r="A36" s="2" t="s">
        <v>283</v>
      </c>
      <c r="B36" s="33" t="n">
        <f aca="false">Forecast!E135*1000</f>
        <v>294777.19578193</v>
      </c>
      <c r="C36" s="33" t="n">
        <f aca="false">Forecast!F135*1000</f>
        <v>320994.964191908</v>
      </c>
      <c r="D36" s="33" t="n">
        <f aca="false">Forecast!G135*1000</f>
        <v>374316.082280811</v>
      </c>
    </row>
    <row r="37" customFormat="false" ht="15" hidden="false" customHeight="false" outlineLevel="0" collapsed="false">
      <c r="A37" s="2" t="s">
        <v>284</v>
      </c>
      <c r="B37" s="45" t="n">
        <f aca="false">IF(OR(NOT(ISNUMBER(B33)),B36=0),"",1-B33/B36)</f>
        <v>-0.159260720573891</v>
      </c>
      <c r="C37" s="45" t="n">
        <f aca="false">IF(OR(NOT(ISNUMBER(C33)),C36=0),"",1-C33/C36)</f>
        <v>-0.167375007450765</v>
      </c>
      <c r="D37" s="45" t="n">
        <f aca="false">IF(OR(NOT(ISNUMBER(D33)),D36=0),"",1-D33/D36)</f>
        <v>-0.183127176940221</v>
      </c>
    </row>
    <row r="39" customFormat="false" ht="15" hidden="false" customHeight="false" outlineLevel="0" collapsed="false">
      <c r="A39" s="7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9138"/>
    <pageSetUpPr fitToPage="false"/>
  </sheetPr>
  <dimension ref="A1:H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5" min="3" style="0" width="14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tr">
        <f aca="false">Data_Params!$B$14&amp;" | Overrides: change a number without touching the data"</f>
        <v>Example Co (synthetic data) | Overrides: change a number without touching the data</v>
      </c>
    </row>
    <row r="2" customFormat="false" ht="15" hidden="false" customHeight="false" outlineLevel="0" collapsed="false">
      <c r="A2" s="7" t="s">
        <v>286</v>
      </c>
    </row>
    <row r="4" customFormat="false" ht="15" hidden="false" customHeight="false" outlineLevel="0" collapsed="false">
      <c r="A4" s="2" t="s">
        <v>287</v>
      </c>
      <c r="C4" s="46" t="s">
        <v>288</v>
      </c>
      <c r="D4" s="7" t="s">
        <v>289</v>
      </c>
    </row>
    <row r="5" customFormat="false" ht="15" hidden="false" customHeight="false" outlineLevel="0" collapsed="false">
      <c r="A5" s="2" t="s">
        <v>290</v>
      </c>
      <c r="C5" s="2" t="str">
        <f aca="false">IF(Overrides!$C$4&lt;&gt;"ON","Switch is OFF: model values everywhere",COUNTIF($F$8:$F$39,"Applied")&amp;" input(s) and "&amp;COUNTIF($H$46:$H$75,"Applied")&amp;" adjustment(s) applied")</f>
        <v>0 input(s) and 0 adjustment(s) applied</v>
      </c>
    </row>
    <row r="7" customFormat="false" ht="15" hidden="false" customHeight="false" outlineLevel="0" collapsed="false">
      <c r="A7" s="8" t="s">
        <v>291</v>
      </c>
      <c r="B7" s="8" t="s">
        <v>140</v>
      </c>
      <c r="C7" s="8" t="s">
        <v>292</v>
      </c>
      <c r="D7" s="8" t="s">
        <v>293</v>
      </c>
      <c r="E7" s="8" t="s">
        <v>294</v>
      </c>
      <c r="F7" s="8" t="s">
        <v>51</v>
      </c>
      <c r="G7" s="8" t="s">
        <v>295</v>
      </c>
      <c r="H7" s="8" t="s">
        <v>296</v>
      </c>
    </row>
    <row r="8" customFormat="false" ht="15" hidden="false" customHeight="false" outlineLevel="0" collapsed="false">
      <c r="A8" s="7" t="s">
        <v>297</v>
      </c>
      <c r="B8" s="3" t="s">
        <v>298</v>
      </c>
      <c r="C8" s="47" t="n">
        <v>0.93</v>
      </c>
      <c r="D8" s="48"/>
      <c r="E8" s="49" t="n">
        <f aca="false">IFERROR(IF(AND(Overrides!$C$4="ON",ISNUMBER(D8),D8&gt;=0.5,D8&lt;=1.5),D8,C8),C8)</f>
        <v>0.93</v>
      </c>
      <c r="F8" s="3" t="str">
        <f aca="false">IFERROR(IF(ISBLANK(D8),"",IF(Overrides!$C$4&lt;&gt;"ON","Switch OFF",IF(ISERROR(D8),"Ignored: error value",IF(NOT(ISNUMBER(D8)),"Ignored: not a number",IF(OR(D8&lt;0.5,D8&gt;1.5),"Ignored: outside range","Applied"))))),"Ignored: error value")</f>
        <v/>
      </c>
      <c r="G8" s="7" t="s">
        <v>299</v>
      </c>
      <c r="H8" s="18"/>
    </row>
    <row r="9" customFormat="false" ht="15" hidden="false" customHeight="false" outlineLevel="0" collapsed="false">
      <c r="A9" s="7" t="s">
        <v>300</v>
      </c>
      <c r="B9" s="3" t="s">
        <v>301</v>
      </c>
      <c r="C9" s="47" t="n">
        <v>0.97</v>
      </c>
      <c r="D9" s="48"/>
      <c r="E9" s="49" t="n">
        <f aca="false">IFERROR(IF(AND(Overrides!$C$4="ON",ISNUMBER(D9),D9&gt;=0.5,D9&lt;=1.5),D9,C9),C9)</f>
        <v>0.97</v>
      </c>
      <c r="F9" s="3" t="str">
        <f aca="false">IFERROR(IF(ISBLANK(D9),"",IF(Overrides!$C$4&lt;&gt;"ON","Switch OFF",IF(ISERROR(D9),"Ignored: error value",IF(NOT(ISNUMBER(D9)),"Ignored: not a number",IF(OR(D9&lt;0.5,D9&gt;1.5),"Ignored: outside range","Applied"))))),"Ignored: error value")</f>
        <v/>
      </c>
      <c r="G9" s="7" t="s">
        <v>299</v>
      </c>
      <c r="H9" s="18"/>
    </row>
    <row r="10" customFormat="false" ht="15" hidden="false" customHeight="false" outlineLevel="0" collapsed="false">
      <c r="A10" s="7" t="s">
        <v>302</v>
      </c>
      <c r="B10" s="3" t="s">
        <v>303</v>
      </c>
      <c r="C10" s="47" t="n">
        <v>1</v>
      </c>
      <c r="D10" s="48"/>
      <c r="E10" s="49" t="n">
        <f aca="false">IFERROR(IF(AND(Overrides!$C$4="ON",ISNUMBER(D10),D10&gt;=0.5,D10&lt;=1.5),D10,C10),C10)</f>
        <v>1</v>
      </c>
      <c r="F10" s="3" t="str">
        <f aca="false">IFERROR(IF(ISBLANK(D10),"",IF(Overrides!$C$4&lt;&gt;"ON","Switch OFF",IF(ISERROR(D10),"Ignored: error value",IF(NOT(ISNUMBER(D10)),"Ignored: not a number",IF(OR(D10&lt;0.5,D10&gt;1.5),"Ignored: outside range","Applied"))))),"Ignored: error value")</f>
        <v/>
      </c>
      <c r="G10" s="7" t="s">
        <v>299</v>
      </c>
      <c r="H10" s="18"/>
    </row>
    <row r="11" customFormat="false" ht="15" hidden="false" customHeight="false" outlineLevel="0" collapsed="false">
      <c r="A11" s="7" t="s">
        <v>304</v>
      </c>
      <c r="B11" s="3" t="s">
        <v>305</v>
      </c>
      <c r="C11" s="50" t="n">
        <v>0.8</v>
      </c>
      <c r="D11" s="51"/>
      <c r="E11" s="27" t="n">
        <f aca="false">IFERROR(IF(AND(Overrides!$C$4="ON",ISNUMBER(D11),D11&gt;=0,D11&lt;=3),D11,C11),C11)</f>
        <v>0.8</v>
      </c>
      <c r="F11" s="3" t="str">
        <f aca="false">IFERROR(IF(ISBLANK(D11),"",IF(Overrides!$C$4&lt;&gt;"ON","Switch OFF",IF(ISERROR(D11),"Ignored: error value",IF(NOT(ISNUMBER(D11)),"Ignored: not a number",IF(OR(D11&lt;0,D11&gt;3),"Ignored: outside range","Applied"))))),"Ignored: error value")</f>
        <v/>
      </c>
      <c r="G11" s="7" t="s">
        <v>306</v>
      </c>
      <c r="H11" s="18"/>
    </row>
    <row r="12" customFormat="false" ht="15" hidden="false" customHeight="false" outlineLevel="0" collapsed="false">
      <c r="A12" s="7" t="s">
        <v>307</v>
      </c>
      <c r="B12" s="3" t="s">
        <v>308</v>
      </c>
      <c r="C12" s="50" t="n">
        <v>1</v>
      </c>
      <c r="D12" s="51"/>
      <c r="E12" s="27" t="n">
        <f aca="false">IFERROR(IF(AND(Overrides!$C$4="ON",ISNUMBER(D12),D12&gt;=0,D12&lt;=3),D12,C12),C12)</f>
        <v>1</v>
      </c>
      <c r="F12" s="3" t="str">
        <f aca="false">IFERROR(IF(ISBLANK(D12),"",IF(Overrides!$C$4&lt;&gt;"ON","Switch OFF",IF(ISERROR(D12),"Ignored: error value",IF(NOT(ISNUMBER(D12)),"Ignored: not a number",IF(OR(D12&lt;0,D12&gt;3),"Ignored: outside range","Applied"))))),"Ignored: error value")</f>
        <v/>
      </c>
      <c r="G12" s="7" t="s">
        <v>306</v>
      </c>
      <c r="H12" s="18"/>
    </row>
    <row r="13" customFormat="false" ht="15" hidden="false" customHeight="false" outlineLevel="0" collapsed="false">
      <c r="A13" s="7" t="s">
        <v>309</v>
      </c>
      <c r="B13" s="3" t="s">
        <v>310</v>
      </c>
      <c r="C13" s="50" t="n">
        <v>1.2</v>
      </c>
      <c r="D13" s="51"/>
      <c r="E13" s="27" t="n">
        <f aca="false">IFERROR(IF(AND(Overrides!$C$4="ON",ISNUMBER(D13),D13&gt;=0,D13&lt;=3),D13,C13),C13)</f>
        <v>1.2</v>
      </c>
      <c r="F13" s="3" t="str">
        <f aca="false">IFERROR(IF(ISBLANK(D13),"",IF(Overrides!$C$4&lt;&gt;"ON","Switch OFF",IF(ISERROR(D13),"Ignored: error value",IF(NOT(ISNUMBER(D13)),"Ignored: not a number",IF(OR(D13&lt;0,D13&gt;3),"Ignored: outside range","Applied"))))),"Ignored: error value")</f>
        <v/>
      </c>
      <c r="G13" s="7" t="s">
        <v>306</v>
      </c>
      <c r="H13" s="18"/>
    </row>
    <row r="14" customFormat="false" ht="15" hidden="false" customHeight="false" outlineLevel="0" collapsed="false">
      <c r="A14" s="7" t="s">
        <v>311</v>
      </c>
      <c r="B14" s="3" t="s">
        <v>312</v>
      </c>
      <c r="C14" s="50" t="n">
        <v>0</v>
      </c>
      <c r="D14" s="51"/>
      <c r="E14" s="27" t="n">
        <f aca="false">IFERROR(IF(AND(Overrides!$C$4="ON",ISNUMBER(D14),D14&gt;=-0.5,D14&lt;=1),D14,C14),C14)</f>
        <v>0</v>
      </c>
      <c r="F14" s="3" t="str">
        <f aca="false">IFERROR(IF(ISBLANK(D14),"",IF(Overrides!$C$4&lt;&gt;"ON","Switch OFF",IF(ISERROR(D14),"Ignored: error value",IF(NOT(ISNUMBER(D14)),"Ignored: not a number",IF(OR(D14&lt;-0.5,D14&gt;1),"Ignored: outside range","Applied"))))),"Ignored: error value")</f>
        <v/>
      </c>
      <c r="G14" s="7" t="s">
        <v>313</v>
      </c>
      <c r="H14" s="18"/>
    </row>
    <row r="15" customFormat="false" ht="15" hidden="false" customHeight="false" outlineLevel="0" collapsed="false">
      <c r="A15" s="7" t="s">
        <v>314</v>
      </c>
      <c r="B15" s="3" t="s">
        <v>315</v>
      </c>
      <c r="C15" s="50" t="n">
        <v>0.03</v>
      </c>
      <c r="D15" s="51"/>
      <c r="E15" s="27" t="n">
        <f aca="false">IFERROR(IF(AND(Overrides!$C$4="ON",ISNUMBER(D15),D15&gt;=-0.5,D15&lt;=1),D15,C15),C15)</f>
        <v>0.03</v>
      </c>
      <c r="F15" s="3" t="str">
        <f aca="false">IFERROR(IF(ISBLANK(D15),"",IF(Overrides!$C$4&lt;&gt;"ON","Switch OFF",IF(ISERROR(D15),"Ignored: error value",IF(NOT(ISNUMBER(D15)),"Ignored: not a number",IF(OR(D15&lt;-0.5,D15&gt;1),"Ignored: outside range","Applied"))))),"Ignored: error value")</f>
        <v/>
      </c>
      <c r="G15" s="7" t="s">
        <v>313</v>
      </c>
      <c r="H15" s="18"/>
    </row>
    <row r="16" customFormat="false" ht="15" hidden="false" customHeight="false" outlineLevel="0" collapsed="false">
      <c r="A16" s="7" t="s">
        <v>316</v>
      </c>
      <c r="B16" s="3" t="s">
        <v>317</v>
      </c>
      <c r="C16" s="50" t="n">
        <v>0.06</v>
      </c>
      <c r="D16" s="51"/>
      <c r="E16" s="27" t="n">
        <f aca="false">IFERROR(IF(AND(Overrides!$C$4="ON",ISNUMBER(D16),D16&gt;=-0.5,D16&lt;=1),D16,C16),C16)</f>
        <v>0.06</v>
      </c>
      <c r="F16" s="3" t="str">
        <f aca="false">IFERROR(IF(ISBLANK(D16),"",IF(Overrides!$C$4&lt;&gt;"ON","Switch OFF",IF(ISERROR(D16),"Ignored: error value",IF(NOT(ISNUMBER(D16)),"Ignored: not a number",IF(OR(D16&lt;-0.5,D16&gt;1),"Ignored: outside range","Applied"))))),"Ignored: error value")</f>
        <v/>
      </c>
      <c r="G16" s="7" t="s">
        <v>313</v>
      </c>
      <c r="H16" s="18"/>
    </row>
    <row r="17" customFormat="false" ht="15" hidden="false" customHeight="false" outlineLevel="0" collapsed="false">
      <c r="A17" s="7" t="s">
        <v>318</v>
      </c>
      <c r="B17" s="3" t="s">
        <v>319</v>
      </c>
      <c r="C17" s="50" t="n">
        <v>0.03</v>
      </c>
      <c r="D17" s="51"/>
      <c r="E17" s="27" t="n">
        <f aca="false">IFERROR(IF(AND(Overrides!$C$4="ON",ISNUMBER(D17),D17&gt;=0,D17&lt;=0.5),D17,C17),C17)</f>
        <v>0.03</v>
      </c>
      <c r="F17" s="3" t="str">
        <f aca="false">IFERROR(IF(ISBLANK(D17),"",IF(Overrides!$C$4&lt;&gt;"ON","Switch OFF",IF(ISERROR(D17),"Ignored: error value",IF(NOT(ISNUMBER(D17)),"Ignored: not a number",IF(OR(D17&lt;0,D17&gt;0.5),"Ignored: outside range","Applied"))))),"Ignored: error value")</f>
        <v/>
      </c>
      <c r="G17" s="7" t="s">
        <v>320</v>
      </c>
      <c r="H17" s="18"/>
    </row>
    <row r="18" customFormat="false" ht="15" hidden="false" customHeight="false" outlineLevel="0" collapsed="false">
      <c r="A18" s="7" t="s">
        <v>321</v>
      </c>
      <c r="B18" s="3" t="s">
        <v>322</v>
      </c>
      <c r="C18" s="50" t="n">
        <v>0</v>
      </c>
      <c r="D18" s="51"/>
      <c r="E18" s="27" t="n">
        <f aca="false">IFERROR(IF(AND(Overrides!$C$4="ON",ISNUMBER(D18),D18&gt;=0,D18&lt;=0.5),D18,C18),C18)</f>
        <v>0</v>
      </c>
      <c r="F18" s="3" t="str">
        <f aca="false">IFERROR(IF(ISBLANK(D18),"",IF(Overrides!$C$4&lt;&gt;"ON","Switch OFF",IF(ISERROR(D18),"Ignored: error value",IF(NOT(ISNUMBER(D18)),"Ignored: not a number",IF(OR(D18&lt;0,D18&gt;0.5),"Ignored: outside range","Applied"))))),"Ignored: error value")</f>
        <v/>
      </c>
      <c r="G18" s="7" t="s">
        <v>320</v>
      </c>
      <c r="H18" s="18"/>
    </row>
    <row r="19" customFormat="false" ht="15" hidden="false" customHeight="false" outlineLevel="0" collapsed="false">
      <c r="A19" s="7" t="s">
        <v>323</v>
      </c>
      <c r="B19" s="3" t="s">
        <v>324</v>
      </c>
      <c r="C19" s="50" t="n">
        <v>0</v>
      </c>
      <c r="D19" s="51"/>
      <c r="E19" s="27" t="n">
        <f aca="false">IFERROR(IF(AND(Overrides!$C$4="ON",ISNUMBER(D19),D19&gt;=0,D19&lt;=0.5),D19,C19),C19)</f>
        <v>0</v>
      </c>
      <c r="F19" s="3" t="str">
        <f aca="false">IFERROR(IF(ISBLANK(D19),"",IF(Overrides!$C$4&lt;&gt;"ON","Switch OFF",IF(ISERROR(D19),"Ignored: error value",IF(NOT(ISNUMBER(D19)),"Ignored: not a number",IF(OR(D19&lt;0,D19&gt;0.5),"Ignored: outside range","Applied"))))),"Ignored: error value")</f>
        <v/>
      </c>
      <c r="G19" s="7" t="s">
        <v>320</v>
      </c>
      <c r="H19" s="18"/>
    </row>
    <row r="20" customFormat="false" ht="15" hidden="false" customHeight="false" outlineLevel="0" collapsed="false">
      <c r="A20" s="7" t="s">
        <v>325</v>
      </c>
      <c r="B20" s="3" t="s">
        <v>326</v>
      </c>
      <c r="C20" s="25" t="n">
        <v>0</v>
      </c>
      <c r="D20" s="51"/>
      <c r="E20" s="27" t="n">
        <f aca="false">IFERROR(IF(AND(Overrides!$C$4="ON",ISNUMBER(D20),D20&gt;=-0.5,D20&lt;=1),D20,C20),C20)</f>
        <v>0</v>
      </c>
      <c r="F20" s="3" t="str">
        <f aca="false">IFERROR(IF(ISBLANK(D20),"",IF(Overrides!$C$4&lt;&gt;"ON","Switch OFF",IF(ISERROR(D20),"Ignored: error value",IF(NOT(ISNUMBER(D20)),"Ignored: not a number",IF(OR(D20&lt;-0.5,D20&gt;1),"Ignored: outside range","Applied"))))),"Ignored: error value")</f>
        <v/>
      </c>
      <c r="G20" s="7" t="s">
        <v>313</v>
      </c>
      <c r="H20" s="18"/>
    </row>
    <row r="21" customFormat="false" ht="15" hidden="false" customHeight="false" outlineLevel="0" collapsed="false">
      <c r="A21" s="7" t="s">
        <v>327</v>
      </c>
      <c r="B21" s="3" t="s">
        <v>328</v>
      </c>
      <c r="C21" s="47" t="n">
        <v>0.5</v>
      </c>
      <c r="D21" s="48"/>
      <c r="E21" s="49" t="n">
        <f aca="false">IFERROR(IF(AND(Overrides!$C$4="ON",ISNUMBER(D21),D21&gt;=0,D21&lt;=2),D21,C21),C21)</f>
        <v>0.5</v>
      </c>
      <c r="F21" s="3" t="str">
        <f aca="false">IFERROR(IF(ISBLANK(D21),"",IF(Overrides!$C$4&lt;&gt;"ON","Switch OFF",IF(ISERROR(D21),"Ignored: error value",IF(NOT(ISNUMBER(D21)),"Ignored: not a number",IF(OR(D21&lt;0,D21&gt;2),"Ignored: outside range","Applied"))))),"Ignored: error value")</f>
        <v/>
      </c>
      <c r="G21" s="7" t="s">
        <v>329</v>
      </c>
      <c r="H21" s="18"/>
    </row>
    <row r="22" customFormat="false" ht="15" hidden="false" customHeight="false" outlineLevel="0" collapsed="false">
      <c r="A22" s="7" t="s">
        <v>330</v>
      </c>
      <c r="B22" s="3" t="s">
        <v>331</v>
      </c>
      <c r="C22" s="52" t="n">
        <v>60</v>
      </c>
      <c r="D22" s="53"/>
      <c r="E22" s="44" t="n">
        <f aca="false">IFERROR(IF(AND(Overrides!$C$4="ON",ISNUMBER(D22),D22&gt;=1,D22&lt;=365),D22,C22),C22)</f>
        <v>60</v>
      </c>
      <c r="F22" s="3" t="str">
        <f aca="false">IFERROR(IF(ISBLANK(D22),"",IF(Overrides!$C$4&lt;&gt;"ON","Switch OFF",IF(ISERROR(D22),"Ignored: error value",IF(NOT(ISNUMBER(D22)),"Ignored: not a number",IF(OR(D22&lt;1,D22&gt;365),"Ignored: outside range","Applied"))))),"Ignored: error value")</f>
        <v/>
      </c>
      <c r="G22" s="7" t="s">
        <v>332</v>
      </c>
      <c r="H22" s="18"/>
    </row>
    <row r="23" customFormat="false" ht="15" hidden="false" customHeight="false" outlineLevel="0" collapsed="false">
      <c r="A23" s="7" t="s">
        <v>333</v>
      </c>
      <c r="B23" s="3" t="s">
        <v>334</v>
      </c>
      <c r="C23" s="26" t="n">
        <f aca="false">IF(Monthly!M7=0,0,Monthly!M30/Monthly!M7)</f>
        <v>0.0406174939020922</v>
      </c>
      <c r="D23" s="54"/>
      <c r="E23" s="55" t="n">
        <f aca="false">IFERROR(IF(AND(Overrides!$C$4="ON",ISNUMBER(D23),D23&gt;=0,D23&lt;=1),D23,C23),C23)</f>
        <v>0.0406174939020922</v>
      </c>
      <c r="F23" s="3" t="str">
        <f aca="false">IFERROR(IF(ISBLANK(D23),"",IF(Overrides!$C$4&lt;&gt;"ON","Switch OFF",IF(ISERROR(D23),"Ignored: error value",IF(NOT(ISNUMBER(D23)),"Ignored: not a number",IF(OR(D23&lt;0,D23&gt;1),"Ignored: outside range","Applied"))))),"Ignored: error value")</f>
        <v/>
      </c>
      <c r="G23" s="7" t="s">
        <v>168</v>
      </c>
      <c r="H23" s="18"/>
    </row>
    <row r="24" customFormat="false" ht="15" hidden="false" customHeight="false" outlineLevel="0" collapsed="false">
      <c r="A24" s="7" t="s">
        <v>335</v>
      </c>
      <c r="B24" s="3" t="s">
        <v>336</v>
      </c>
      <c r="C24" s="26" t="n">
        <f aca="false">IF(Monthly!M8=0,0,Monthly!M31/Monthly!M8)</f>
        <v>0.0399000000000001</v>
      </c>
      <c r="D24" s="54"/>
      <c r="E24" s="55" t="n">
        <f aca="false">IFERROR(IF(AND(Overrides!$C$4="ON",ISNUMBER(D24),D24&gt;=0,D24&lt;=1),D24,C24),C24)</f>
        <v>0.0399000000000001</v>
      </c>
      <c r="F24" s="3" t="str">
        <f aca="false">IFERROR(IF(ISBLANK(D24),"",IF(Overrides!$C$4&lt;&gt;"ON","Switch OFF",IF(ISERROR(D24),"Ignored: error value",IF(NOT(ISNUMBER(D24)),"Ignored: not a number",IF(OR(D24&lt;0,D24&gt;1),"Ignored: outside range","Applied"))))),"Ignored: error value")</f>
        <v/>
      </c>
      <c r="G24" s="7" t="s">
        <v>168</v>
      </c>
      <c r="H24" s="18"/>
    </row>
    <row r="25" customFormat="false" ht="15" hidden="false" customHeight="false" outlineLevel="0" collapsed="false">
      <c r="A25" s="7" t="s">
        <v>337</v>
      </c>
      <c r="B25" s="3" t="s">
        <v>338</v>
      </c>
      <c r="C25" s="26" t="n">
        <f aca="false">Data_Params!$B$4</f>
        <v>0.042</v>
      </c>
      <c r="D25" s="54"/>
      <c r="E25" s="55" t="n">
        <f aca="false">IFERROR(IF(AND(Overrides!$C$4="ON",ISNUMBER(D25),D25&gt;=0,D25&lt;=1),D25,C25),C25)</f>
        <v>0.042</v>
      </c>
      <c r="F25" s="3" t="str">
        <f aca="false">IFERROR(IF(ISBLANK(D25),"",IF(Overrides!$C$4&lt;&gt;"ON","Switch OFF",IF(ISERROR(D25),"Ignored: error value",IF(NOT(ISNUMBER(D25)),"Ignored: not a number",IF(OR(D25&lt;0,D25&gt;1),"Ignored: outside range","Applied"))))),"Ignored: error value")</f>
        <v/>
      </c>
      <c r="G25" s="7" t="s">
        <v>168</v>
      </c>
      <c r="H25" s="18"/>
    </row>
    <row r="26" customFormat="false" ht="15" hidden="false" customHeight="false" outlineLevel="0" collapsed="false">
      <c r="A26" s="7" t="s">
        <v>339</v>
      </c>
      <c r="B26" s="3" t="s">
        <v>340</v>
      </c>
      <c r="C26" s="52" t="n">
        <v>20604</v>
      </c>
      <c r="D26" s="53"/>
      <c r="E26" s="44" t="n">
        <f aca="false">IFERROR(IF(AND(Overrides!$C$4="ON",ISNUMBER(D26),D26&gt;=1,D26&lt;=10000000),D26,C26),C26)</f>
        <v>20604</v>
      </c>
      <c r="F26" s="3" t="str">
        <f aca="false">IFERROR(IF(ISBLANK(D26),"",IF(Overrides!$C$4&lt;&gt;"ON","Switch OFF",IF(ISERROR(D26),"Ignored: error value",IF(NOT(ISNUMBER(D26)),"Ignored: not a number",IF(OR(D26&lt;1,D26&gt;10000000),"Ignored: outside range","Applied"))))),"Ignored: error value")</f>
        <v/>
      </c>
      <c r="G26" s="7" t="s">
        <v>341</v>
      </c>
      <c r="H26" s="18"/>
    </row>
    <row r="27" customFormat="false" ht="15" hidden="false" customHeight="false" outlineLevel="0" collapsed="false">
      <c r="A27" s="7" t="s">
        <v>342</v>
      </c>
      <c r="B27" s="3" t="s">
        <v>343</v>
      </c>
      <c r="C27" s="50" t="n">
        <v>0.85</v>
      </c>
      <c r="D27" s="51"/>
      <c r="E27" s="27" t="n">
        <f aca="false">IFERROR(IF(AND(Overrides!$C$4="ON",ISNUMBER(D27),D27&gt;=0.05,D27&lt;=1),D27,C27),C27)</f>
        <v>0.85</v>
      </c>
      <c r="F27" s="3" t="str">
        <f aca="false">IFERROR(IF(ISBLANK(D27),"",IF(Overrides!$C$4&lt;&gt;"ON","Switch OFF",IF(ISERROR(D27),"Ignored: error value",IF(NOT(ISNUMBER(D27)),"Ignored: not a number",IF(OR(D27&lt;0.05,D27&gt;1),"Ignored: outside range","Applied"))))),"Ignored: error value")</f>
        <v/>
      </c>
      <c r="G27" s="7" t="s">
        <v>344</v>
      </c>
      <c r="H27" s="18"/>
    </row>
    <row r="28" customFormat="false" ht="15" hidden="false" customHeight="false" outlineLevel="0" collapsed="false">
      <c r="A28" s="7" t="s">
        <v>345</v>
      </c>
      <c r="B28" s="3" t="s">
        <v>346</v>
      </c>
      <c r="C28" s="56" t="n">
        <v>2.5</v>
      </c>
      <c r="D28" s="57"/>
      <c r="E28" s="58" t="n">
        <f aca="false">IFERROR(IF(AND(Overrides!$C$4="ON",ISNUMBER(D28),D28&gt;=0,D28&lt;=100),D28,C28),C28)</f>
        <v>2.5</v>
      </c>
      <c r="F28" s="3" t="str">
        <f aca="false">IFERROR(IF(ISBLANK(D28),"",IF(Overrides!$C$4&lt;&gt;"ON","Switch OFF",IF(ISERROR(D28),"Ignored: error value",IF(NOT(ISNUMBER(D28)),"Ignored: not a number",IF(OR(D28&lt;0,D28&gt;100),"Ignored: outside range","Applied"))))),"Ignored: error value")</f>
        <v/>
      </c>
      <c r="G28" s="7" t="s">
        <v>347</v>
      </c>
      <c r="H28" s="18"/>
    </row>
    <row r="29" customFormat="false" ht="15" hidden="false" customHeight="false" outlineLevel="0" collapsed="false">
      <c r="A29" s="7" t="s">
        <v>348</v>
      </c>
      <c r="B29" s="3" t="s">
        <v>349</v>
      </c>
      <c r="C29" s="56" t="n">
        <v>3</v>
      </c>
      <c r="D29" s="57"/>
      <c r="E29" s="58" t="n">
        <f aca="false">IFERROR(IF(AND(Overrides!$C$4="ON",ISNUMBER(D29),D29&gt;=0,D29&lt;=100),D29,C29),C29)</f>
        <v>3</v>
      </c>
      <c r="F29" s="3" t="str">
        <f aca="false">IFERROR(IF(ISBLANK(D29),"",IF(Overrides!$C$4&lt;&gt;"ON","Switch OFF",IF(ISERROR(D29),"Ignored: error value",IF(NOT(ISNUMBER(D29)),"Ignored: not a number",IF(OR(D29&lt;0,D29&gt;100),"Ignored: outside range","Applied"))))),"Ignored: error value")</f>
        <v/>
      </c>
      <c r="G29" s="7" t="s">
        <v>347</v>
      </c>
      <c r="H29" s="18"/>
    </row>
    <row r="30" customFormat="false" ht="15" hidden="false" customHeight="false" outlineLevel="0" collapsed="false">
      <c r="A30" s="7" t="s">
        <v>350</v>
      </c>
      <c r="B30" s="3" t="s">
        <v>351</v>
      </c>
      <c r="C30" s="47" t="n">
        <v>1.75</v>
      </c>
      <c r="D30" s="48"/>
      <c r="E30" s="49" t="n">
        <f aca="false">IFERROR(IF(AND(Overrides!$C$4="ON",ISNUMBER(D30),D30&gt;=1,D30&lt;=20),D30,C30),C30)</f>
        <v>1.75</v>
      </c>
      <c r="F30" s="3" t="str">
        <f aca="false">IFERROR(IF(ISBLANK(D30),"",IF(Overrides!$C$4&lt;&gt;"ON","Switch OFF",IF(ISERROR(D30),"Ignored: error value",IF(NOT(ISNUMBER(D30)),"Ignored: not a number",IF(OR(D30&lt;1,D30&gt;20),"Ignored: outside range","Applied"))))),"Ignored: error value")</f>
        <v/>
      </c>
      <c r="G30" s="7" t="s">
        <v>352</v>
      </c>
      <c r="H30" s="18"/>
    </row>
    <row r="31" customFormat="false" ht="15" hidden="false" customHeight="false" outlineLevel="0" collapsed="false">
      <c r="A31" s="7" t="s">
        <v>353</v>
      </c>
      <c r="B31" s="3" t="s">
        <v>354</v>
      </c>
      <c r="C31" s="47" t="n">
        <v>0.55</v>
      </c>
      <c r="D31" s="48"/>
      <c r="E31" s="49" t="n">
        <f aca="false">IFERROR(IF(AND(Overrides!$C$4="ON",ISNUMBER(D31),D31&gt;=0,D31&lt;=1),D31,C31),C31)</f>
        <v>0.55</v>
      </c>
      <c r="F31" s="3" t="str">
        <f aca="false">IFERROR(IF(ISBLANK(D31),"",IF(Overrides!$C$4&lt;&gt;"ON","Switch OFF",IF(ISERROR(D31),"Ignored: error value",IF(NOT(ISNUMBER(D31)),"Ignored: not a number",IF(OR(D31&lt;0,D31&gt;1),"Ignored: outside range","Applied"))))),"Ignored: error value")</f>
        <v/>
      </c>
      <c r="G31" s="7" t="s">
        <v>168</v>
      </c>
      <c r="H31" s="18"/>
    </row>
    <row r="43" customFormat="false" ht="15" hidden="false" customHeight="false" outlineLevel="0" collapsed="false">
      <c r="A43" s="2" t="s">
        <v>355</v>
      </c>
    </row>
    <row r="44" customFormat="false" ht="15" hidden="false" customHeight="false" outlineLevel="0" collapsed="false">
      <c r="A44" s="7" t="s">
        <v>356</v>
      </c>
    </row>
    <row r="45" customFormat="false" ht="15" hidden="false" customHeight="false" outlineLevel="0" collapsed="false">
      <c r="A45" s="8" t="s">
        <v>357</v>
      </c>
      <c r="B45" s="8" t="s">
        <v>132</v>
      </c>
      <c r="C45" s="8" t="s">
        <v>358</v>
      </c>
      <c r="D45" s="8" t="s">
        <v>359</v>
      </c>
      <c r="E45" s="8" t="s">
        <v>360</v>
      </c>
      <c r="F45" s="8" t="s">
        <v>361</v>
      </c>
      <c r="G45" s="8" t="s">
        <v>362</v>
      </c>
      <c r="H45" s="8" t="s">
        <v>51</v>
      </c>
    </row>
    <row r="46" customFormat="false" ht="15" hidden="false" customHeight="false" outlineLevel="0" collapsed="false">
      <c r="A46" s="59"/>
      <c r="B46" s="60"/>
      <c r="C46" s="57"/>
      <c r="D46" s="61"/>
      <c r="E46" s="61"/>
      <c r="F46" s="28" t="str">
        <f aca="false">IFERROR(IF(ISNUMBER(A46),DATE(YEAR(A46),MONTH(A46),1),""),"")</f>
        <v/>
      </c>
      <c r="G46" s="17" t="n">
        <f aca="false">IFERROR(IF(AND(Overrides!$C$4="ON",ISNUMBER(F46),ISNUMBER(C46),OR(B46="enterprise",B46="self_serve",B46="gateway_aggregate",B46="unmatched"),F46&gt;=Data_Params!$B$3,F46&lt;=Data_Params!$B$2),C46,0),0)</f>
        <v>0</v>
      </c>
      <c r="H46" s="3" t="str">
        <f aca="false">IFERROR(IF(AND(ISBLANK(A46),ISBLANK(B46),ISBLANK(C46)),"",IF(Overrides!$C$4&lt;&gt;"ON","Switch OFF",IF(OR(ISERROR(A46),ISERROR(B46),ISERROR(C46)),"Ignored: error value",IF(NOT(ISNUMBER(F46)),"Ignored: month is not a date",IF(NOT(OR(B46="enterprise",B46="self_serve",B46="gateway_aggregate",B46="unmatched")),"Ignored: unknown segment",IF(NOT(ISNUMBER(C46)),"Ignored: amount is not a number",IF(OR(F46&lt;Data_Params!$B$3,F46&gt;Data_Params!$B$2),"Ignored: month outside the window","Applied"))))))),"Ignored: error value")</f>
        <v/>
      </c>
    </row>
    <row r="47" customFormat="false" ht="15" hidden="false" customHeight="false" outlineLevel="0" collapsed="false">
      <c r="A47" s="59"/>
      <c r="B47" s="60"/>
      <c r="C47" s="57"/>
      <c r="D47" s="61"/>
      <c r="E47" s="61"/>
      <c r="F47" s="28" t="str">
        <f aca="false">IFERROR(IF(ISNUMBER(A47),DATE(YEAR(A47),MONTH(A47),1),""),"")</f>
        <v/>
      </c>
      <c r="G47" s="17" t="n">
        <f aca="false">IFERROR(IF(AND(Overrides!$C$4="ON",ISNUMBER(F47),ISNUMBER(C47),OR(B47="enterprise",B47="self_serve",B47="gateway_aggregate",B47="unmatched"),F47&gt;=Data_Params!$B$3,F47&lt;=Data_Params!$B$2),C47,0),0)</f>
        <v>0</v>
      </c>
      <c r="H47" s="3" t="str">
        <f aca="false">IFERROR(IF(AND(ISBLANK(A47),ISBLANK(B47),ISBLANK(C47)),"",IF(Overrides!$C$4&lt;&gt;"ON","Switch OFF",IF(OR(ISERROR(A47),ISERROR(B47),ISERROR(C47)),"Ignored: error value",IF(NOT(ISNUMBER(F47)),"Ignored: month is not a date",IF(NOT(OR(B47="enterprise",B47="self_serve",B47="gateway_aggregate",B47="unmatched")),"Ignored: unknown segment",IF(NOT(ISNUMBER(C47)),"Ignored: amount is not a number",IF(OR(F47&lt;Data_Params!$B$3,F47&gt;Data_Params!$B$2),"Ignored: month outside the window","Applied"))))))),"Ignored: error value")</f>
        <v/>
      </c>
    </row>
    <row r="48" customFormat="false" ht="15" hidden="false" customHeight="false" outlineLevel="0" collapsed="false">
      <c r="A48" s="59"/>
      <c r="B48" s="60"/>
      <c r="C48" s="57"/>
      <c r="D48" s="61"/>
      <c r="E48" s="61"/>
      <c r="F48" s="28" t="str">
        <f aca="false">IFERROR(IF(ISNUMBER(A48),DATE(YEAR(A48),MONTH(A48),1),""),"")</f>
        <v/>
      </c>
      <c r="G48" s="17" t="n">
        <f aca="false">IFERROR(IF(AND(Overrides!$C$4="ON",ISNUMBER(F48),ISNUMBER(C48),OR(B48="enterprise",B48="self_serve",B48="gateway_aggregate",B48="unmatched"),F48&gt;=Data_Params!$B$3,F48&lt;=Data_Params!$B$2),C48,0),0)</f>
        <v>0</v>
      </c>
      <c r="H48" s="3" t="str">
        <f aca="false">IFERROR(IF(AND(ISBLANK(A48),ISBLANK(B48),ISBLANK(C48)),"",IF(Overrides!$C$4&lt;&gt;"ON","Switch OFF",IF(OR(ISERROR(A48),ISERROR(B48),ISERROR(C48)),"Ignored: error value",IF(NOT(ISNUMBER(F48)),"Ignored: month is not a date",IF(NOT(OR(B48="enterprise",B48="self_serve",B48="gateway_aggregate",B48="unmatched")),"Ignored: unknown segment",IF(NOT(ISNUMBER(C48)),"Ignored: amount is not a number",IF(OR(F48&lt;Data_Params!$B$3,F48&gt;Data_Params!$B$2),"Ignored: month outside the window","Applied"))))))),"Ignored: error value")</f>
        <v/>
      </c>
    </row>
    <row r="49" customFormat="false" ht="15" hidden="false" customHeight="false" outlineLevel="0" collapsed="false">
      <c r="A49" s="59"/>
      <c r="B49" s="60"/>
      <c r="C49" s="57"/>
      <c r="D49" s="61"/>
      <c r="E49" s="61"/>
      <c r="F49" s="28" t="str">
        <f aca="false">IFERROR(IF(ISNUMBER(A49),DATE(YEAR(A49),MONTH(A49),1),""),"")</f>
        <v/>
      </c>
      <c r="G49" s="17" t="n">
        <f aca="false">IFERROR(IF(AND(Overrides!$C$4="ON",ISNUMBER(F49),ISNUMBER(C49),OR(B49="enterprise",B49="self_serve",B49="gateway_aggregate",B49="unmatched"),F49&gt;=Data_Params!$B$3,F49&lt;=Data_Params!$B$2),C49,0),0)</f>
        <v>0</v>
      </c>
      <c r="H49" s="3" t="str">
        <f aca="false">IFERROR(IF(AND(ISBLANK(A49),ISBLANK(B49),ISBLANK(C49)),"",IF(Overrides!$C$4&lt;&gt;"ON","Switch OFF",IF(OR(ISERROR(A49),ISERROR(B49),ISERROR(C49)),"Ignored: error value",IF(NOT(ISNUMBER(F49)),"Ignored: month is not a date",IF(NOT(OR(B49="enterprise",B49="self_serve",B49="gateway_aggregate",B49="unmatched")),"Ignored: unknown segment",IF(NOT(ISNUMBER(C49)),"Ignored: amount is not a number",IF(OR(F49&lt;Data_Params!$B$3,F49&gt;Data_Params!$B$2),"Ignored: month outside the window","Applied"))))))),"Ignored: error value")</f>
        <v/>
      </c>
    </row>
    <row r="50" customFormat="false" ht="15" hidden="false" customHeight="false" outlineLevel="0" collapsed="false">
      <c r="A50" s="59"/>
      <c r="B50" s="60"/>
      <c r="C50" s="57"/>
      <c r="D50" s="61"/>
      <c r="E50" s="61"/>
      <c r="F50" s="28" t="str">
        <f aca="false">IFERROR(IF(ISNUMBER(A50),DATE(YEAR(A50),MONTH(A50),1),""),"")</f>
        <v/>
      </c>
      <c r="G50" s="17" t="n">
        <f aca="false">IFERROR(IF(AND(Overrides!$C$4="ON",ISNUMBER(F50),ISNUMBER(C50),OR(B50="enterprise",B50="self_serve",B50="gateway_aggregate",B50="unmatched"),F50&gt;=Data_Params!$B$3,F50&lt;=Data_Params!$B$2),C50,0),0)</f>
        <v>0</v>
      </c>
      <c r="H50" s="3" t="str">
        <f aca="false">IFERROR(IF(AND(ISBLANK(A50),ISBLANK(B50),ISBLANK(C50)),"",IF(Overrides!$C$4&lt;&gt;"ON","Switch OFF",IF(OR(ISERROR(A50),ISERROR(B50),ISERROR(C50)),"Ignored: error value",IF(NOT(ISNUMBER(F50)),"Ignored: month is not a date",IF(NOT(OR(B50="enterprise",B50="self_serve",B50="gateway_aggregate",B50="unmatched")),"Ignored: unknown segment",IF(NOT(ISNUMBER(C50)),"Ignored: amount is not a number",IF(OR(F50&lt;Data_Params!$B$3,F50&gt;Data_Params!$B$2),"Ignored: month outside the window","Applied"))))))),"Ignored: error value")</f>
        <v/>
      </c>
    </row>
    <row r="51" customFormat="false" ht="15" hidden="false" customHeight="false" outlineLevel="0" collapsed="false">
      <c r="A51" s="59"/>
      <c r="B51" s="60"/>
      <c r="C51" s="57"/>
      <c r="D51" s="61"/>
      <c r="E51" s="61"/>
      <c r="F51" s="28" t="str">
        <f aca="false">IFERROR(IF(ISNUMBER(A51),DATE(YEAR(A51),MONTH(A51),1),""),"")</f>
        <v/>
      </c>
      <c r="G51" s="17" t="n">
        <f aca="false">IFERROR(IF(AND(Overrides!$C$4="ON",ISNUMBER(F51),ISNUMBER(C51),OR(B51="enterprise",B51="self_serve",B51="gateway_aggregate",B51="unmatched"),F51&gt;=Data_Params!$B$3,F51&lt;=Data_Params!$B$2),C51,0),0)</f>
        <v>0</v>
      </c>
      <c r="H51" s="3" t="str">
        <f aca="false">IFERROR(IF(AND(ISBLANK(A51),ISBLANK(B51),ISBLANK(C51)),"",IF(Overrides!$C$4&lt;&gt;"ON","Switch OFF",IF(OR(ISERROR(A51),ISERROR(B51),ISERROR(C51)),"Ignored: error value",IF(NOT(ISNUMBER(F51)),"Ignored: month is not a date",IF(NOT(OR(B51="enterprise",B51="self_serve",B51="gateway_aggregate",B51="unmatched")),"Ignored: unknown segment",IF(NOT(ISNUMBER(C51)),"Ignored: amount is not a number",IF(OR(F51&lt;Data_Params!$B$3,F51&gt;Data_Params!$B$2),"Ignored: month outside the window","Applied"))))))),"Ignored: error value")</f>
        <v/>
      </c>
    </row>
    <row r="52" customFormat="false" ht="15" hidden="false" customHeight="false" outlineLevel="0" collapsed="false">
      <c r="A52" s="59"/>
      <c r="B52" s="60"/>
      <c r="C52" s="57"/>
      <c r="D52" s="61"/>
      <c r="E52" s="61"/>
      <c r="F52" s="28" t="str">
        <f aca="false">IFERROR(IF(ISNUMBER(A52),DATE(YEAR(A52),MONTH(A52),1),""),"")</f>
        <v/>
      </c>
      <c r="G52" s="17" t="n">
        <f aca="false">IFERROR(IF(AND(Overrides!$C$4="ON",ISNUMBER(F52),ISNUMBER(C52),OR(B52="enterprise",B52="self_serve",B52="gateway_aggregate",B52="unmatched"),F52&gt;=Data_Params!$B$3,F52&lt;=Data_Params!$B$2),C52,0),0)</f>
        <v>0</v>
      </c>
      <c r="H52" s="3" t="str">
        <f aca="false">IFERROR(IF(AND(ISBLANK(A52),ISBLANK(B52),ISBLANK(C52)),"",IF(Overrides!$C$4&lt;&gt;"ON","Switch OFF",IF(OR(ISERROR(A52),ISERROR(B52),ISERROR(C52)),"Ignored: error value",IF(NOT(ISNUMBER(F52)),"Ignored: month is not a date",IF(NOT(OR(B52="enterprise",B52="self_serve",B52="gateway_aggregate",B52="unmatched")),"Ignored: unknown segment",IF(NOT(ISNUMBER(C52)),"Ignored: amount is not a number",IF(OR(F52&lt;Data_Params!$B$3,F52&gt;Data_Params!$B$2),"Ignored: month outside the window","Applied"))))))),"Ignored: error value")</f>
        <v/>
      </c>
    </row>
    <row r="53" customFormat="false" ht="15" hidden="false" customHeight="false" outlineLevel="0" collapsed="false">
      <c r="A53" s="59"/>
      <c r="B53" s="60"/>
      <c r="C53" s="57"/>
      <c r="D53" s="61"/>
      <c r="E53" s="61"/>
      <c r="F53" s="28" t="str">
        <f aca="false">IFERROR(IF(ISNUMBER(A53),DATE(YEAR(A53),MONTH(A53),1),""),"")</f>
        <v/>
      </c>
      <c r="G53" s="17" t="n">
        <f aca="false">IFERROR(IF(AND(Overrides!$C$4="ON",ISNUMBER(F53),ISNUMBER(C53),OR(B53="enterprise",B53="self_serve",B53="gateway_aggregate",B53="unmatched"),F53&gt;=Data_Params!$B$3,F53&lt;=Data_Params!$B$2),C53,0),0)</f>
        <v>0</v>
      </c>
      <c r="H53" s="3" t="str">
        <f aca="false">IFERROR(IF(AND(ISBLANK(A53),ISBLANK(B53),ISBLANK(C53)),"",IF(Overrides!$C$4&lt;&gt;"ON","Switch OFF",IF(OR(ISERROR(A53),ISERROR(B53),ISERROR(C53)),"Ignored: error value",IF(NOT(ISNUMBER(F53)),"Ignored: month is not a date",IF(NOT(OR(B53="enterprise",B53="self_serve",B53="gateway_aggregate",B53="unmatched")),"Ignored: unknown segment",IF(NOT(ISNUMBER(C53)),"Ignored: amount is not a number",IF(OR(F53&lt;Data_Params!$B$3,F53&gt;Data_Params!$B$2),"Ignored: month outside the window","Applied"))))))),"Ignored: error value")</f>
        <v/>
      </c>
    </row>
    <row r="54" customFormat="false" ht="15" hidden="false" customHeight="false" outlineLevel="0" collapsed="false">
      <c r="A54" s="59"/>
      <c r="B54" s="60"/>
      <c r="C54" s="57"/>
      <c r="D54" s="61"/>
      <c r="E54" s="61"/>
      <c r="F54" s="28" t="str">
        <f aca="false">IFERROR(IF(ISNUMBER(A54),DATE(YEAR(A54),MONTH(A54),1),""),"")</f>
        <v/>
      </c>
      <c r="G54" s="17" t="n">
        <f aca="false">IFERROR(IF(AND(Overrides!$C$4="ON",ISNUMBER(F54),ISNUMBER(C54),OR(B54="enterprise",B54="self_serve",B54="gateway_aggregate",B54="unmatched"),F54&gt;=Data_Params!$B$3,F54&lt;=Data_Params!$B$2),C54,0),0)</f>
        <v>0</v>
      </c>
      <c r="H54" s="3" t="str">
        <f aca="false">IFERROR(IF(AND(ISBLANK(A54),ISBLANK(B54),ISBLANK(C54)),"",IF(Overrides!$C$4&lt;&gt;"ON","Switch OFF",IF(OR(ISERROR(A54),ISERROR(B54),ISERROR(C54)),"Ignored: error value",IF(NOT(ISNUMBER(F54)),"Ignored: month is not a date",IF(NOT(OR(B54="enterprise",B54="self_serve",B54="gateway_aggregate",B54="unmatched")),"Ignored: unknown segment",IF(NOT(ISNUMBER(C54)),"Ignored: amount is not a number",IF(OR(F54&lt;Data_Params!$B$3,F54&gt;Data_Params!$B$2),"Ignored: month outside the window","Applied"))))))),"Ignored: error value")</f>
        <v/>
      </c>
    </row>
    <row r="55" customFormat="false" ht="15" hidden="false" customHeight="false" outlineLevel="0" collapsed="false">
      <c r="A55" s="59"/>
      <c r="B55" s="60"/>
      <c r="C55" s="57"/>
      <c r="D55" s="61"/>
      <c r="E55" s="61"/>
      <c r="F55" s="28" t="str">
        <f aca="false">IFERROR(IF(ISNUMBER(A55),DATE(YEAR(A55),MONTH(A55),1),""),"")</f>
        <v/>
      </c>
      <c r="G55" s="17" t="n">
        <f aca="false">IFERROR(IF(AND(Overrides!$C$4="ON",ISNUMBER(F55),ISNUMBER(C55),OR(B55="enterprise",B55="self_serve",B55="gateway_aggregate",B55="unmatched"),F55&gt;=Data_Params!$B$3,F55&lt;=Data_Params!$B$2),C55,0),0)</f>
        <v>0</v>
      </c>
      <c r="H55" s="3" t="str">
        <f aca="false">IFERROR(IF(AND(ISBLANK(A55),ISBLANK(B55),ISBLANK(C55)),"",IF(Overrides!$C$4&lt;&gt;"ON","Switch OFF",IF(OR(ISERROR(A55),ISERROR(B55),ISERROR(C55)),"Ignored: error value",IF(NOT(ISNUMBER(F55)),"Ignored: month is not a date",IF(NOT(OR(B55="enterprise",B55="self_serve",B55="gateway_aggregate",B55="unmatched")),"Ignored: unknown segment",IF(NOT(ISNUMBER(C55)),"Ignored: amount is not a number",IF(OR(F55&lt;Data_Params!$B$3,F55&gt;Data_Params!$B$2),"Ignored: month outside the window","Applied"))))))),"Ignored: error value")</f>
        <v/>
      </c>
    </row>
    <row r="56" customFormat="false" ht="15" hidden="false" customHeight="false" outlineLevel="0" collapsed="false">
      <c r="A56" s="59"/>
      <c r="B56" s="60"/>
      <c r="C56" s="57"/>
      <c r="D56" s="61"/>
      <c r="E56" s="61"/>
      <c r="F56" s="28" t="str">
        <f aca="false">IFERROR(IF(ISNUMBER(A56),DATE(YEAR(A56),MONTH(A56),1),""),"")</f>
        <v/>
      </c>
      <c r="G56" s="17" t="n">
        <f aca="false">IFERROR(IF(AND(Overrides!$C$4="ON",ISNUMBER(F56),ISNUMBER(C56),OR(B56="enterprise",B56="self_serve",B56="gateway_aggregate",B56="unmatched"),F56&gt;=Data_Params!$B$3,F56&lt;=Data_Params!$B$2),C56,0),0)</f>
        <v>0</v>
      </c>
      <c r="H56" s="3" t="str">
        <f aca="false">IFERROR(IF(AND(ISBLANK(A56),ISBLANK(B56),ISBLANK(C56)),"",IF(Overrides!$C$4&lt;&gt;"ON","Switch OFF",IF(OR(ISERROR(A56),ISERROR(B56),ISERROR(C56)),"Ignored: error value",IF(NOT(ISNUMBER(F56)),"Ignored: month is not a date",IF(NOT(OR(B56="enterprise",B56="self_serve",B56="gateway_aggregate",B56="unmatched")),"Ignored: unknown segment",IF(NOT(ISNUMBER(C56)),"Ignored: amount is not a number",IF(OR(F56&lt;Data_Params!$B$3,F56&gt;Data_Params!$B$2),"Ignored: month outside the window","Applied"))))))),"Ignored: error value")</f>
        <v/>
      </c>
    </row>
    <row r="57" customFormat="false" ht="15" hidden="false" customHeight="false" outlineLevel="0" collapsed="false">
      <c r="A57" s="59"/>
      <c r="B57" s="60"/>
      <c r="C57" s="57"/>
      <c r="D57" s="61"/>
      <c r="E57" s="61"/>
      <c r="F57" s="28" t="str">
        <f aca="false">IFERROR(IF(ISNUMBER(A57),DATE(YEAR(A57),MONTH(A57),1),""),"")</f>
        <v/>
      </c>
      <c r="G57" s="17" t="n">
        <f aca="false">IFERROR(IF(AND(Overrides!$C$4="ON",ISNUMBER(F57),ISNUMBER(C57),OR(B57="enterprise",B57="self_serve",B57="gateway_aggregate",B57="unmatched"),F57&gt;=Data_Params!$B$3,F57&lt;=Data_Params!$B$2),C57,0),0)</f>
        <v>0</v>
      </c>
      <c r="H57" s="3" t="str">
        <f aca="false">IFERROR(IF(AND(ISBLANK(A57),ISBLANK(B57),ISBLANK(C57)),"",IF(Overrides!$C$4&lt;&gt;"ON","Switch OFF",IF(OR(ISERROR(A57),ISERROR(B57),ISERROR(C57)),"Ignored: error value",IF(NOT(ISNUMBER(F57)),"Ignored: month is not a date",IF(NOT(OR(B57="enterprise",B57="self_serve",B57="gateway_aggregate",B57="unmatched")),"Ignored: unknown segment",IF(NOT(ISNUMBER(C57)),"Ignored: amount is not a number",IF(OR(F57&lt;Data_Params!$B$3,F57&gt;Data_Params!$B$2),"Ignored: month outside the window","Applied"))))))),"Ignored: error value")</f>
        <v/>
      </c>
    </row>
    <row r="58" customFormat="false" ht="15" hidden="false" customHeight="false" outlineLevel="0" collapsed="false">
      <c r="A58" s="59"/>
      <c r="B58" s="60"/>
      <c r="C58" s="57"/>
      <c r="D58" s="61"/>
      <c r="E58" s="61"/>
      <c r="F58" s="28" t="str">
        <f aca="false">IFERROR(IF(ISNUMBER(A58),DATE(YEAR(A58),MONTH(A58),1),""),"")</f>
        <v/>
      </c>
      <c r="G58" s="17" t="n">
        <f aca="false">IFERROR(IF(AND(Overrides!$C$4="ON",ISNUMBER(F58),ISNUMBER(C58),OR(B58="enterprise",B58="self_serve",B58="gateway_aggregate",B58="unmatched"),F58&gt;=Data_Params!$B$3,F58&lt;=Data_Params!$B$2),C58,0),0)</f>
        <v>0</v>
      </c>
      <c r="H58" s="3" t="str">
        <f aca="false">IFERROR(IF(AND(ISBLANK(A58),ISBLANK(B58),ISBLANK(C58)),"",IF(Overrides!$C$4&lt;&gt;"ON","Switch OFF",IF(OR(ISERROR(A58),ISERROR(B58),ISERROR(C58)),"Ignored: error value",IF(NOT(ISNUMBER(F58)),"Ignored: month is not a date",IF(NOT(OR(B58="enterprise",B58="self_serve",B58="gateway_aggregate",B58="unmatched")),"Ignored: unknown segment",IF(NOT(ISNUMBER(C58)),"Ignored: amount is not a number",IF(OR(F58&lt;Data_Params!$B$3,F58&gt;Data_Params!$B$2),"Ignored: month outside the window","Applied"))))))),"Ignored: error value")</f>
        <v/>
      </c>
    </row>
    <row r="59" customFormat="false" ht="15" hidden="false" customHeight="false" outlineLevel="0" collapsed="false">
      <c r="A59" s="59"/>
      <c r="B59" s="60"/>
      <c r="C59" s="57"/>
      <c r="D59" s="61"/>
      <c r="E59" s="61"/>
      <c r="F59" s="28" t="str">
        <f aca="false">IFERROR(IF(ISNUMBER(A59),DATE(YEAR(A59),MONTH(A59),1),""),"")</f>
        <v/>
      </c>
      <c r="G59" s="17" t="n">
        <f aca="false">IFERROR(IF(AND(Overrides!$C$4="ON",ISNUMBER(F59),ISNUMBER(C59),OR(B59="enterprise",B59="self_serve",B59="gateway_aggregate",B59="unmatched"),F59&gt;=Data_Params!$B$3,F59&lt;=Data_Params!$B$2),C59,0),0)</f>
        <v>0</v>
      </c>
      <c r="H59" s="3" t="str">
        <f aca="false">IFERROR(IF(AND(ISBLANK(A59),ISBLANK(B59),ISBLANK(C59)),"",IF(Overrides!$C$4&lt;&gt;"ON","Switch OFF",IF(OR(ISERROR(A59),ISERROR(B59),ISERROR(C59)),"Ignored: error value",IF(NOT(ISNUMBER(F59)),"Ignored: month is not a date",IF(NOT(OR(B59="enterprise",B59="self_serve",B59="gateway_aggregate",B59="unmatched")),"Ignored: unknown segment",IF(NOT(ISNUMBER(C59)),"Ignored: amount is not a number",IF(OR(F59&lt;Data_Params!$B$3,F59&gt;Data_Params!$B$2),"Ignored: month outside the window","Applied"))))))),"Ignored: error value")</f>
        <v/>
      </c>
    </row>
    <row r="60" customFormat="false" ht="15" hidden="false" customHeight="false" outlineLevel="0" collapsed="false">
      <c r="A60" s="59"/>
      <c r="B60" s="60"/>
      <c r="C60" s="57"/>
      <c r="D60" s="61"/>
      <c r="E60" s="61"/>
      <c r="F60" s="28" t="str">
        <f aca="false">IFERROR(IF(ISNUMBER(A60),DATE(YEAR(A60),MONTH(A60),1),""),"")</f>
        <v/>
      </c>
      <c r="G60" s="17" t="n">
        <f aca="false">IFERROR(IF(AND(Overrides!$C$4="ON",ISNUMBER(F60),ISNUMBER(C60),OR(B60="enterprise",B60="self_serve",B60="gateway_aggregate",B60="unmatched"),F60&gt;=Data_Params!$B$3,F60&lt;=Data_Params!$B$2),C60,0),0)</f>
        <v>0</v>
      </c>
      <c r="H60" s="3" t="str">
        <f aca="false">IFERROR(IF(AND(ISBLANK(A60),ISBLANK(B60),ISBLANK(C60)),"",IF(Overrides!$C$4&lt;&gt;"ON","Switch OFF",IF(OR(ISERROR(A60),ISERROR(B60),ISERROR(C60)),"Ignored: error value",IF(NOT(ISNUMBER(F60)),"Ignored: month is not a date",IF(NOT(OR(B60="enterprise",B60="self_serve",B60="gateway_aggregate",B60="unmatched")),"Ignored: unknown segment",IF(NOT(ISNUMBER(C60)),"Ignored: amount is not a number",IF(OR(F60&lt;Data_Params!$B$3,F60&gt;Data_Params!$B$2),"Ignored: month outside the window","Applied"))))))),"Ignored: error value")</f>
        <v/>
      </c>
    </row>
    <row r="61" customFormat="false" ht="15" hidden="false" customHeight="false" outlineLevel="0" collapsed="false">
      <c r="A61" s="59"/>
      <c r="B61" s="60"/>
      <c r="C61" s="57"/>
      <c r="D61" s="61"/>
      <c r="E61" s="61"/>
      <c r="F61" s="28" t="str">
        <f aca="false">IFERROR(IF(ISNUMBER(A61),DATE(YEAR(A61),MONTH(A61),1),""),"")</f>
        <v/>
      </c>
      <c r="G61" s="17" t="n">
        <f aca="false">IFERROR(IF(AND(Overrides!$C$4="ON",ISNUMBER(F61),ISNUMBER(C61),OR(B61="enterprise",B61="self_serve",B61="gateway_aggregate",B61="unmatched"),F61&gt;=Data_Params!$B$3,F61&lt;=Data_Params!$B$2),C61,0),0)</f>
        <v>0</v>
      </c>
      <c r="H61" s="3" t="str">
        <f aca="false">IFERROR(IF(AND(ISBLANK(A61),ISBLANK(B61),ISBLANK(C61)),"",IF(Overrides!$C$4&lt;&gt;"ON","Switch OFF",IF(OR(ISERROR(A61),ISERROR(B61),ISERROR(C61)),"Ignored: error value",IF(NOT(ISNUMBER(F61)),"Ignored: month is not a date",IF(NOT(OR(B61="enterprise",B61="self_serve",B61="gateway_aggregate",B61="unmatched")),"Ignored: unknown segment",IF(NOT(ISNUMBER(C61)),"Ignored: amount is not a number",IF(OR(F61&lt;Data_Params!$B$3,F61&gt;Data_Params!$B$2),"Ignored: month outside the window","Applied"))))))),"Ignored: error value")</f>
        <v/>
      </c>
    </row>
    <row r="62" customFormat="false" ht="15" hidden="false" customHeight="false" outlineLevel="0" collapsed="false">
      <c r="A62" s="59"/>
      <c r="B62" s="60"/>
      <c r="C62" s="57"/>
      <c r="D62" s="61"/>
      <c r="E62" s="61"/>
      <c r="F62" s="28" t="str">
        <f aca="false">IFERROR(IF(ISNUMBER(A62),DATE(YEAR(A62),MONTH(A62),1),""),"")</f>
        <v/>
      </c>
      <c r="G62" s="17" t="n">
        <f aca="false">IFERROR(IF(AND(Overrides!$C$4="ON",ISNUMBER(F62),ISNUMBER(C62),OR(B62="enterprise",B62="self_serve",B62="gateway_aggregate",B62="unmatched"),F62&gt;=Data_Params!$B$3,F62&lt;=Data_Params!$B$2),C62,0),0)</f>
        <v>0</v>
      </c>
      <c r="H62" s="3" t="str">
        <f aca="false">IFERROR(IF(AND(ISBLANK(A62),ISBLANK(B62),ISBLANK(C62)),"",IF(Overrides!$C$4&lt;&gt;"ON","Switch OFF",IF(OR(ISERROR(A62),ISERROR(B62),ISERROR(C62)),"Ignored: error value",IF(NOT(ISNUMBER(F62)),"Ignored: month is not a date",IF(NOT(OR(B62="enterprise",B62="self_serve",B62="gateway_aggregate",B62="unmatched")),"Ignored: unknown segment",IF(NOT(ISNUMBER(C62)),"Ignored: amount is not a number",IF(OR(F62&lt;Data_Params!$B$3,F62&gt;Data_Params!$B$2),"Ignored: month outside the window","Applied"))))))),"Ignored: error value")</f>
        <v/>
      </c>
    </row>
    <row r="63" customFormat="false" ht="15" hidden="false" customHeight="false" outlineLevel="0" collapsed="false">
      <c r="A63" s="59"/>
      <c r="B63" s="60"/>
      <c r="C63" s="57"/>
      <c r="D63" s="61"/>
      <c r="E63" s="61"/>
      <c r="F63" s="28" t="str">
        <f aca="false">IFERROR(IF(ISNUMBER(A63),DATE(YEAR(A63),MONTH(A63),1),""),"")</f>
        <v/>
      </c>
      <c r="G63" s="17" t="n">
        <f aca="false">IFERROR(IF(AND(Overrides!$C$4="ON",ISNUMBER(F63),ISNUMBER(C63),OR(B63="enterprise",B63="self_serve",B63="gateway_aggregate",B63="unmatched"),F63&gt;=Data_Params!$B$3,F63&lt;=Data_Params!$B$2),C63,0),0)</f>
        <v>0</v>
      </c>
      <c r="H63" s="3" t="str">
        <f aca="false">IFERROR(IF(AND(ISBLANK(A63),ISBLANK(B63),ISBLANK(C63)),"",IF(Overrides!$C$4&lt;&gt;"ON","Switch OFF",IF(OR(ISERROR(A63),ISERROR(B63),ISERROR(C63)),"Ignored: error value",IF(NOT(ISNUMBER(F63)),"Ignored: month is not a date",IF(NOT(OR(B63="enterprise",B63="self_serve",B63="gateway_aggregate",B63="unmatched")),"Ignored: unknown segment",IF(NOT(ISNUMBER(C63)),"Ignored: amount is not a number",IF(OR(F63&lt;Data_Params!$B$3,F63&gt;Data_Params!$B$2),"Ignored: month outside the window","Applied"))))))),"Ignored: error value")</f>
        <v/>
      </c>
    </row>
    <row r="64" customFormat="false" ht="15" hidden="false" customHeight="false" outlineLevel="0" collapsed="false">
      <c r="A64" s="59"/>
      <c r="B64" s="60"/>
      <c r="C64" s="57"/>
      <c r="D64" s="61"/>
      <c r="E64" s="61"/>
      <c r="F64" s="28" t="str">
        <f aca="false">IFERROR(IF(ISNUMBER(A64),DATE(YEAR(A64),MONTH(A64),1),""),"")</f>
        <v/>
      </c>
      <c r="G64" s="17" t="n">
        <f aca="false">IFERROR(IF(AND(Overrides!$C$4="ON",ISNUMBER(F64),ISNUMBER(C64),OR(B64="enterprise",B64="self_serve",B64="gateway_aggregate",B64="unmatched"),F64&gt;=Data_Params!$B$3,F64&lt;=Data_Params!$B$2),C64,0),0)</f>
        <v>0</v>
      </c>
      <c r="H64" s="3" t="str">
        <f aca="false">IFERROR(IF(AND(ISBLANK(A64),ISBLANK(B64),ISBLANK(C64)),"",IF(Overrides!$C$4&lt;&gt;"ON","Switch OFF",IF(OR(ISERROR(A64),ISERROR(B64),ISERROR(C64)),"Ignored: error value",IF(NOT(ISNUMBER(F64)),"Ignored: month is not a date",IF(NOT(OR(B64="enterprise",B64="self_serve",B64="gateway_aggregate",B64="unmatched")),"Ignored: unknown segment",IF(NOT(ISNUMBER(C64)),"Ignored: amount is not a number",IF(OR(F64&lt;Data_Params!$B$3,F64&gt;Data_Params!$B$2),"Ignored: month outside the window","Applied"))))))),"Ignored: error value")</f>
        <v/>
      </c>
    </row>
    <row r="65" customFormat="false" ht="15" hidden="false" customHeight="false" outlineLevel="0" collapsed="false">
      <c r="A65" s="59"/>
      <c r="B65" s="60"/>
      <c r="C65" s="57"/>
      <c r="D65" s="61"/>
      <c r="E65" s="61"/>
      <c r="F65" s="28" t="str">
        <f aca="false">IFERROR(IF(ISNUMBER(A65),DATE(YEAR(A65),MONTH(A65),1),""),"")</f>
        <v/>
      </c>
      <c r="G65" s="17" t="n">
        <f aca="false">IFERROR(IF(AND(Overrides!$C$4="ON",ISNUMBER(F65),ISNUMBER(C65),OR(B65="enterprise",B65="self_serve",B65="gateway_aggregate",B65="unmatched"),F65&gt;=Data_Params!$B$3,F65&lt;=Data_Params!$B$2),C65,0),0)</f>
        <v>0</v>
      </c>
      <c r="H65" s="3" t="str">
        <f aca="false">IFERROR(IF(AND(ISBLANK(A65),ISBLANK(B65),ISBLANK(C65)),"",IF(Overrides!$C$4&lt;&gt;"ON","Switch OFF",IF(OR(ISERROR(A65),ISERROR(B65),ISERROR(C65)),"Ignored: error value",IF(NOT(ISNUMBER(F65)),"Ignored: month is not a date",IF(NOT(OR(B65="enterprise",B65="self_serve",B65="gateway_aggregate",B65="unmatched")),"Ignored: unknown segment",IF(NOT(ISNUMBER(C65)),"Ignored: amount is not a number",IF(OR(F65&lt;Data_Params!$B$3,F65&gt;Data_Params!$B$2),"Ignored: month outside the window","Applied"))))))),"Ignored: error value")</f>
        <v/>
      </c>
    </row>
    <row r="66" customFormat="false" ht="15" hidden="false" customHeight="false" outlineLevel="0" collapsed="false">
      <c r="A66" s="59"/>
      <c r="B66" s="60"/>
      <c r="C66" s="57"/>
      <c r="D66" s="61"/>
      <c r="E66" s="61"/>
      <c r="F66" s="28" t="str">
        <f aca="false">IFERROR(IF(ISNUMBER(A66),DATE(YEAR(A66),MONTH(A66),1),""),"")</f>
        <v/>
      </c>
      <c r="G66" s="17" t="n">
        <f aca="false">IFERROR(IF(AND(Overrides!$C$4="ON",ISNUMBER(F66),ISNUMBER(C66),OR(B66="enterprise",B66="self_serve",B66="gateway_aggregate",B66="unmatched"),F66&gt;=Data_Params!$B$3,F66&lt;=Data_Params!$B$2),C66,0),0)</f>
        <v>0</v>
      </c>
      <c r="H66" s="3" t="str">
        <f aca="false">IFERROR(IF(AND(ISBLANK(A66),ISBLANK(B66),ISBLANK(C66)),"",IF(Overrides!$C$4&lt;&gt;"ON","Switch OFF",IF(OR(ISERROR(A66),ISERROR(B66),ISERROR(C66)),"Ignored: error value",IF(NOT(ISNUMBER(F66)),"Ignored: month is not a date",IF(NOT(OR(B66="enterprise",B66="self_serve",B66="gateway_aggregate",B66="unmatched")),"Ignored: unknown segment",IF(NOT(ISNUMBER(C66)),"Ignored: amount is not a number",IF(OR(F66&lt;Data_Params!$B$3,F66&gt;Data_Params!$B$2),"Ignored: month outside the window","Applied"))))))),"Ignored: error value")</f>
        <v/>
      </c>
    </row>
    <row r="67" customFormat="false" ht="15" hidden="false" customHeight="false" outlineLevel="0" collapsed="false">
      <c r="A67" s="59"/>
      <c r="B67" s="60"/>
      <c r="C67" s="57"/>
      <c r="D67" s="61"/>
      <c r="E67" s="61"/>
      <c r="F67" s="28" t="str">
        <f aca="false">IFERROR(IF(ISNUMBER(A67),DATE(YEAR(A67),MONTH(A67),1),""),"")</f>
        <v/>
      </c>
      <c r="G67" s="17" t="n">
        <f aca="false">IFERROR(IF(AND(Overrides!$C$4="ON",ISNUMBER(F67),ISNUMBER(C67),OR(B67="enterprise",B67="self_serve",B67="gateway_aggregate",B67="unmatched"),F67&gt;=Data_Params!$B$3,F67&lt;=Data_Params!$B$2),C67,0),0)</f>
        <v>0</v>
      </c>
      <c r="H67" s="3" t="str">
        <f aca="false">IFERROR(IF(AND(ISBLANK(A67),ISBLANK(B67),ISBLANK(C67)),"",IF(Overrides!$C$4&lt;&gt;"ON","Switch OFF",IF(OR(ISERROR(A67),ISERROR(B67),ISERROR(C67)),"Ignored: error value",IF(NOT(ISNUMBER(F67)),"Ignored: month is not a date",IF(NOT(OR(B67="enterprise",B67="self_serve",B67="gateway_aggregate",B67="unmatched")),"Ignored: unknown segment",IF(NOT(ISNUMBER(C67)),"Ignored: amount is not a number",IF(OR(F67&lt;Data_Params!$B$3,F67&gt;Data_Params!$B$2),"Ignored: month outside the window","Applied"))))))),"Ignored: error value")</f>
        <v/>
      </c>
    </row>
    <row r="68" customFormat="false" ht="15" hidden="false" customHeight="false" outlineLevel="0" collapsed="false">
      <c r="A68" s="59"/>
      <c r="B68" s="60"/>
      <c r="C68" s="57"/>
      <c r="D68" s="61"/>
      <c r="E68" s="61"/>
      <c r="F68" s="28" t="str">
        <f aca="false">IFERROR(IF(ISNUMBER(A68),DATE(YEAR(A68),MONTH(A68),1),""),"")</f>
        <v/>
      </c>
      <c r="G68" s="17" t="n">
        <f aca="false">IFERROR(IF(AND(Overrides!$C$4="ON",ISNUMBER(F68),ISNUMBER(C68),OR(B68="enterprise",B68="self_serve",B68="gateway_aggregate",B68="unmatched"),F68&gt;=Data_Params!$B$3,F68&lt;=Data_Params!$B$2),C68,0),0)</f>
        <v>0</v>
      </c>
      <c r="H68" s="3" t="str">
        <f aca="false">IFERROR(IF(AND(ISBLANK(A68),ISBLANK(B68),ISBLANK(C68)),"",IF(Overrides!$C$4&lt;&gt;"ON","Switch OFF",IF(OR(ISERROR(A68),ISERROR(B68),ISERROR(C68)),"Ignored: error value",IF(NOT(ISNUMBER(F68)),"Ignored: month is not a date",IF(NOT(OR(B68="enterprise",B68="self_serve",B68="gateway_aggregate",B68="unmatched")),"Ignored: unknown segment",IF(NOT(ISNUMBER(C68)),"Ignored: amount is not a number",IF(OR(F68&lt;Data_Params!$B$3,F68&gt;Data_Params!$B$2),"Ignored: month outside the window","Applied"))))))),"Ignored: error value")</f>
        <v/>
      </c>
    </row>
    <row r="69" customFormat="false" ht="15" hidden="false" customHeight="false" outlineLevel="0" collapsed="false">
      <c r="A69" s="59"/>
      <c r="B69" s="60"/>
      <c r="C69" s="57"/>
      <c r="D69" s="61"/>
      <c r="E69" s="61"/>
      <c r="F69" s="28" t="str">
        <f aca="false">IFERROR(IF(ISNUMBER(A69),DATE(YEAR(A69),MONTH(A69),1),""),"")</f>
        <v/>
      </c>
      <c r="G69" s="17" t="n">
        <f aca="false">IFERROR(IF(AND(Overrides!$C$4="ON",ISNUMBER(F69),ISNUMBER(C69),OR(B69="enterprise",B69="self_serve",B69="gateway_aggregate",B69="unmatched"),F69&gt;=Data_Params!$B$3,F69&lt;=Data_Params!$B$2),C69,0),0)</f>
        <v>0</v>
      </c>
      <c r="H69" s="3" t="str">
        <f aca="false">IFERROR(IF(AND(ISBLANK(A69),ISBLANK(B69),ISBLANK(C69)),"",IF(Overrides!$C$4&lt;&gt;"ON","Switch OFF",IF(OR(ISERROR(A69),ISERROR(B69),ISERROR(C69)),"Ignored: error value",IF(NOT(ISNUMBER(F69)),"Ignored: month is not a date",IF(NOT(OR(B69="enterprise",B69="self_serve",B69="gateway_aggregate",B69="unmatched")),"Ignored: unknown segment",IF(NOT(ISNUMBER(C69)),"Ignored: amount is not a number",IF(OR(F69&lt;Data_Params!$B$3,F69&gt;Data_Params!$B$2),"Ignored: month outside the window","Applied"))))))),"Ignored: error value")</f>
        <v/>
      </c>
    </row>
    <row r="70" customFormat="false" ht="15" hidden="false" customHeight="false" outlineLevel="0" collapsed="false">
      <c r="A70" s="59"/>
      <c r="B70" s="60"/>
      <c r="C70" s="57"/>
      <c r="D70" s="61"/>
      <c r="E70" s="61"/>
      <c r="F70" s="28" t="str">
        <f aca="false">IFERROR(IF(ISNUMBER(A70),DATE(YEAR(A70),MONTH(A70),1),""),"")</f>
        <v/>
      </c>
      <c r="G70" s="17" t="n">
        <f aca="false">IFERROR(IF(AND(Overrides!$C$4="ON",ISNUMBER(F70),ISNUMBER(C70),OR(B70="enterprise",B70="self_serve",B70="gateway_aggregate",B70="unmatched"),F70&gt;=Data_Params!$B$3,F70&lt;=Data_Params!$B$2),C70,0),0)</f>
        <v>0</v>
      </c>
      <c r="H70" s="3" t="str">
        <f aca="false">IFERROR(IF(AND(ISBLANK(A70),ISBLANK(B70),ISBLANK(C70)),"",IF(Overrides!$C$4&lt;&gt;"ON","Switch OFF",IF(OR(ISERROR(A70),ISERROR(B70),ISERROR(C70)),"Ignored: error value",IF(NOT(ISNUMBER(F70)),"Ignored: month is not a date",IF(NOT(OR(B70="enterprise",B70="self_serve",B70="gateway_aggregate",B70="unmatched")),"Ignored: unknown segment",IF(NOT(ISNUMBER(C70)),"Ignored: amount is not a number",IF(OR(F70&lt;Data_Params!$B$3,F70&gt;Data_Params!$B$2),"Ignored: month outside the window","Applied"))))))),"Ignored: error value")</f>
        <v/>
      </c>
    </row>
    <row r="71" customFormat="false" ht="15" hidden="false" customHeight="false" outlineLevel="0" collapsed="false">
      <c r="A71" s="59"/>
      <c r="B71" s="60"/>
      <c r="C71" s="57"/>
      <c r="D71" s="61"/>
      <c r="E71" s="61"/>
      <c r="F71" s="28" t="str">
        <f aca="false">IFERROR(IF(ISNUMBER(A71),DATE(YEAR(A71),MONTH(A71),1),""),"")</f>
        <v/>
      </c>
      <c r="G71" s="17" t="n">
        <f aca="false">IFERROR(IF(AND(Overrides!$C$4="ON",ISNUMBER(F71),ISNUMBER(C71),OR(B71="enterprise",B71="self_serve",B71="gateway_aggregate",B71="unmatched"),F71&gt;=Data_Params!$B$3,F71&lt;=Data_Params!$B$2),C71,0),0)</f>
        <v>0</v>
      </c>
      <c r="H71" s="3" t="str">
        <f aca="false">IFERROR(IF(AND(ISBLANK(A71),ISBLANK(B71),ISBLANK(C71)),"",IF(Overrides!$C$4&lt;&gt;"ON","Switch OFF",IF(OR(ISERROR(A71),ISERROR(B71),ISERROR(C71)),"Ignored: error value",IF(NOT(ISNUMBER(F71)),"Ignored: month is not a date",IF(NOT(OR(B71="enterprise",B71="self_serve",B71="gateway_aggregate",B71="unmatched")),"Ignored: unknown segment",IF(NOT(ISNUMBER(C71)),"Ignored: amount is not a number",IF(OR(F71&lt;Data_Params!$B$3,F71&gt;Data_Params!$B$2),"Ignored: month outside the window","Applied"))))))),"Ignored: error value")</f>
        <v/>
      </c>
    </row>
    <row r="72" customFormat="false" ht="15" hidden="false" customHeight="false" outlineLevel="0" collapsed="false">
      <c r="A72" s="59"/>
      <c r="B72" s="60"/>
      <c r="C72" s="57"/>
      <c r="D72" s="61"/>
      <c r="E72" s="61"/>
      <c r="F72" s="28" t="str">
        <f aca="false">IFERROR(IF(ISNUMBER(A72),DATE(YEAR(A72),MONTH(A72),1),""),"")</f>
        <v/>
      </c>
      <c r="G72" s="17" t="n">
        <f aca="false">IFERROR(IF(AND(Overrides!$C$4="ON",ISNUMBER(F72),ISNUMBER(C72),OR(B72="enterprise",B72="self_serve",B72="gateway_aggregate",B72="unmatched"),F72&gt;=Data_Params!$B$3,F72&lt;=Data_Params!$B$2),C72,0),0)</f>
        <v>0</v>
      </c>
      <c r="H72" s="3" t="str">
        <f aca="false">IFERROR(IF(AND(ISBLANK(A72),ISBLANK(B72),ISBLANK(C72)),"",IF(Overrides!$C$4&lt;&gt;"ON","Switch OFF",IF(OR(ISERROR(A72),ISERROR(B72),ISERROR(C72)),"Ignored: error value",IF(NOT(ISNUMBER(F72)),"Ignored: month is not a date",IF(NOT(OR(B72="enterprise",B72="self_serve",B72="gateway_aggregate",B72="unmatched")),"Ignored: unknown segment",IF(NOT(ISNUMBER(C72)),"Ignored: amount is not a number",IF(OR(F72&lt;Data_Params!$B$3,F72&gt;Data_Params!$B$2),"Ignored: month outside the window","Applied"))))))),"Ignored: error value")</f>
        <v/>
      </c>
    </row>
    <row r="73" customFormat="false" ht="15" hidden="false" customHeight="false" outlineLevel="0" collapsed="false">
      <c r="A73" s="59"/>
      <c r="B73" s="60"/>
      <c r="C73" s="57"/>
      <c r="D73" s="61"/>
      <c r="E73" s="61"/>
      <c r="F73" s="28" t="str">
        <f aca="false">IFERROR(IF(ISNUMBER(A73),DATE(YEAR(A73),MONTH(A73),1),""),"")</f>
        <v/>
      </c>
      <c r="G73" s="17" t="n">
        <f aca="false">IFERROR(IF(AND(Overrides!$C$4="ON",ISNUMBER(F73),ISNUMBER(C73),OR(B73="enterprise",B73="self_serve",B73="gateway_aggregate",B73="unmatched"),F73&gt;=Data_Params!$B$3,F73&lt;=Data_Params!$B$2),C73,0),0)</f>
        <v>0</v>
      </c>
      <c r="H73" s="3" t="str">
        <f aca="false">IFERROR(IF(AND(ISBLANK(A73),ISBLANK(B73),ISBLANK(C73)),"",IF(Overrides!$C$4&lt;&gt;"ON","Switch OFF",IF(OR(ISERROR(A73),ISERROR(B73),ISERROR(C73)),"Ignored: error value",IF(NOT(ISNUMBER(F73)),"Ignored: month is not a date",IF(NOT(OR(B73="enterprise",B73="self_serve",B73="gateway_aggregate",B73="unmatched")),"Ignored: unknown segment",IF(NOT(ISNUMBER(C73)),"Ignored: amount is not a number",IF(OR(F73&lt;Data_Params!$B$3,F73&gt;Data_Params!$B$2),"Ignored: month outside the window","Applied"))))))),"Ignored: error value")</f>
        <v/>
      </c>
    </row>
    <row r="74" customFormat="false" ht="15" hidden="false" customHeight="false" outlineLevel="0" collapsed="false">
      <c r="A74" s="59"/>
      <c r="B74" s="60"/>
      <c r="C74" s="57"/>
      <c r="D74" s="61"/>
      <c r="E74" s="61"/>
      <c r="F74" s="28" t="str">
        <f aca="false">IFERROR(IF(ISNUMBER(A74),DATE(YEAR(A74),MONTH(A74),1),""),"")</f>
        <v/>
      </c>
      <c r="G74" s="17" t="n">
        <f aca="false">IFERROR(IF(AND(Overrides!$C$4="ON",ISNUMBER(F74),ISNUMBER(C74),OR(B74="enterprise",B74="self_serve",B74="gateway_aggregate",B74="unmatched"),F74&gt;=Data_Params!$B$3,F74&lt;=Data_Params!$B$2),C74,0),0)</f>
        <v>0</v>
      </c>
      <c r="H74" s="3" t="str">
        <f aca="false">IFERROR(IF(AND(ISBLANK(A74),ISBLANK(B74),ISBLANK(C74)),"",IF(Overrides!$C$4&lt;&gt;"ON","Switch OFF",IF(OR(ISERROR(A74),ISERROR(B74),ISERROR(C74)),"Ignored: error value",IF(NOT(ISNUMBER(F74)),"Ignored: month is not a date",IF(NOT(OR(B74="enterprise",B74="self_serve",B74="gateway_aggregate",B74="unmatched")),"Ignored: unknown segment",IF(NOT(ISNUMBER(C74)),"Ignored: amount is not a number",IF(OR(F74&lt;Data_Params!$B$3,F74&gt;Data_Params!$B$2),"Ignored: month outside the window","Applied"))))))),"Ignored: error value")</f>
        <v/>
      </c>
    </row>
    <row r="75" customFormat="false" ht="15" hidden="false" customHeight="false" outlineLevel="0" collapsed="false">
      <c r="A75" s="59"/>
      <c r="B75" s="60"/>
      <c r="C75" s="57"/>
      <c r="D75" s="61"/>
      <c r="E75" s="61"/>
      <c r="F75" s="28" t="str">
        <f aca="false">IFERROR(IF(ISNUMBER(A75),DATE(YEAR(A75),MONTH(A75),1),""),"")</f>
        <v/>
      </c>
      <c r="G75" s="17" t="n">
        <f aca="false">IFERROR(IF(AND(Overrides!$C$4="ON",ISNUMBER(F75),ISNUMBER(C75),OR(B75="enterprise",B75="self_serve",B75="gateway_aggregate",B75="unmatched"),F75&gt;=Data_Params!$B$3,F75&lt;=Data_Params!$B$2),C75,0),0)</f>
        <v>0</v>
      </c>
      <c r="H75" s="3" t="str">
        <f aca="false">IFERROR(IF(AND(ISBLANK(A75),ISBLANK(B75),ISBLANK(C75)),"",IF(Overrides!$C$4&lt;&gt;"ON","Switch OFF",IF(OR(ISERROR(A75),ISERROR(B75),ISERROR(C75)),"Ignored: error value",IF(NOT(ISNUMBER(F75)),"Ignored: month is not a date",IF(NOT(OR(B75="enterprise",B75="self_serve",B75="gateway_aggregate",B75="unmatched")),"Ignored: unknown segment",IF(NOT(ISNUMBER(C75)),"Ignored: amount is not a number",IF(OR(F75&lt;Data_Params!$B$3,F75&gt;Data_Params!$B$2),"Ignored: month outside the window","Applied"))))))),"Ignored: error value")</f>
        <v/>
      </c>
    </row>
  </sheetData>
  <conditionalFormatting sqref="F8:F39 H46:H75">
    <cfRule type="expression" priority="2" aboveAverage="0" equalAverage="0" bottom="0" percent="0" rank="0" text="" dxfId="0">
      <formula>LEFT(F8,7)="Ignored"</formula>
    </cfRule>
    <cfRule type="expression" priority="3" aboveAverage="0" equalAverage="0" bottom="0" percent="0" rank="0" text="" dxfId="2">
      <formula>F8="Applied"</formula>
    </cfRule>
  </conditionalFormatting>
  <conditionalFormatting sqref="C4">
    <cfRule type="expression" priority="4" aboveAverage="0" equalAverage="0" bottom="0" percent="0" rank="0" text="" dxfId="2">
      <formula>$C$4="ON"</formula>
    </cfRule>
  </conditionalFormatting>
  <dataValidations count="18">
    <dataValidation allowBlank="false" error="Choose ON or OFF." errorStyle="stop" errorTitle="ON or OFF" operator="between" showDropDown="false" showErrorMessage="true" showInputMessage="false" sqref="C4" type="list">
      <formula1>"ON,OFF"</formula1>
      <formula2>0</formula2>
    </dataValidation>
    <dataValidation allowBlank="true" error="Pick a segment from the list." errorStyle="stop" errorTitle="Segment" operator="between" showDropDown="false" showErrorMessage="true" showInputMessage="false" sqref="B46:B75" type="list">
      <formula1>"enterprise,self_serve,gateway_aggregate,unmatched"</formula1>
      <formula2>0</formula2>
    </dataValidation>
    <dataValidation allowBlank="true" error="Enter an amount in dollars." errorStyle="stop" errorTitle="Amount" operator="between" showDropDown="false" showErrorMessage="true" showInputMessage="false" sqref="C46:C75" type="decimal">
      <formula1>-100000000</formula1>
      <formula2>100000000</formula2>
    </dataValidation>
    <dataValidation allowBlank="true" error="Enter a date, e.g. 2027-02-01." errorStyle="stop" errorTitle="Month" operator="between" showDropDown="false" showErrorMessage="true" showInputMessage="false" sqref="A46:A75" type="date">
      <formula1>36526</formula1>
      <formula2>73051</formula2>
    </dataValidation>
    <dataValidation allowBlank="true" error="Enter a number from 0.5 to 1.5, or leave blank to use the model value." errorStyle="stop" errorTitle="Outside the allowed range" operator="between" showDropDown="false" showErrorMessage="true" showInputMessage="false" sqref="D8:D10" type="decimal">
      <formula1>0.5</formula1>
      <formula2>1.5</formula2>
    </dataValidation>
    <dataValidation allowBlank="true" error="Enter a number from 0 to 3, or leave blank to use the model value." errorStyle="stop" errorTitle="Outside the allowed range" operator="between" showDropDown="false" showErrorMessage="true" showInputMessage="false" sqref="D11:D13" type="decimal">
      <formula1>0</formula1>
      <formula2>3</formula2>
    </dataValidation>
    <dataValidation allowBlank="true" error="Enter a number from -0.5 to 1, or leave blank to use the model value." errorStyle="stop" errorTitle="Outside the allowed range" operator="between" showDropDown="false" showErrorMessage="true" showInputMessage="false" sqref="D14" type="decimal">
      <formula1>-0.5</formula1>
      <formula2>1</formula2>
    </dataValidation>
    <dataValidation allowBlank="true" error="Enter a number from -0.5 to 1, or leave blank to use the model value." errorStyle="stop" errorTitle="Outside the allowed range" operator="between" showDropDown="false" showErrorMessage="true" showInputMessage="false" sqref="D15" type="decimal">
      <formula1>-0.5</formula1>
      <formula2>1</formula2>
    </dataValidation>
    <dataValidation allowBlank="true" error="Enter a number from -0.5 to 1, or leave blank to use the model value." errorStyle="stop" errorTitle="Outside the allowed range" operator="between" showDropDown="false" showErrorMessage="true" showInputMessage="false" sqref="D16" type="decimal">
      <formula1>-0.5</formula1>
      <formula2>1</formula2>
    </dataValidation>
    <dataValidation allowBlank="true" error="Enter a number from 0 to 0.5, or leave blank to use the model value." errorStyle="stop" errorTitle="Outside the allowed range" operator="between" showDropDown="false" showErrorMessage="true" showInputMessage="false" sqref="D17:D19" type="decimal">
      <formula1>0</formula1>
      <formula2>0.5</formula2>
    </dataValidation>
    <dataValidation allowBlank="true" error="Enter a number from -0.5 to 1, or leave blank to use the model value." errorStyle="stop" errorTitle="Outside the allowed range" operator="between" showDropDown="false" showErrorMessage="true" showInputMessage="false" sqref="D20" type="decimal">
      <formula1>-0.5</formula1>
      <formula2>1</formula2>
    </dataValidation>
    <dataValidation allowBlank="true" error="Enter a number from 0 to 2, or leave blank to use the model value." errorStyle="stop" errorTitle="Outside the allowed range" operator="between" showDropDown="false" showErrorMessage="true" showInputMessage="false" sqref="D21" type="decimal">
      <formula1>0</formula1>
      <formula2>2</formula2>
    </dataValidation>
    <dataValidation allowBlank="true" error="Enter a number from 1 to 365, or leave blank to use the model value." errorStyle="stop" errorTitle="Outside the allowed range" operator="between" showDropDown="false" showErrorMessage="true" showInputMessage="false" sqref="D22" type="decimal">
      <formula1>1</formula1>
      <formula2>365</formula2>
    </dataValidation>
    <dataValidation allowBlank="true" error="Enter a number from 0 to 1, or leave blank to use the model value." errorStyle="stop" errorTitle="Outside the allowed range" operator="between" showDropDown="false" showErrorMessage="true" showInputMessage="false" sqref="D23:D25 D31" type="decimal">
      <formula1>0</formula1>
      <formula2>1</formula2>
    </dataValidation>
    <dataValidation allowBlank="true" error="Enter a number from 1 to 1e+07, or leave blank to use the model value." errorStyle="stop" errorTitle="Outside the allowed range" operator="between" showDropDown="false" showErrorMessage="true" showInputMessage="false" sqref="D26" type="decimal">
      <formula1>1</formula1>
      <formula2>10000000</formula2>
    </dataValidation>
    <dataValidation allowBlank="true" error="Enter a number from 0.05 to 1, or leave blank to use the model value." errorStyle="stop" errorTitle="Outside the allowed range" operator="between" showDropDown="false" showErrorMessage="true" showInputMessage="false" sqref="D27" type="decimal">
      <formula1>0.05</formula1>
      <formula2>1</formula2>
    </dataValidation>
    <dataValidation allowBlank="true" error="Enter a number from 0 to 100, or leave blank to use the model value." errorStyle="stop" errorTitle="Outside the allowed range" operator="between" showDropDown="false" showErrorMessage="true" showInputMessage="false" sqref="D28:D29" type="decimal">
      <formula1>0</formula1>
      <formula2>100</formula2>
    </dataValidation>
    <dataValidation allowBlank="true" error="Enter a number from 1 to 20, or leave blank to use the model value." errorStyle="stop" errorTitle="Outside the allowed range" operator="between" showDropDown="false" showErrorMessage="true" showInputMessage="false" sqref="D30" type="decimal">
      <formula1>1</formula1>
      <formula2>20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39B"/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62" t="s">
        <v>363</v>
      </c>
      <c r="B1" s="62" t="s">
        <v>364</v>
      </c>
      <c r="C1" s="62" t="s">
        <v>365</v>
      </c>
    </row>
    <row r="2" customFormat="false" ht="15" hidden="false" customHeight="false" outlineLevel="0" collapsed="false">
      <c r="A2" s="3" t="s">
        <v>366</v>
      </c>
      <c r="B2" s="63" t="n">
        <v>46419</v>
      </c>
      <c r="C2" s="7" t="s">
        <v>367</v>
      </c>
    </row>
    <row r="3" customFormat="false" ht="15" hidden="false" customHeight="false" outlineLevel="0" collapsed="false">
      <c r="A3" s="3" t="s">
        <v>368</v>
      </c>
      <c r="B3" s="63" t="n">
        <v>46082</v>
      </c>
      <c r="C3" s="7" t="s">
        <v>369</v>
      </c>
    </row>
    <row r="4" customFormat="false" ht="15" hidden="false" customHeight="false" outlineLevel="0" collapsed="false">
      <c r="A4" s="3" t="s">
        <v>370</v>
      </c>
      <c r="B4" s="0" t="n">
        <v>0.042</v>
      </c>
      <c r="C4" s="7" t="s">
        <v>371</v>
      </c>
    </row>
    <row r="5" customFormat="false" ht="15" hidden="false" customHeight="false" outlineLevel="0" collapsed="false">
      <c r="A5" s="3" t="s">
        <v>372</v>
      </c>
      <c r="B5" s="0" t="n">
        <v>5</v>
      </c>
      <c r="C5" s="7" t="s">
        <v>373</v>
      </c>
    </row>
    <row r="6" customFormat="false" ht="15" hidden="false" customHeight="false" outlineLevel="0" collapsed="false">
      <c r="A6" s="3" t="s">
        <v>374</v>
      </c>
      <c r="B6" s="0" t="n">
        <v>0.05</v>
      </c>
      <c r="C6" s="7" t="s">
        <v>375</v>
      </c>
    </row>
    <row r="7" customFormat="false" ht="15" hidden="false" customHeight="false" outlineLevel="0" collapsed="false">
      <c r="A7" s="3" t="s">
        <v>376</v>
      </c>
      <c r="B7" s="64" t="s">
        <v>377</v>
      </c>
      <c r="C7" s="7" t="s">
        <v>378</v>
      </c>
    </row>
    <row r="8" customFormat="false" ht="15" hidden="false" customHeight="false" outlineLevel="0" collapsed="false">
      <c r="A8" s="3" t="s">
        <v>379</v>
      </c>
      <c r="B8" s="0" t="n">
        <v>247705.146763158</v>
      </c>
      <c r="C8" s="7" t="s">
        <v>380</v>
      </c>
    </row>
    <row r="9" customFormat="false" ht="15" hidden="false" customHeight="false" outlineLevel="0" collapsed="false">
      <c r="A9" s="3" t="s">
        <v>381</v>
      </c>
      <c r="B9" s="64" t="s">
        <v>382</v>
      </c>
      <c r="C9" s="7" t="s">
        <v>383</v>
      </c>
    </row>
    <row r="10" customFormat="false" ht="15" hidden="false" customHeight="false" outlineLevel="0" collapsed="false">
      <c r="A10" s="3" t="s">
        <v>384</v>
      </c>
      <c r="B10" s="63" t="n">
        <v>46280</v>
      </c>
      <c r="C10" s="7" t="s">
        <v>385</v>
      </c>
    </row>
    <row r="11" customFormat="false" ht="15" hidden="false" customHeight="false" outlineLevel="0" collapsed="false">
      <c r="A11" s="3" t="s">
        <v>386</v>
      </c>
      <c r="B11" s="63" t="n">
        <v>46446</v>
      </c>
      <c r="C11" s="7" t="s">
        <v>387</v>
      </c>
    </row>
    <row r="12" customFormat="false" ht="15" hidden="false" customHeight="false" outlineLevel="0" collapsed="false">
      <c r="A12" s="3" t="s">
        <v>388</v>
      </c>
      <c r="B12" s="64" t="s">
        <v>389</v>
      </c>
      <c r="C12" s="7" t="s">
        <v>390</v>
      </c>
    </row>
    <row r="13" customFormat="false" ht="15" hidden="false" customHeight="false" outlineLevel="0" collapsed="false">
      <c r="A13" s="3" t="s">
        <v>391</v>
      </c>
      <c r="B13" s="64" t="s">
        <v>392</v>
      </c>
      <c r="C13" s="7" t="s">
        <v>393</v>
      </c>
    </row>
    <row r="14" customFormat="false" ht="15" hidden="false" customHeight="false" outlineLevel="0" collapsed="false">
      <c r="A14" s="3" t="s">
        <v>394</v>
      </c>
      <c r="B14" s="64" t="s">
        <v>395</v>
      </c>
      <c r="C14" s="7" t="s">
        <v>396</v>
      </c>
    </row>
    <row r="15" customFormat="false" ht="15" hidden="false" customHeight="false" outlineLevel="0" collapsed="false">
      <c r="A15" s="3" t="s">
        <v>397</v>
      </c>
      <c r="B15" s="64" t="s">
        <v>398</v>
      </c>
      <c r="C15" s="7" t="s">
        <v>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39B"/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7"/>
  </cols>
  <sheetData>
    <row r="1" customFormat="false" ht="15" hidden="false" customHeight="false" outlineLevel="0" collapsed="false">
      <c r="A1" s="62" t="s">
        <v>400</v>
      </c>
      <c r="B1" s="62" t="s">
        <v>401</v>
      </c>
      <c r="C1" s="62" t="s">
        <v>402</v>
      </c>
    </row>
    <row r="2" customFormat="false" ht="15" hidden="false" customHeight="false" outlineLevel="0" collapsed="false">
      <c r="A2" s="63" t="n">
        <v>46082</v>
      </c>
      <c r="B2" s="0" t="n">
        <v>31</v>
      </c>
      <c r="C2" s="0" t="n">
        <v>31</v>
      </c>
    </row>
    <row r="3" customFormat="false" ht="15" hidden="false" customHeight="false" outlineLevel="0" collapsed="false">
      <c r="A3" s="63" t="n">
        <v>46113</v>
      </c>
      <c r="B3" s="0" t="n">
        <v>30</v>
      </c>
      <c r="C3" s="0" t="n">
        <v>30</v>
      </c>
    </row>
    <row r="4" customFormat="false" ht="15" hidden="false" customHeight="false" outlineLevel="0" collapsed="false">
      <c r="A4" s="63" t="n">
        <v>46143</v>
      </c>
      <c r="B4" s="0" t="n">
        <v>31</v>
      </c>
      <c r="C4" s="0" t="n">
        <v>31</v>
      </c>
    </row>
    <row r="5" customFormat="false" ht="15" hidden="false" customHeight="false" outlineLevel="0" collapsed="false">
      <c r="A5" s="63" t="n">
        <v>46174</v>
      </c>
      <c r="B5" s="0" t="n">
        <v>30</v>
      </c>
      <c r="C5" s="0" t="n">
        <v>30</v>
      </c>
    </row>
    <row r="6" customFormat="false" ht="15" hidden="false" customHeight="false" outlineLevel="0" collapsed="false">
      <c r="A6" s="63" t="n">
        <v>46204</v>
      </c>
      <c r="B6" s="0" t="n">
        <v>31</v>
      </c>
      <c r="C6" s="0" t="n">
        <v>31</v>
      </c>
    </row>
    <row r="7" customFormat="false" ht="15" hidden="false" customHeight="false" outlineLevel="0" collapsed="false">
      <c r="A7" s="63" t="n">
        <v>46235</v>
      </c>
      <c r="B7" s="0" t="n">
        <v>31</v>
      </c>
      <c r="C7" s="0" t="n">
        <v>31</v>
      </c>
    </row>
    <row r="8" customFormat="false" ht="15" hidden="false" customHeight="false" outlineLevel="0" collapsed="false">
      <c r="A8" s="63" t="n">
        <v>46266</v>
      </c>
      <c r="B8" s="0" t="n">
        <v>16</v>
      </c>
      <c r="C8" s="0" t="n">
        <v>30</v>
      </c>
    </row>
    <row r="9" customFormat="false" ht="15" hidden="false" customHeight="false" outlineLevel="0" collapsed="false">
      <c r="A9" s="63" t="n">
        <v>46296</v>
      </c>
      <c r="B9" s="0" t="n">
        <v>31</v>
      </c>
      <c r="C9" s="0" t="n">
        <v>31</v>
      </c>
    </row>
    <row r="10" customFormat="false" ht="15" hidden="false" customHeight="false" outlineLevel="0" collapsed="false">
      <c r="A10" s="63" t="n">
        <v>46327</v>
      </c>
      <c r="B10" s="0" t="n">
        <v>30</v>
      </c>
      <c r="C10" s="0" t="n">
        <v>30</v>
      </c>
    </row>
    <row r="11" customFormat="false" ht="15" hidden="false" customHeight="false" outlineLevel="0" collapsed="false">
      <c r="A11" s="63" t="n">
        <v>46357</v>
      </c>
      <c r="B11" s="0" t="n">
        <v>31</v>
      </c>
      <c r="C11" s="0" t="n">
        <v>31</v>
      </c>
    </row>
    <row r="12" customFormat="false" ht="15" hidden="false" customHeight="false" outlineLevel="0" collapsed="false">
      <c r="A12" s="63" t="n">
        <v>46388</v>
      </c>
      <c r="B12" s="0" t="n">
        <v>31</v>
      </c>
      <c r="C12" s="0" t="n">
        <v>31</v>
      </c>
    </row>
    <row r="13" customFormat="false" ht="15" hidden="false" customHeight="false" outlineLevel="0" collapsed="false">
      <c r="A13" s="63" t="n">
        <v>46419</v>
      </c>
      <c r="B13" s="0" t="n">
        <v>28</v>
      </c>
      <c r="C13" s="0" t="n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39B"/>
    <pageSetUpPr fitToPage="false"/>
  </sheetPr>
  <dimension ref="A1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6" min="4" style="0" width="19"/>
    <col collapsed="false" customWidth="true" hidden="false" outlineLevel="0" max="7" min="7" style="0" width="22"/>
    <col collapsed="false" customWidth="true" hidden="false" outlineLevel="0" max="8" min="8" style="0" width="19"/>
    <col collapsed="false" customWidth="true" hidden="false" outlineLevel="0" max="9" min="9" style="0" width="14"/>
    <col collapsed="false" customWidth="true" hidden="false" outlineLevel="0" max="10" min="10" style="0" width="17"/>
    <col collapsed="false" customWidth="true" hidden="false" outlineLevel="0" max="11" min="11" style="0" width="12"/>
    <col collapsed="false" customWidth="true" hidden="false" outlineLevel="0" max="12" min="12" style="0" width="15"/>
    <col collapsed="false" customWidth="true" hidden="false" outlineLevel="0" max="13" min="13" style="0" width="16"/>
  </cols>
  <sheetData>
    <row r="1" customFormat="false" ht="15" hidden="false" customHeight="false" outlineLevel="0" collapsed="false">
      <c r="A1" s="62" t="s">
        <v>400</v>
      </c>
      <c r="B1" s="62" t="s">
        <v>403</v>
      </c>
      <c r="C1" s="62" t="s">
        <v>404</v>
      </c>
      <c r="D1" s="62" t="s">
        <v>405</v>
      </c>
      <c r="E1" s="62" t="s">
        <v>406</v>
      </c>
      <c r="F1" s="62" t="s">
        <v>407</v>
      </c>
      <c r="G1" s="62" t="s">
        <v>408</v>
      </c>
      <c r="H1" s="62" t="s">
        <v>372</v>
      </c>
      <c r="I1" s="62" t="s">
        <v>409</v>
      </c>
      <c r="J1" s="62" t="s">
        <v>410</v>
      </c>
      <c r="K1" s="62" t="s">
        <v>411</v>
      </c>
      <c r="L1" s="62" t="s">
        <v>412</v>
      </c>
      <c r="M1" s="62" t="s">
        <v>413</v>
      </c>
    </row>
    <row r="2" customFormat="false" ht="15" hidden="false" customHeight="false" outlineLevel="0" collapsed="false">
      <c r="A2" s="63" t="n">
        <v>46266</v>
      </c>
      <c r="B2" s="64" t="s">
        <v>414</v>
      </c>
      <c r="C2" s="64" t="s">
        <v>415</v>
      </c>
      <c r="D2" s="0" t="n">
        <v>1</v>
      </c>
      <c r="E2" s="0" t="n">
        <v>1</v>
      </c>
      <c r="F2" s="0" t="n">
        <v>1226175518</v>
      </c>
      <c r="G2" s="0" t="n">
        <v>0</v>
      </c>
      <c r="H2" s="0" t="n">
        <v>0</v>
      </c>
      <c r="I2" s="0" t="n">
        <v>51.4993717560001</v>
      </c>
      <c r="J2" s="0" t="n">
        <v>51.4993717560001</v>
      </c>
      <c r="K2" s="0" t="n">
        <v>0</v>
      </c>
      <c r="L2" s="0" t="n">
        <v>48.9244031682001</v>
      </c>
      <c r="M2" s="0" t="n">
        <v>2.5749685878</v>
      </c>
    </row>
    <row r="3" customFormat="false" ht="15" hidden="false" customHeight="false" outlineLevel="0" collapsed="false">
      <c r="A3" s="63" t="n">
        <v>46266</v>
      </c>
      <c r="B3" s="64" t="s">
        <v>416</v>
      </c>
      <c r="C3" s="64" t="s">
        <v>417</v>
      </c>
      <c r="D3" s="0" t="n">
        <v>15</v>
      </c>
      <c r="E3" s="0" t="n">
        <v>15</v>
      </c>
      <c r="F3" s="0" t="n">
        <v>426469684</v>
      </c>
      <c r="G3" s="0" t="n">
        <v>0</v>
      </c>
      <c r="H3" s="0" t="n">
        <v>0</v>
      </c>
      <c r="I3" s="0" t="n">
        <v>17.911726728</v>
      </c>
      <c r="J3" s="0" t="n">
        <v>17.911726728</v>
      </c>
      <c r="K3" s="0" t="n">
        <v>0</v>
      </c>
      <c r="L3" s="0" t="n">
        <v>16.47878858976</v>
      </c>
      <c r="M3" s="0" t="n">
        <v>1.43293813824</v>
      </c>
    </row>
    <row r="4" customFormat="false" ht="15" hidden="false" customHeight="false" outlineLevel="0" collapsed="false">
      <c r="A4" s="63" t="n">
        <v>46266</v>
      </c>
      <c r="B4" s="64" t="s">
        <v>416</v>
      </c>
      <c r="C4" s="64" t="s">
        <v>418</v>
      </c>
      <c r="D4" s="0" t="n">
        <v>109</v>
      </c>
      <c r="E4" s="0" t="n">
        <v>3</v>
      </c>
      <c r="F4" s="0" t="n">
        <v>3100670156</v>
      </c>
      <c r="G4" s="0" t="n">
        <v>2910171112.14286</v>
      </c>
      <c r="H4" s="0" t="n">
        <v>122.22718671</v>
      </c>
      <c r="I4" s="0" t="n">
        <v>130.228146552</v>
      </c>
      <c r="J4" s="0" t="n">
        <v>8.000959842</v>
      </c>
      <c r="K4" s="0" t="n">
        <v>0</v>
      </c>
      <c r="L4" s="0" t="n">
        <v>8.000959842</v>
      </c>
      <c r="M4" s="0" t="n">
        <v>0</v>
      </c>
    </row>
    <row r="5" customFormat="false" ht="15" hidden="false" customHeight="false" outlineLevel="0" collapsed="false">
      <c r="A5" s="63" t="n">
        <v>46266</v>
      </c>
      <c r="B5" s="64" t="s">
        <v>416</v>
      </c>
      <c r="C5" s="64" t="s">
        <v>419</v>
      </c>
      <c r="D5" s="0" t="n">
        <v>80</v>
      </c>
      <c r="E5" s="0" t="n">
        <v>80</v>
      </c>
      <c r="F5" s="0" t="n">
        <v>2516245521</v>
      </c>
      <c r="G5" s="0" t="n">
        <v>0</v>
      </c>
      <c r="H5" s="0" t="n">
        <v>0</v>
      </c>
      <c r="I5" s="0" t="n">
        <v>105.682311882</v>
      </c>
      <c r="J5" s="0" t="n">
        <v>105.682311882</v>
      </c>
      <c r="K5" s="0" t="n">
        <v>0</v>
      </c>
      <c r="L5" s="0" t="n">
        <v>100.3981962879</v>
      </c>
      <c r="M5" s="0" t="n">
        <v>5.2841155941</v>
      </c>
    </row>
    <row r="6" customFormat="false" ht="15" hidden="false" customHeight="false" outlineLevel="0" collapsed="false">
      <c r="A6" s="63" t="n">
        <v>46296</v>
      </c>
      <c r="B6" s="64" t="s">
        <v>420</v>
      </c>
      <c r="C6" s="64" t="s">
        <v>418</v>
      </c>
      <c r="D6" s="0" t="n">
        <v>2</v>
      </c>
      <c r="E6" s="0" t="n">
        <v>2</v>
      </c>
      <c r="F6" s="0" t="n">
        <v>584372779279</v>
      </c>
      <c r="G6" s="0" t="n">
        <v>0</v>
      </c>
      <c r="H6" s="0" t="n">
        <v>0</v>
      </c>
      <c r="I6" s="0" t="n">
        <v>24543.656729718</v>
      </c>
      <c r="J6" s="0" t="n">
        <v>20515.9916322963</v>
      </c>
      <c r="K6" s="0" t="n">
        <v>31419.4922386714</v>
      </c>
      <c r="L6" s="0" t="n">
        <v>51935.4838709677</v>
      </c>
      <c r="M6" s="0" t="n">
        <v>0</v>
      </c>
    </row>
    <row r="7" customFormat="false" ht="15" hidden="false" customHeight="false" outlineLevel="0" collapsed="false">
      <c r="A7" s="63" t="n">
        <v>46296</v>
      </c>
      <c r="B7" s="64" t="s">
        <v>414</v>
      </c>
      <c r="C7" s="64" t="s">
        <v>415</v>
      </c>
      <c r="D7" s="0" t="n">
        <v>1</v>
      </c>
      <c r="E7" s="0" t="n">
        <v>1</v>
      </c>
      <c r="F7" s="0" t="n">
        <v>10059494302</v>
      </c>
      <c r="G7" s="0" t="n">
        <v>0</v>
      </c>
      <c r="H7" s="0" t="n">
        <v>0</v>
      </c>
      <c r="I7" s="0" t="n">
        <v>422.498760684</v>
      </c>
      <c r="J7" s="0" t="n">
        <v>422.498760684</v>
      </c>
      <c r="K7" s="0" t="n">
        <v>0</v>
      </c>
      <c r="L7" s="0" t="n">
        <v>401.3738226498</v>
      </c>
      <c r="M7" s="0" t="n">
        <v>21.1249380342</v>
      </c>
    </row>
    <row r="8" customFormat="false" ht="15" hidden="false" customHeight="false" outlineLevel="0" collapsed="false">
      <c r="A8" s="63" t="n">
        <v>46296</v>
      </c>
      <c r="B8" s="64" t="s">
        <v>416</v>
      </c>
      <c r="C8" s="64" t="s">
        <v>417</v>
      </c>
      <c r="D8" s="0" t="n">
        <v>23</v>
      </c>
      <c r="E8" s="0" t="n">
        <v>23</v>
      </c>
      <c r="F8" s="0" t="n">
        <v>1055669350</v>
      </c>
      <c r="G8" s="0" t="n">
        <v>0</v>
      </c>
      <c r="H8" s="0" t="n">
        <v>0</v>
      </c>
      <c r="I8" s="0" t="n">
        <v>44.3381127</v>
      </c>
      <c r="J8" s="0" t="n">
        <v>44.3381127</v>
      </c>
      <c r="K8" s="0" t="n">
        <v>0</v>
      </c>
      <c r="L8" s="0" t="n">
        <v>40.791063684</v>
      </c>
      <c r="M8" s="0" t="n">
        <v>3.547049016</v>
      </c>
    </row>
    <row r="9" customFormat="false" ht="15" hidden="false" customHeight="false" outlineLevel="0" collapsed="false">
      <c r="A9" s="63" t="n">
        <v>46296</v>
      </c>
      <c r="B9" s="64" t="s">
        <v>416</v>
      </c>
      <c r="C9" s="64" t="s">
        <v>418</v>
      </c>
      <c r="D9" s="0" t="n">
        <v>204</v>
      </c>
      <c r="E9" s="0" t="n">
        <v>27</v>
      </c>
      <c r="F9" s="0" t="n">
        <v>35725512317</v>
      </c>
      <c r="G9" s="0" t="n">
        <v>6698424561.09524</v>
      </c>
      <c r="H9" s="0" t="n">
        <v>281.333831566</v>
      </c>
      <c r="I9" s="0" t="n">
        <v>1500.471517314</v>
      </c>
      <c r="J9" s="0" t="n">
        <v>1219.137685748</v>
      </c>
      <c r="K9" s="0" t="n">
        <v>2.4980018054066E-016</v>
      </c>
      <c r="L9" s="0" t="n">
        <v>1219.137685748</v>
      </c>
      <c r="M9" s="0" t="n">
        <v>0</v>
      </c>
    </row>
    <row r="10" customFormat="false" ht="15" hidden="false" customHeight="false" outlineLevel="0" collapsed="false">
      <c r="A10" s="63" t="n">
        <v>46296</v>
      </c>
      <c r="B10" s="64" t="s">
        <v>416</v>
      </c>
      <c r="C10" s="64" t="s">
        <v>419</v>
      </c>
      <c r="D10" s="0" t="n">
        <v>156</v>
      </c>
      <c r="E10" s="0" t="n">
        <v>156</v>
      </c>
      <c r="F10" s="0" t="n">
        <v>16337845301</v>
      </c>
      <c r="G10" s="0" t="n">
        <v>0</v>
      </c>
      <c r="H10" s="0" t="n">
        <v>0</v>
      </c>
      <c r="I10" s="0" t="n">
        <v>686.189502642</v>
      </c>
      <c r="J10" s="0" t="n">
        <v>686.189502642</v>
      </c>
      <c r="K10" s="0" t="n">
        <v>0</v>
      </c>
      <c r="L10" s="0" t="n">
        <v>651.8800275099</v>
      </c>
      <c r="M10" s="0" t="n">
        <v>34.3094751321</v>
      </c>
    </row>
    <row r="11" customFormat="false" ht="15" hidden="false" customHeight="false" outlineLevel="0" collapsed="false">
      <c r="A11" s="63" t="n">
        <v>46327</v>
      </c>
      <c r="B11" s="64" t="s">
        <v>420</v>
      </c>
      <c r="C11" s="64" t="s">
        <v>418</v>
      </c>
      <c r="D11" s="0" t="n">
        <v>4</v>
      </c>
      <c r="E11" s="0" t="n">
        <v>4</v>
      </c>
      <c r="F11" s="0" t="n">
        <v>1886118710610</v>
      </c>
      <c r="G11" s="0" t="n">
        <v>0</v>
      </c>
      <c r="H11" s="0" t="n">
        <v>0</v>
      </c>
      <c r="I11" s="0" t="n">
        <v>79216.98584562</v>
      </c>
      <c r="J11" s="0" t="n">
        <v>65804.0058954789</v>
      </c>
      <c r="K11" s="0" t="n">
        <v>37113.1855540265</v>
      </c>
      <c r="L11" s="0" t="n">
        <v>102917.191449505</v>
      </c>
      <c r="M11" s="0" t="n">
        <v>0</v>
      </c>
    </row>
    <row r="12" customFormat="false" ht="15" hidden="false" customHeight="false" outlineLevel="0" collapsed="false">
      <c r="A12" s="63" t="n">
        <v>46327</v>
      </c>
      <c r="B12" s="64" t="s">
        <v>414</v>
      </c>
      <c r="C12" s="64" t="s">
        <v>415</v>
      </c>
      <c r="D12" s="0" t="n">
        <v>1</v>
      </c>
      <c r="E12" s="0" t="n">
        <v>1</v>
      </c>
      <c r="F12" s="0" t="n">
        <v>46369863095</v>
      </c>
      <c r="G12" s="0" t="n">
        <v>0</v>
      </c>
      <c r="H12" s="0" t="n">
        <v>0</v>
      </c>
      <c r="I12" s="0" t="n">
        <v>1947.53424999</v>
      </c>
      <c r="J12" s="0" t="n">
        <v>1947.53424999</v>
      </c>
      <c r="K12" s="0" t="n">
        <v>0</v>
      </c>
      <c r="L12" s="0" t="n">
        <v>1850.1575374905</v>
      </c>
      <c r="M12" s="0" t="n">
        <v>97.3767124995</v>
      </c>
    </row>
    <row r="13" customFormat="false" ht="15" hidden="false" customHeight="false" outlineLevel="0" collapsed="false">
      <c r="A13" s="63" t="n">
        <v>46327</v>
      </c>
      <c r="B13" s="64" t="s">
        <v>416</v>
      </c>
      <c r="C13" s="64" t="s">
        <v>417</v>
      </c>
      <c r="D13" s="0" t="n">
        <v>21</v>
      </c>
      <c r="E13" s="0" t="n">
        <v>21</v>
      </c>
      <c r="F13" s="0" t="n">
        <v>2114605799</v>
      </c>
      <c r="G13" s="0" t="n">
        <v>0</v>
      </c>
      <c r="H13" s="0" t="n">
        <v>0</v>
      </c>
      <c r="I13" s="0" t="n">
        <v>88.813443558</v>
      </c>
      <c r="J13" s="0" t="n">
        <v>88.813443558</v>
      </c>
      <c r="K13" s="0" t="n">
        <v>0</v>
      </c>
      <c r="L13" s="0" t="n">
        <v>81.70836807336</v>
      </c>
      <c r="M13" s="0" t="n">
        <v>7.10507548464</v>
      </c>
    </row>
    <row r="14" customFormat="false" ht="15" hidden="false" customHeight="false" outlineLevel="0" collapsed="false">
      <c r="A14" s="63" t="n">
        <v>46327</v>
      </c>
      <c r="B14" s="64" t="s">
        <v>416</v>
      </c>
      <c r="C14" s="64" t="s">
        <v>418</v>
      </c>
      <c r="D14" s="0" t="n">
        <v>252</v>
      </c>
      <c r="E14" s="0" t="n">
        <v>53</v>
      </c>
      <c r="F14" s="0" t="n">
        <v>139992322579</v>
      </c>
      <c r="G14" s="0" t="n">
        <v>8179708715.33333</v>
      </c>
      <c r="H14" s="0" t="n">
        <v>343.547766044</v>
      </c>
      <c r="I14" s="0" t="n">
        <v>5879.677548318</v>
      </c>
      <c r="J14" s="0" t="n">
        <v>5536.129782274</v>
      </c>
      <c r="K14" s="0" t="n">
        <v>8.67361737988404E-018</v>
      </c>
      <c r="L14" s="0" t="n">
        <v>5536.129782274</v>
      </c>
      <c r="M14" s="0" t="n">
        <v>0</v>
      </c>
    </row>
    <row r="15" customFormat="false" ht="15" hidden="false" customHeight="false" outlineLevel="0" collapsed="false">
      <c r="A15" s="63" t="n">
        <v>46327</v>
      </c>
      <c r="B15" s="64" t="s">
        <v>416</v>
      </c>
      <c r="C15" s="64" t="s">
        <v>419</v>
      </c>
      <c r="D15" s="0" t="n">
        <v>170</v>
      </c>
      <c r="E15" s="0" t="n">
        <v>170</v>
      </c>
      <c r="F15" s="0" t="n">
        <v>113741699989</v>
      </c>
      <c r="G15" s="0" t="n">
        <v>0</v>
      </c>
      <c r="H15" s="0" t="n">
        <v>0</v>
      </c>
      <c r="I15" s="0" t="n">
        <v>4777.151399538</v>
      </c>
      <c r="J15" s="0" t="n">
        <v>4777.151399538</v>
      </c>
      <c r="K15" s="0" t="n">
        <v>0</v>
      </c>
      <c r="L15" s="0" t="n">
        <v>4538.2938295611</v>
      </c>
      <c r="M15" s="0" t="n">
        <v>238.8575699769</v>
      </c>
    </row>
    <row r="16" customFormat="false" ht="15" hidden="false" customHeight="false" outlineLevel="0" collapsed="false">
      <c r="A16" s="63" t="n">
        <v>46357</v>
      </c>
      <c r="B16" s="64" t="s">
        <v>420</v>
      </c>
      <c r="C16" s="64" t="s">
        <v>418</v>
      </c>
      <c r="D16" s="0" t="n">
        <v>6</v>
      </c>
      <c r="E16" s="0" t="n">
        <v>6</v>
      </c>
      <c r="F16" s="0" t="n">
        <v>3499254200408</v>
      </c>
      <c r="G16" s="0" t="n">
        <v>0</v>
      </c>
      <c r="H16" s="0" t="n">
        <v>0</v>
      </c>
      <c r="I16" s="0" t="n">
        <v>146968.676417136</v>
      </c>
      <c r="J16" s="0" t="n">
        <v>122503.057948163</v>
      </c>
      <c r="K16" s="0" t="n">
        <v>37288.1437313947</v>
      </c>
      <c r="L16" s="0" t="n">
        <v>159791.201679557</v>
      </c>
      <c r="M16" s="0" t="n">
        <v>0</v>
      </c>
    </row>
    <row r="17" customFormat="false" ht="15" hidden="false" customHeight="false" outlineLevel="0" collapsed="false">
      <c r="A17" s="63" t="n">
        <v>46357</v>
      </c>
      <c r="B17" s="64" t="s">
        <v>414</v>
      </c>
      <c r="C17" s="64" t="s">
        <v>415</v>
      </c>
      <c r="D17" s="0" t="n">
        <v>1</v>
      </c>
      <c r="E17" s="0" t="n">
        <v>1</v>
      </c>
      <c r="F17" s="0" t="n">
        <v>165493359479</v>
      </c>
      <c r="G17" s="0" t="n">
        <v>0</v>
      </c>
      <c r="H17" s="0" t="n">
        <v>0</v>
      </c>
      <c r="I17" s="0" t="n">
        <v>6950.72109811799</v>
      </c>
      <c r="J17" s="0" t="n">
        <v>6950.72109811799</v>
      </c>
      <c r="K17" s="0" t="n">
        <v>0</v>
      </c>
      <c r="L17" s="0" t="n">
        <v>6603.18504321209</v>
      </c>
      <c r="M17" s="0" t="n">
        <v>347.5360549059</v>
      </c>
    </row>
    <row r="18" customFormat="false" ht="15" hidden="false" customHeight="false" outlineLevel="0" collapsed="false">
      <c r="A18" s="63" t="n">
        <v>46357</v>
      </c>
      <c r="B18" s="64" t="s">
        <v>416</v>
      </c>
      <c r="C18" s="64" t="s">
        <v>417</v>
      </c>
      <c r="D18" s="0" t="n">
        <v>26</v>
      </c>
      <c r="E18" s="0" t="n">
        <v>26</v>
      </c>
      <c r="F18" s="0" t="n">
        <v>7466089971</v>
      </c>
      <c r="G18" s="0" t="n">
        <v>0</v>
      </c>
      <c r="H18" s="0" t="n">
        <v>0</v>
      </c>
      <c r="I18" s="0" t="n">
        <v>313.575778782</v>
      </c>
      <c r="J18" s="0" t="n">
        <v>313.575778782</v>
      </c>
      <c r="K18" s="0" t="n">
        <v>0</v>
      </c>
      <c r="L18" s="0" t="n">
        <v>288.48971647944</v>
      </c>
      <c r="M18" s="0" t="n">
        <v>25.08606230256</v>
      </c>
    </row>
    <row r="19" customFormat="false" ht="15" hidden="false" customHeight="false" outlineLevel="0" collapsed="false">
      <c r="A19" s="63" t="n">
        <v>46357</v>
      </c>
      <c r="B19" s="64" t="s">
        <v>416</v>
      </c>
      <c r="C19" s="64" t="s">
        <v>418</v>
      </c>
      <c r="D19" s="0" t="n">
        <v>276</v>
      </c>
      <c r="E19" s="0" t="n">
        <v>93</v>
      </c>
      <c r="F19" s="0" t="n">
        <v>298930534970</v>
      </c>
      <c r="G19" s="0" t="n">
        <v>8742356244.80952</v>
      </c>
      <c r="H19" s="0" t="n">
        <v>367.178962282</v>
      </c>
      <c r="I19" s="0" t="n">
        <v>12555.08246874</v>
      </c>
      <c r="J19" s="0" t="n">
        <v>12187.903506458</v>
      </c>
      <c r="K19" s="0" t="n">
        <v>1.11022302462516E-016</v>
      </c>
      <c r="L19" s="0" t="n">
        <v>12187.903506458</v>
      </c>
      <c r="M19" s="0" t="n">
        <v>0</v>
      </c>
    </row>
    <row r="20" customFormat="false" ht="15" hidden="false" customHeight="false" outlineLevel="0" collapsed="false">
      <c r="A20" s="63" t="n">
        <v>46357</v>
      </c>
      <c r="B20" s="64" t="s">
        <v>416</v>
      </c>
      <c r="C20" s="64" t="s">
        <v>419</v>
      </c>
      <c r="D20" s="0" t="n">
        <v>187</v>
      </c>
      <c r="E20" s="0" t="n">
        <v>187</v>
      </c>
      <c r="F20" s="0" t="n">
        <v>319660762488</v>
      </c>
      <c r="G20" s="0" t="n">
        <v>0</v>
      </c>
      <c r="H20" s="0" t="n">
        <v>0</v>
      </c>
      <c r="I20" s="0" t="n">
        <v>13425.752024496</v>
      </c>
      <c r="J20" s="0" t="n">
        <v>13425.752024496</v>
      </c>
      <c r="K20" s="0" t="n">
        <v>0</v>
      </c>
      <c r="L20" s="0" t="n">
        <v>12754.4644232712</v>
      </c>
      <c r="M20" s="0" t="n">
        <v>671.2876012248</v>
      </c>
    </row>
    <row r="21" customFormat="false" ht="15" hidden="false" customHeight="false" outlineLevel="0" collapsed="false">
      <c r="A21" s="63" t="n">
        <v>46388</v>
      </c>
      <c r="B21" s="64" t="s">
        <v>420</v>
      </c>
      <c r="C21" s="64" t="s">
        <v>418</v>
      </c>
      <c r="D21" s="0" t="n">
        <v>7</v>
      </c>
      <c r="E21" s="0" t="n">
        <v>7</v>
      </c>
      <c r="F21" s="0" t="n">
        <v>4461608622269</v>
      </c>
      <c r="G21" s="0" t="n">
        <v>0</v>
      </c>
      <c r="H21" s="0" t="n">
        <v>0</v>
      </c>
      <c r="I21" s="0" t="n">
        <v>187387.562135298</v>
      </c>
      <c r="J21" s="0" t="n">
        <v>156840.564433844</v>
      </c>
      <c r="K21" s="0" t="n">
        <v>28596.9956861522</v>
      </c>
      <c r="L21" s="0" t="n">
        <v>185437.560119996</v>
      </c>
      <c r="M21" s="0" t="n">
        <v>0</v>
      </c>
    </row>
    <row r="22" customFormat="false" ht="15" hidden="false" customHeight="false" outlineLevel="0" collapsed="false">
      <c r="A22" s="63" t="n">
        <v>46388</v>
      </c>
      <c r="B22" s="64" t="s">
        <v>414</v>
      </c>
      <c r="C22" s="64" t="s">
        <v>415</v>
      </c>
      <c r="D22" s="0" t="n">
        <v>1</v>
      </c>
      <c r="E22" s="0" t="n">
        <v>1</v>
      </c>
      <c r="F22" s="0" t="n">
        <v>314743752869</v>
      </c>
      <c r="G22" s="0" t="n">
        <v>0</v>
      </c>
      <c r="H22" s="0" t="n">
        <v>0</v>
      </c>
      <c r="I22" s="0" t="n">
        <v>13219.237620498</v>
      </c>
      <c r="J22" s="0" t="n">
        <v>13219.237620498</v>
      </c>
      <c r="K22" s="0" t="n">
        <v>0</v>
      </c>
      <c r="L22" s="0" t="n">
        <v>12558.2757394731</v>
      </c>
      <c r="M22" s="0" t="n">
        <v>660.9618810249</v>
      </c>
    </row>
    <row r="23" customFormat="false" ht="15" hidden="false" customHeight="false" outlineLevel="0" collapsed="false">
      <c r="A23" s="63" t="n">
        <v>46388</v>
      </c>
      <c r="B23" s="64" t="s">
        <v>416</v>
      </c>
      <c r="C23" s="64" t="s">
        <v>417</v>
      </c>
      <c r="D23" s="0" t="n">
        <v>26</v>
      </c>
      <c r="E23" s="0" t="n">
        <v>26</v>
      </c>
      <c r="F23" s="0" t="n">
        <v>12737283801</v>
      </c>
      <c r="G23" s="0" t="n">
        <v>0</v>
      </c>
      <c r="H23" s="0" t="n">
        <v>0</v>
      </c>
      <c r="I23" s="0" t="n">
        <v>534.965919642</v>
      </c>
      <c r="J23" s="0" t="n">
        <v>534.965919642</v>
      </c>
      <c r="K23" s="0" t="n">
        <v>0</v>
      </c>
      <c r="L23" s="0" t="n">
        <v>492.16864607064</v>
      </c>
      <c r="M23" s="0" t="n">
        <v>42.79727357136</v>
      </c>
    </row>
    <row r="24" customFormat="false" ht="15" hidden="false" customHeight="false" outlineLevel="0" collapsed="false">
      <c r="A24" s="63" t="n">
        <v>46388</v>
      </c>
      <c r="B24" s="64" t="s">
        <v>416</v>
      </c>
      <c r="C24" s="64" t="s">
        <v>418</v>
      </c>
      <c r="D24" s="0" t="n">
        <v>312</v>
      </c>
      <c r="E24" s="0" t="n">
        <v>120</v>
      </c>
      <c r="F24" s="0" t="n">
        <v>448408053515</v>
      </c>
      <c r="G24" s="0" t="n">
        <v>8051581812.47619</v>
      </c>
      <c r="H24" s="0" t="n">
        <v>338.166436124</v>
      </c>
      <c r="I24" s="0" t="n">
        <v>18833.13824763</v>
      </c>
      <c r="J24" s="0" t="n">
        <v>18494.971811506</v>
      </c>
      <c r="K24" s="0" t="n">
        <v>2.70616862252382E-016</v>
      </c>
      <c r="L24" s="0" t="n">
        <v>18494.971811506</v>
      </c>
      <c r="M24" s="0" t="n">
        <v>0</v>
      </c>
    </row>
    <row r="25" customFormat="false" ht="15" hidden="false" customHeight="false" outlineLevel="0" collapsed="false">
      <c r="A25" s="63" t="n">
        <v>46388</v>
      </c>
      <c r="B25" s="64" t="s">
        <v>416</v>
      </c>
      <c r="C25" s="64" t="s">
        <v>419</v>
      </c>
      <c r="D25" s="0" t="n">
        <v>230</v>
      </c>
      <c r="E25" s="0" t="n">
        <v>230</v>
      </c>
      <c r="F25" s="0" t="n">
        <v>410116582141</v>
      </c>
      <c r="G25" s="0" t="n">
        <v>0</v>
      </c>
      <c r="H25" s="0" t="n">
        <v>0</v>
      </c>
      <c r="I25" s="0" t="n">
        <v>17224.896449922</v>
      </c>
      <c r="J25" s="0" t="n">
        <v>17224.896449922</v>
      </c>
      <c r="K25" s="0" t="n">
        <v>0</v>
      </c>
      <c r="L25" s="0" t="n">
        <v>16363.6516274259</v>
      </c>
      <c r="M25" s="0" t="n">
        <v>861.2448224961</v>
      </c>
    </row>
    <row r="26" customFormat="false" ht="15" hidden="false" customHeight="false" outlineLevel="0" collapsed="false">
      <c r="A26" s="63" t="n">
        <v>46419</v>
      </c>
      <c r="B26" s="64" t="s">
        <v>420</v>
      </c>
      <c r="C26" s="64" t="s">
        <v>418</v>
      </c>
      <c r="D26" s="0" t="n">
        <v>8</v>
      </c>
      <c r="E26" s="0" t="n">
        <v>8</v>
      </c>
      <c r="F26" s="0" t="n">
        <v>4615842149737</v>
      </c>
      <c r="G26" s="0" t="n">
        <v>0</v>
      </c>
      <c r="H26" s="0" t="n">
        <v>0</v>
      </c>
      <c r="I26" s="0" t="n">
        <v>193865.370288954</v>
      </c>
      <c r="J26" s="0" t="n">
        <v>162559.526979358</v>
      </c>
      <c r="K26" s="0" t="n">
        <v>27556.0581450579</v>
      </c>
      <c r="L26" s="0" t="n">
        <v>190115.585124416</v>
      </c>
      <c r="M26" s="0" t="n">
        <v>0</v>
      </c>
    </row>
    <row r="27" customFormat="false" ht="15" hidden="false" customHeight="false" outlineLevel="0" collapsed="false">
      <c r="A27" s="63" t="n">
        <v>46419</v>
      </c>
      <c r="B27" s="64" t="s">
        <v>414</v>
      </c>
      <c r="C27" s="64" t="s">
        <v>415</v>
      </c>
      <c r="D27" s="0" t="n">
        <v>1</v>
      </c>
      <c r="E27" s="0" t="n">
        <v>1</v>
      </c>
      <c r="F27" s="0" t="n">
        <v>370518908817</v>
      </c>
      <c r="G27" s="0" t="n">
        <v>0</v>
      </c>
      <c r="H27" s="0" t="n">
        <v>0</v>
      </c>
      <c r="I27" s="0" t="n">
        <v>15561.794170314</v>
      </c>
      <c r="J27" s="0" t="n">
        <v>15561.794170314</v>
      </c>
      <c r="K27" s="0" t="n">
        <v>0</v>
      </c>
      <c r="L27" s="0" t="n">
        <v>14783.7044617983</v>
      </c>
      <c r="M27" s="0" t="n">
        <v>778.089708515701</v>
      </c>
    </row>
    <row r="28" customFormat="false" ht="15" hidden="false" customHeight="false" outlineLevel="0" collapsed="false">
      <c r="A28" s="63" t="n">
        <v>46419</v>
      </c>
      <c r="B28" s="64" t="s">
        <v>416</v>
      </c>
      <c r="C28" s="64" t="s">
        <v>417</v>
      </c>
      <c r="D28" s="0" t="n">
        <v>35</v>
      </c>
      <c r="E28" s="0" t="n">
        <v>35</v>
      </c>
      <c r="F28" s="0" t="n">
        <v>14986734199</v>
      </c>
      <c r="G28" s="0" t="n">
        <v>0</v>
      </c>
      <c r="H28" s="0" t="n">
        <v>0</v>
      </c>
      <c r="I28" s="0" t="n">
        <v>629.442836358</v>
      </c>
      <c r="J28" s="0" t="n">
        <v>629.442836358</v>
      </c>
      <c r="K28" s="0" t="n">
        <v>0</v>
      </c>
      <c r="L28" s="0" t="n">
        <v>579.08740944936</v>
      </c>
      <c r="M28" s="0" t="n">
        <v>50.35542690864</v>
      </c>
    </row>
    <row r="29" customFormat="false" ht="15" hidden="false" customHeight="false" outlineLevel="0" collapsed="false">
      <c r="A29" s="63" t="n">
        <v>46419</v>
      </c>
      <c r="B29" s="64" t="s">
        <v>416</v>
      </c>
      <c r="C29" s="64" t="s">
        <v>418</v>
      </c>
      <c r="D29" s="0" t="n">
        <v>399</v>
      </c>
      <c r="E29" s="0" t="n">
        <v>140</v>
      </c>
      <c r="F29" s="0" t="n">
        <v>582328506726</v>
      </c>
      <c r="G29" s="0" t="n">
        <v>10663238115.5714</v>
      </c>
      <c r="H29" s="0" t="n">
        <v>447.856000854</v>
      </c>
      <c r="I29" s="0" t="n">
        <v>24457.797282492</v>
      </c>
      <c r="J29" s="0" t="n">
        <v>24009.941281638</v>
      </c>
      <c r="K29" s="0" t="n">
        <v>1.07227594858816E-016</v>
      </c>
      <c r="L29" s="0" t="n">
        <v>24009.941281638</v>
      </c>
      <c r="M29" s="0" t="n">
        <v>0</v>
      </c>
    </row>
    <row r="30" customFormat="false" ht="15" hidden="false" customHeight="false" outlineLevel="0" collapsed="false">
      <c r="A30" s="63" t="n">
        <v>46419</v>
      </c>
      <c r="B30" s="64" t="s">
        <v>416</v>
      </c>
      <c r="C30" s="64" t="s">
        <v>419</v>
      </c>
      <c r="D30" s="0" t="n">
        <v>237</v>
      </c>
      <c r="E30" s="0" t="n">
        <v>237</v>
      </c>
      <c r="F30" s="0" t="n">
        <v>456562117440</v>
      </c>
      <c r="G30" s="0" t="n">
        <v>0</v>
      </c>
      <c r="H30" s="0" t="n">
        <v>0</v>
      </c>
      <c r="I30" s="0" t="n">
        <v>19175.60893248</v>
      </c>
      <c r="J30" s="0" t="n">
        <v>19175.60893248</v>
      </c>
      <c r="K30" s="0" t="n">
        <v>0</v>
      </c>
      <c r="L30" s="0" t="n">
        <v>18216.828485856</v>
      </c>
      <c r="M30" s="0" t="n">
        <v>958.780446624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39B"/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</cols>
  <sheetData>
    <row r="1" customFormat="false" ht="15" hidden="false" customHeight="false" outlineLevel="0" collapsed="false">
      <c r="A1" s="62" t="s">
        <v>421</v>
      </c>
      <c r="B1" s="62" t="s">
        <v>404</v>
      </c>
      <c r="C1" s="62" t="s">
        <v>422</v>
      </c>
    </row>
    <row r="2" customFormat="false" ht="15" hidden="false" customHeight="false" outlineLevel="0" collapsed="false">
      <c r="A2" s="0" t="n">
        <v>1</v>
      </c>
      <c r="B2" s="0" t="s">
        <v>418</v>
      </c>
      <c r="C2" s="0" t="s">
        <v>423</v>
      </c>
    </row>
    <row r="3" customFormat="false" ht="15" hidden="false" customHeight="false" outlineLevel="0" collapsed="false">
      <c r="A3" s="0" t="n">
        <v>2</v>
      </c>
      <c r="B3" s="0" t="s">
        <v>419</v>
      </c>
      <c r="C3" s="0" t="s">
        <v>424</v>
      </c>
    </row>
    <row r="4" customFormat="false" ht="15" hidden="false" customHeight="false" outlineLevel="0" collapsed="false">
      <c r="A4" s="0" t="n">
        <v>3</v>
      </c>
      <c r="B4" s="0" t="s">
        <v>415</v>
      </c>
      <c r="C4" s="0" t="s">
        <v>425</v>
      </c>
    </row>
    <row r="5" customFormat="false" ht="15" hidden="false" customHeight="false" outlineLevel="0" collapsed="false">
      <c r="A5" s="0" t="n">
        <v>4</v>
      </c>
      <c r="B5" s="0" t="s">
        <v>417</v>
      </c>
      <c r="C5" s="0" t="s">
        <v>426</v>
      </c>
    </row>
    <row r="6" customFormat="false" ht="15" hidden="false" customHeight="false" outlineLevel="0" collapsed="false">
      <c r="A6" s="0" t="n">
        <v>5</v>
      </c>
      <c r="C6" s="0" t="s">
        <v>427</v>
      </c>
    </row>
    <row r="7" customFormat="false" ht="15" hidden="false" customHeight="false" outlineLevel="0" collapsed="false">
      <c r="A7" s="0" t="n">
        <v>6</v>
      </c>
      <c r="C7" s="0" t="s">
        <v>428</v>
      </c>
    </row>
    <row r="8" customFormat="false" ht="15" hidden="false" customHeight="false" outlineLevel="0" collapsed="false">
      <c r="A8" s="0" t="n">
        <v>7</v>
      </c>
      <c r="C8" s="0" t="s">
        <v>429</v>
      </c>
    </row>
    <row r="9" customFormat="false" ht="15" hidden="false" customHeight="false" outlineLevel="0" collapsed="false">
      <c r="A9" s="0" t="n">
        <v>8</v>
      </c>
      <c r="C9" s="0" t="s">
        <v>430</v>
      </c>
    </row>
    <row r="10" customFormat="false" ht="15" hidden="false" customHeight="false" outlineLevel="0" collapsed="false">
      <c r="A10" s="0" t="n">
        <v>9</v>
      </c>
      <c r="C10" s="0" t="s">
        <v>431</v>
      </c>
    </row>
    <row r="11" customFormat="false" ht="15" hidden="false" customHeight="false" outlineLevel="0" collapsed="false">
      <c r="A11" s="0" t="n">
        <v>10</v>
      </c>
      <c r="C11" s="0" t="s">
        <v>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39B"/>
    <pageSetUpPr fitToPage="false"/>
  </sheetPr>
  <dimension ref="A1:D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9"/>
    <col collapsed="false" customWidth="true" hidden="false" outlineLevel="0" max="4" min="4" style="0" width="21"/>
  </cols>
  <sheetData>
    <row r="1" customFormat="false" ht="15" hidden="false" customHeight="false" outlineLevel="0" collapsed="false">
      <c r="A1" s="62" t="s">
        <v>400</v>
      </c>
      <c r="B1" s="62" t="s">
        <v>422</v>
      </c>
      <c r="C1" s="62" t="s">
        <v>407</v>
      </c>
      <c r="D1" s="62" t="s">
        <v>433</v>
      </c>
    </row>
    <row r="2" customFormat="false" ht="15" hidden="false" customHeight="false" outlineLevel="0" collapsed="false">
      <c r="A2" s="63" t="n">
        <v>46266</v>
      </c>
      <c r="B2" s="64" t="s">
        <v>431</v>
      </c>
      <c r="C2" s="0" t="n">
        <v>1030757250</v>
      </c>
      <c r="D2" s="0" t="n">
        <v>486309676</v>
      </c>
    </row>
    <row r="3" customFormat="false" ht="15" hidden="false" customHeight="false" outlineLevel="0" collapsed="false">
      <c r="A3" s="63" t="n">
        <v>46266</v>
      </c>
      <c r="B3" s="64" t="s">
        <v>426</v>
      </c>
      <c r="C3" s="0" t="n">
        <v>335314244</v>
      </c>
      <c r="D3" s="0" t="n">
        <v>90650502</v>
      </c>
    </row>
    <row r="4" customFormat="false" ht="15" hidden="false" customHeight="false" outlineLevel="0" collapsed="false">
      <c r="A4" s="63" t="n">
        <v>46266</v>
      </c>
      <c r="B4" s="64" t="s">
        <v>428</v>
      </c>
      <c r="C4" s="0" t="n">
        <v>332879425</v>
      </c>
      <c r="D4" s="0" t="n">
        <v>61095110</v>
      </c>
    </row>
    <row r="5" customFormat="false" ht="15" hidden="false" customHeight="false" outlineLevel="0" collapsed="false">
      <c r="A5" s="63" t="n">
        <v>46266</v>
      </c>
      <c r="B5" s="64" t="s">
        <v>423</v>
      </c>
      <c r="C5" s="0" t="n">
        <v>269677564</v>
      </c>
      <c r="D5" s="0" t="n">
        <v>4085015</v>
      </c>
    </row>
    <row r="6" customFormat="false" ht="15" hidden="false" customHeight="false" outlineLevel="0" collapsed="false">
      <c r="A6" s="63" t="n">
        <v>46266</v>
      </c>
      <c r="B6" s="64" t="s">
        <v>432</v>
      </c>
      <c r="C6" s="0" t="n">
        <v>469002459</v>
      </c>
      <c r="D6" s="0" t="n">
        <v>340139442</v>
      </c>
    </row>
    <row r="7" customFormat="false" ht="15" hidden="false" customHeight="false" outlineLevel="0" collapsed="false">
      <c r="A7" s="63" t="n">
        <v>46266</v>
      </c>
      <c r="B7" s="64" t="s">
        <v>424</v>
      </c>
      <c r="C7" s="0" t="n">
        <v>1093807315</v>
      </c>
      <c r="D7" s="0" t="n">
        <v>473633537</v>
      </c>
    </row>
    <row r="8" customFormat="false" ht="15" hidden="false" customHeight="false" outlineLevel="0" collapsed="false">
      <c r="A8" s="63" t="n">
        <v>46266</v>
      </c>
      <c r="B8" s="64" t="s">
        <v>425</v>
      </c>
      <c r="C8" s="0" t="n">
        <v>1199236534</v>
      </c>
      <c r="D8" s="0" t="n">
        <v>264909769</v>
      </c>
    </row>
    <row r="9" customFormat="false" ht="15" hidden="false" customHeight="false" outlineLevel="0" collapsed="false">
      <c r="A9" s="63" t="n">
        <v>46266</v>
      </c>
      <c r="B9" s="64" t="s">
        <v>427</v>
      </c>
      <c r="C9" s="0" t="n">
        <v>1007572766</v>
      </c>
      <c r="D9" s="0" t="n">
        <v>391913584</v>
      </c>
    </row>
    <row r="10" customFormat="false" ht="15" hidden="false" customHeight="false" outlineLevel="0" collapsed="false">
      <c r="A10" s="63" t="n">
        <v>46266</v>
      </c>
      <c r="B10" s="64" t="s">
        <v>430</v>
      </c>
      <c r="C10" s="0" t="n">
        <v>1060348436</v>
      </c>
      <c r="D10" s="0" t="n">
        <v>431683328</v>
      </c>
    </row>
    <row r="11" customFormat="false" ht="15" hidden="false" customHeight="false" outlineLevel="0" collapsed="false">
      <c r="A11" s="63" t="n">
        <v>46266</v>
      </c>
      <c r="B11" s="64" t="s">
        <v>429</v>
      </c>
      <c r="C11" s="0" t="n">
        <v>470964886</v>
      </c>
      <c r="D11" s="0" t="n">
        <v>90512815</v>
      </c>
    </row>
    <row r="12" customFormat="false" ht="15" hidden="false" customHeight="false" outlineLevel="0" collapsed="false">
      <c r="A12" s="63" t="n">
        <v>46296</v>
      </c>
      <c r="B12" s="64" t="s">
        <v>431</v>
      </c>
      <c r="C12" s="0" t="n">
        <v>18275088913</v>
      </c>
      <c r="D12" s="0" t="n">
        <v>7080347863</v>
      </c>
    </row>
    <row r="13" customFormat="false" ht="15" hidden="false" customHeight="false" outlineLevel="0" collapsed="false">
      <c r="A13" s="63" t="n">
        <v>46296</v>
      </c>
      <c r="B13" s="64" t="s">
        <v>426</v>
      </c>
      <c r="C13" s="0" t="n">
        <v>5807194530</v>
      </c>
      <c r="D13" s="0" t="n">
        <v>1798898790</v>
      </c>
    </row>
    <row r="14" customFormat="false" ht="15" hidden="false" customHeight="false" outlineLevel="0" collapsed="false">
      <c r="A14" s="63" t="n">
        <v>46296</v>
      </c>
      <c r="B14" s="64" t="s">
        <v>428</v>
      </c>
      <c r="C14" s="0" t="n">
        <v>28958845517</v>
      </c>
      <c r="D14" s="0" t="n">
        <v>27568708990</v>
      </c>
    </row>
    <row r="15" customFormat="false" ht="15" hidden="false" customHeight="false" outlineLevel="0" collapsed="false">
      <c r="A15" s="63" t="n">
        <v>46296</v>
      </c>
      <c r="B15" s="64" t="s">
        <v>423</v>
      </c>
      <c r="C15" s="0" t="n">
        <v>140069455217</v>
      </c>
      <c r="D15" s="0" t="n">
        <v>137755931061</v>
      </c>
    </row>
    <row r="16" customFormat="false" ht="15" hidden="false" customHeight="false" outlineLevel="0" collapsed="false">
      <c r="A16" s="63" t="n">
        <v>46296</v>
      </c>
      <c r="B16" s="64" t="s">
        <v>432</v>
      </c>
      <c r="C16" s="0" t="n">
        <v>1797828035</v>
      </c>
      <c r="D16" s="0" t="n">
        <v>296533037</v>
      </c>
    </row>
    <row r="17" customFormat="false" ht="15" hidden="false" customHeight="false" outlineLevel="0" collapsed="false">
      <c r="A17" s="63" t="n">
        <v>46296</v>
      </c>
      <c r="B17" s="64" t="s">
        <v>424</v>
      </c>
      <c r="C17" s="0" t="n">
        <v>258771622960</v>
      </c>
      <c r="D17" s="0" t="n">
        <v>3464991541</v>
      </c>
    </row>
    <row r="18" customFormat="false" ht="15" hidden="false" customHeight="false" outlineLevel="0" collapsed="false">
      <c r="A18" s="63" t="n">
        <v>46296</v>
      </c>
      <c r="B18" s="64" t="s">
        <v>425</v>
      </c>
      <c r="C18" s="0" t="n">
        <v>176629981641</v>
      </c>
      <c r="D18" s="0" t="n">
        <v>170692959788</v>
      </c>
    </row>
    <row r="19" customFormat="false" ht="15" hidden="false" customHeight="false" outlineLevel="0" collapsed="false">
      <c r="A19" s="63" t="n">
        <v>46296</v>
      </c>
      <c r="B19" s="64" t="s">
        <v>427</v>
      </c>
      <c r="C19" s="0" t="n">
        <v>4517645666</v>
      </c>
      <c r="D19" s="0" t="n">
        <v>2264905224</v>
      </c>
    </row>
    <row r="20" customFormat="false" ht="15" hidden="false" customHeight="false" outlineLevel="0" collapsed="false">
      <c r="A20" s="63" t="n">
        <v>46296</v>
      </c>
      <c r="B20" s="64" t="s">
        <v>430</v>
      </c>
      <c r="C20" s="0" t="n">
        <v>4455408354</v>
      </c>
      <c r="D20" s="0" t="n">
        <v>1356250509</v>
      </c>
    </row>
    <row r="21" customFormat="false" ht="15" hidden="false" customHeight="false" outlineLevel="0" collapsed="false">
      <c r="A21" s="63" t="n">
        <v>46296</v>
      </c>
      <c r="B21" s="64" t="s">
        <v>429</v>
      </c>
      <c r="C21" s="0" t="n">
        <v>8268229716</v>
      </c>
      <c r="D21" s="0" t="n">
        <v>5760692133</v>
      </c>
    </row>
    <row r="22" customFormat="false" ht="15" hidden="false" customHeight="false" outlineLevel="0" collapsed="false">
      <c r="A22" s="63" t="n">
        <v>46327</v>
      </c>
      <c r="B22" s="64" t="s">
        <v>431</v>
      </c>
      <c r="C22" s="0" t="n">
        <v>44531159085</v>
      </c>
      <c r="D22" s="0" t="n">
        <v>14131336971</v>
      </c>
    </row>
    <row r="23" customFormat="false" ht="15" hidden="false" customHeight="false" outlineLevel="0" collapsed="false">
      <c r="A23" s="63" t="n">
        <v>46327</v>
      </c>
      <c r="B23" s="64" t="s">
        <v>426</v>
      </c>
      <c r="C23" s="0" t="n">
        <v>19732753325</v>
      </c>
      <c r="D23" s="0" t="n">
        <v>3955552193</v>
      </c>
    </row>
    <row r="24" customFormat="false" ht="15" hidden="false" customHeight="false" outlineLevel="0" collapsed="false">
      <c r="A24" s="63" t="n">
        <v>46327</v>
      </c>
      <c r="B24" s="64" t="s">
        <v>428</v>
      </c>
      <c r="C24" s="0" t="n">
        <v>182877971218</v>
      </c>
      <c r="D24" s="0" t="n">
        <v>178444583674</v>
      </c>
    </row>
    <row r="25" customFormat="false" ht="15" hidden="false" customHeight="false" outlineLevel="0" collapsed="false">
      <c r="A25" s="63" t="n">
        <v>46327</v>
      </c>
      <c r="B25" s="64" t="s">
        <v>423</v>
      </c>
      <c r="C25" s="0" t="n">
        <v>665127445278</v>
      </c>
      <c r="D25" s="0" t="n">
        <v>650094359451</v>
      </c>
    </row>
    <row r="26" customFormat="false" ht="15" hidden="false" customHeight="false" outlineLevel="0" collapsed="false">
      <c r="A26" s="63" t="n">
        <v>46327</v>
      </c>
      <c r="B26" s="64" t="s">
        <v>432</v>
      </c>
      <c r="C26" s="0" t="n">
        <v>7879343095</v>
      </c>
      <c r="D26" s="0" t="n">
        <v>1485681679</v>
      </c>
    </row>
    <row r="27" customFormat="false" ht="15" hidden="false" customHeight="false" outlineLevel="0" collapsed="false">
      <c r="A27" s="63" t="n">
        <v>46327</v>
      </c>
      <c r="B27" s="64" t="s">
        <v>424</v>
      </c>
      <c r="C27" s="0" t="n">
        <v>652661947189</v>
      </c>
      <c r="D27" s="0" t="n">
        <v>20191384121</v>
      </c>
    </row>
    <row r="28" customFormat="false" ht="15" hidden="false" customHeight="false" outlineLevel="0" collapsed="false">
      <c r="A28" s="63" t="n">
        <v>46327</v>
      </c>
      <c r="B28" s="64" t="s">
        <v>425</v>
      </c>
      <c r="C28" s="0" t="n">
        <v>413561306277</v>
      </c>
      <c r="D28" s="0" t="n">
        <v>395931048376</v>
      </c>
    </row>
    <row r="29" customFormat="false" ht="15" hidden="false" customHeight="false" outlineLevel="0" collapsed="false">
      <c r="A29" s="63" t="n">
        <v>46327</v>
      </c>
      <c r="B29" s="64" t="s">
        <v>427</v>
      </c>
      <c r="C29" s="0" t="n">
        <v>65307173546</v>
      </c>
      <c r="D29" s="0" t="n">
        <v>55474105693</v>
      </c>
    </row>
    <row r="30" customFormat="false" ht="15" hidden="false" customHeight="false" outlineLevel="0" collapsed="false">
      <c r="A30" s="63" t="n">
        <v>46327</v>
      </c>
      <c r="B30" s="64" t="s">
        <v>430</v>
      </c>
      <c r="C30" s="0" t="n">
        <v>20510268837</v>
      </c>
      <c r="D30" s="0" t="n">
        <v>3517969043</v>
      </c>
    </row>
    <row r="31" customFormat="false" ht="15" hidden="false" customHeight="false" outlineLevel="0" collapsed="false">
      <c r="A31" s="63" t="n">
        <v>46327</v>
      </c>
      <c r="B31" s="64" t="s">
        <v>429</v>
      </c>
      <c r="C31" s="0" t="n">
        <v>116147834222</v>
      </c>
      <c r="D31" s="0" t="n">
        <v>105578045895</v>
      </c>
    </row>
    <row r="32" customFormat="false" ht="15" hidden="false" customHeight="false" outlineLevel="0" collapsed="false">
      <c r="A32" s="63" t="n">
        <v>46357</v>
      </c>
      <c r="B32" s="64" t="s">
        <v>431</v>
      </c>
      <c r="C32" s="0" t="n">
        <v>52835793184</v>
      </c>
      <c r="D32" s="0" t="n">
        <v>16894402538</v>
      </c>
    </row>
    <row r="33" customFormat="false" ht="15" hidden="false" customHeight="false" outlineLevel="0" collapsed="false">
      <c r="A33" s="63" t="n">
        <v>46357</v>
      </c>
      <c r="B33" s="64" t="s">
        <v>426</v>
      </c>
      <c r="C33" s="0" t="n">
        <v>258654519349</v>
      </c>
      <c r="D33" s="0" t="n">
        <v>226212042770</v>
      </c>
    </row>
    <row r="34" customFormat="false" ht="15" hidden="false" customHeight="false" outlineLevel="0" collapsed="false">
      <c r="A34" s="63" t="n">
        <v>46357</v>
      </c>
      <c r="B34" s="64" t="s">
        <v>428</v>
      </c>
      <c r="C34" s="0" t="n">
        <v>397931192665</v>
      </c>
      <c r="D34" s="0" t="n">
        <v>390989228100</v>
      </c>
    </row>
    <row r="35" customFormat="false" ht="15" hidden="false" customHeight="false" outlineLevel="0" collapsed="false">
      <c r="A35" s="63" t="n">
        <v>46357</v>
      </c>
      <c r="B35" s="64" t="s">
        <v>423</v>
      </c>
      <c r="C35" s="0" t="n">
        <v>1190213406469</v>
      </c>
      <c r="D35" s="0" t="n">
        <v>1146307746472</v>
      </c>
    </row>
    <row r="36" customFormat="false" ht="15" hidden="false" customHeight="false" outlineLevel="0" collapsed="false">
      <c r="A36" s="63" t="n">
        <v>46357</v>
      </c>
      <c r="B36" s="64" t="s">
        <v>432</v>
      </c>
      <c r="C36" s="0" t="n">
        <v>24397700375</v>
      </c>
      <c r="D36" s="0" t="n">
        <v>6048735224</v>
      </c>
    </row>
    <row r="37" customFormat="false" ht="15" hidden="false" customHeight="false" outlineLevel="0" collapsed="false">
      <c r="A37" s="63" t="n">
        <v>46357</v>
      </c>
      <c r="B37" s="64" t="s">
        <v>424</v>
      </c>
      <c r="C37" s="0" t="n">
        <v>967367285922</v>
      </c>
      <c r="D37" s="0" t="n">
        <v>45145160153</v>
      </c>
    </row>
    <row r="38" customFormat="false" ht="15" hidden="false" customHeight="false" outlineLevel="0" collapsed="false">
      <c r="A38" s="63" t="n">
        <v>46357</v>
      </c>
      <c r="B38" s="64" t="s">
        <v>425</v>
      </c>
      <c r="C38" s="0" t="n">
        <v>584584649260</v>
      </c>
      <c r="D38" s="0" t="n">
        <v>535163537429</v>
      </c>
    </row>
    <row r="39" customFormat="false" ht="15" hidden="false" customHeight="false" outlineLevel="0" collapsed="false">
      <c r="A39" s="63" t="n">
        <v>46357</v>
      </c>
      <c r="B39" s="64" t="s">
        <v>427</v>
      </c>
      <c r="C39" s="0" t="n">
        <v>381895724649</v>
      </c>
      <c r="D39" s="0" t="n">
        <v>365830062884</v>
      </c>
    </row>
    <row r="40" customFormat="false" ht="15" hidden="false" customHeight="false" outlineLevel="0" collapsed="false">
      <c r="A40" s="63" t="n">
        <v>46357</v>
      </c>
      <c r="B40" s="64" t="s">
        <v>430</v>
      </c>
      <c r="C40" s="0" t="n">
        <v>114386083266</v>
      </c>
      <c r="D40" s="0" t="n">
        <v>8609986158</v>
      </c>
    </row>
    <row r="41" customFormat="false" ht="15" hidden="false" customHeight="false" outlineLevel="0" collapsed="false">
      <c r="A41" s="63" t="n">
        <v>46357</v>
      </c>
      <c r="B41" s="64" t="s">
        <v>429</v>
      </c>
      <c r="C41" s="0" t="n">
        <v>318538592177</v>
      </c>
      <c r="D41" s="0" t="n">
        <v>295532965184</v>
      </c>
    </row>
    <row r="42" customFormat="false" ht="15" hidden="false" customHeight="false" outlineLevel="0" collapsed="false">
      <c r="A42" s="63" t="n">
        <v>46388</v>
      </c>
      <c r="B42" s="64" t="s">
        <v>431</v>
      </c>
      <c r="C42" s="0" t="n">
        <v>56490183689</v>
      </c>
      <c r="D42" s="0" t="n">
        <v>17404457215</v>
      </c>
    </row>
    <row r="43" customFormat="false" ht="15" hidden="false" customHeight="false" outlineLevel="0" collapsed="false">
      <c r="A43" s="63" t="n">
        <v>46388</v>
      </c>
      <c r="B43" s="64" t="s">
        <v>426</v>
      </c>
      <c r="C43" s="0" t="n">
        <v>747703272063</v>
      </c>
      <c r="D43" s="0" t="n">
        <v>704711365801</v>
      </c>
    </row>
    <row r="44" customFormat="false" ht="15" hidden="false" customHeight="false" outlineLevel="0" collapsed="false">
      <c r="A44" s="63" t="n">
        <v>46388</v>
      </c>
      <c r="B44" s="64" t="s">
        <v>428</v>
      </c>
      <c r="C44" s="0" t="n">
        <v>519092905834</v>
      </c>
      <c r="D44" s="0" t="n">
        <v>509442659378</v>
      </c>
    </row>
    <row r="45" customFormat="false" ht="15" hidden="false" customHeight="false" outlineLevel="0" collapsed="false">
      <c r="A45" s="63" t="n">
        <v>46388</v>
      </c>
      <c r="B45" s="64" t="s">
        <v>423</v>
      </c>
      <c r="C45" s="0" t="n">
        <v>1269281089036</v>
      </c>
      <c r="D45" s="0" t="n">
        <v>1200696457243</v>
      </c>
    </row>
    <row r="46" customFormat="false" ht="15" hidden="false" customHeight="false" outlineLevel="0" collapsed="false">
      <c r="A46" s="63" t="n">
        <v>46388</v>
      </c>
      <c r="B46" s="64" t="s">
        <v>432</v>
      </c>
      <c r="C46" s="0" t="n">
        <v>54493637387</v>
      </c>
      <c r="D46" s="0" t="n">
        <v>13903510045</v>
      </c>
    </row>
    <row r="47" customFormat="false" ht="15" hidden="false" customHeight="false" outlineLevel="0" collapsed="false">
      <c r="A47" s="63" t="n">
        <v>46388</v>
      </c>
      <c r="B47" s="64" t="s">
        <v>424</v>
      </c>
      <c r="C47" s="0" t="n">
        <v>1056405073895</v>
      </c>
      <c r="D47" s="0" t="n">
        <v>81089717634</v>
      </c>
    </row>
    <row r="48" customFormat="false" ht="15" hidden="false" customHeight="false" outlineLevel="0" collapsed="false">
      <c r="A48" s="63" t="n">
        <v>46388</v>
      </c>
      <c r="B48" s="64" t="s">
        <v>425</v>
      </c>
      <c r="C48" s="0" t="n">
        <v>608905743323</v>
      </c>
      <c r="D48" s="0" t="n">
        <v>522603659235</v>
      </c>
    </row>
    <row r="49" customFormat="false" ht="15" hidden="false" customHeight="false" outlineLevel="0" collapsed="false">
      <c r="A49" s="63" t="n">
        <v>46388</v>
      </c>
      <c r="B49" s="64" t="s">
        <v>427</v>
      </c>
      <c r="C49" s="0" t="n">
        <v>713263368950</v>
      </c>
      <c r="D49" s="0" t="n">
        <v>687497030705</v>
      </c>
    </row>
    <row r="50" customFormat="false" ht="15" hidden="false" customHeight="false" outlineLevel="0" collapsed="false">
      <c r="A50" s="63" t="n">
        <v>46388</v>
      </c>
      <c r="B50" s="64" t="s">
        <v>430</v>
      </c>
      <c r="C50" s="0" t="n">
        <v>258945630947</v>
      </c>
      <c r="D50" s="0" t="n">
        <v>15437207392</v>
      </c>
    </row>
    <row r="51" customFormat="false" ht="15" hidden="false" customHeight="false" outlineLevel="0" collapsed="false">
      <c r="A51" s="63" t="n">
        <v>46388</v>
      </c>
      <c r="B51" s="64" t="s">
        <v>429</v>
      </c>
      <c r="C51" s="0" t="n">
        <v>363033389471</v>
      </c>
      <c r="D51" s="0" t="n">
        <v>330972638324</v>
      </c>
    </row>
    <row r="52" customFormat="false" ht="15" hidden="false" customHeight="false" outlineLevel="0" collapsed="false">
      <c r="A52" s="63" t="n">
        <v>46419</v>
      </c>
      <c r="B52" s="64" t="s">
        <v>431</v>
      </c>
      <c r="C52" s="0" t="n">
        <v>69144671047</v>
      </c>
      <c r="D52" s="0" t="n">
        <v>17713129692</v>
      </c>
    </row>
    <row r="53" customFormat="false" ht="15" hidden="false" customHeight="false" outlineLevel="0" collapsed="false">
      <c r="A53" s="63" t="n">
        <v>46419</v>
      </c>
      <c r="B53" s="64" t="s">
        <v>426</v>
      </c>
      <c r="C53" s="0" t="n">
        <v>1012249307593</v>
      </c>
      <c r="D53" s="0" t="n">
        <v>961487490217</v>
      </c>
    </row>
    <row r="54" customFormat="false" ht="15" hidden="false" customHeight="false" outlineLevel="0" collapsed="false">
      <c r="A54" s="63" t="n">
        <v>46419</v>
      </c>
      <c r="B54" s="64" t="s">
        <v>428</v>
      </c>
      <c r="C54" s="0" t="n">
        <v>558150223901</v>
      </c>
      <c r="D54" s="0" t="n">
        <v>544651397553</v>
      </c>
    </row>
    <row r="55" customFormat="false" ht="15" hidden="false" customHeight="false" outlineLevel="0" collapsed="false">
      <c r="A55" s="63" t="n">
        <v>46419</v>
      </c>
      <c r="B55" s="64" t="s">
        <v>423</v>
      </c>
      <c r="C55" s="0" t="n">
        <v>1147980357813</v>
      </c>
      <c r="D55" s="0" t="n">
        <v>1078197527034</v>
      </c>
    </row>
    <row r="56" customFormat="false" ht="15" hidden="false" customHeight="false" outlineLevel="0" collapsed="false">
      <c r="A56" s="63" t="n">
        <v>46419</v>
      </c>
      <c r="B56" s="64" t="s">
        <v>432</v>
      </c>
      <c r="C56" s="0" t="n">
        <v>90088401044</v>
      </c>
      <c r="D56" s="0" t="n">
        <v>48216449226</v>
      </c>
    </row>
    <row r="57" customFormat="false" ht="15" hidden="false" customHeight="false" outlineLevel="0" collapsed="false">
      <c r="A57" s="63" t="n">
        <v>46419</v>
      </c>
      <c r="B57" s="64" t="s">
        <v>424</v>
      </c>
      <c r="C57" s="0" t="n">
        <v>1080057429696</v>
      </c>
      <c r="D57" s="0" t="n">
        <v>135506216429</v>
      </c>
    </row>
    <row r="58" customFormat="false" ht="15" hidden="false" customHeight="false" outlineLevel="0" collapsed="false">
      <c r="A58" s="63" t="n">
        <v>46419</v>
      </c>
      <c r="B58" s="64" t="s">
        <v>425</v>
      </c>
      <c r="C58" s="0" t="n">
        <v>618147964253</v>
      </c>
      <c r="D58" s="0" t="n">
        <v>508916747854</v>
      </c>
    </row>
    <row r="59" customFormat="false" ht="15" hidden="false" customHeight="false" outlineLevel="0" collapsed="false">
      <c r="A59" s="63" t="n">
        <v>46419</v>
      </c>
      <c r="B59" s="64" t="s">
        <v>427</v>
      </c>
      <c r="C59" s="0" t="n">
        <v>757187502344</v>
      </c>
      <c r="D59" s="0" t="n">
        <v>710923770265</v>
      </c>
    </row>
    <row r="60" customFormat="false" ht="15" hidden="false" customHeight="false" outlineLevel="0" collapsed="false">
      <c r="A60" s="63" t="n">
        <v>46419</v>
      </c>
      <c r="B60" s="64" t="s">
        <v>430</v>
      </c>
      <c r="C60" s="0" t="n">
        <v>313403228527</v>
      </c>
      <c r="D60" s="0" t="n">
        <v>15950149942</v>
      </c>
    </row>
    <row r="61" customFormat="false" ht="15" hidden="false" customHeight="false" outlineLevel="0" collapsed="false">
      <c r="A61" s="63" t="n">
        <v>46419</v>
      </c>
      <c r="B61" s="64" t="s">
        <v>429</v>
      </c>
      <c r="C61" s="0" t="n">
        <v>393829330701</v>
      </c>
      <c r="D61" s="0" t="n">
        <v>355088501317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39B"/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9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62" t="s">
        <v>422</v>
      </c>
      <c r="B1" s="62" t="s">
        <v>434</v>
      </c>
      <c r="C1" s="62" t="s">
        <v>435</v>
      </c>
    </row>
    <row r="2" customFormat="false" ht="15" hidden="false" customHeight="false" outlineLevel="0" collapsed="false">
      <c r="A2" s="0" t="s">
        <v>423</v>
      </c>
      <c r="B2" s="0" t="n">
        <v>4213056106276</v>
      </c>
      <c r="C2" s="0" t="n">
        <v>4205334133452</v>
      </c>
    </row>
    <row r="3" customFormat="false" ht="15" hidden="false" customHeight="false" outlineLevel="0" collapsed="false">
      <c r="A3" s="0" t="s">
        <v>425</v>
      </c>
      <c r="B3" s="0" t="n">
        <v>2133572862451</v>
      </c>
      <c r="C3" s="0" t="n">
        <v>2131369987987</v>
      </c>
    </row>
    <row r="4" customFormat="false" ht="15" hidden="false" customHeight="false" outlineLevel="0" collapsed="false">
      <c r="A4" s="0" t="s">
        <v>426</v>
      </c>
      <c r="B4" s="0" t="n">
        <v>1898256000273</v>
      </c>
      <c r="C4" s="0" t="n">
        <v>1898256000273</v>
      </c>
    </row>
    <row r="5" customFormat="false" ht="15" hidden="false" customHeight="false" outlineLevel="0" collapsed="false">
      <c r="A5" s="0" t="s">
        <v>427</v>
      </c>
      <c r="B5" s="0" t="n">
        <v>1822381788355</v>
      </c>
      <c r="C5" s="0" t="n">
        <v>409438252986</v>
      </c>
    </row>
    <row r="6" customFormat="false" ht="15" hidden="false" customHeight="false" outlineLevel="0" collapsed="false">
      <c r="A6" s="0" t="s">
        <v>428</v>
      </c>
      <c r="B6" s="0" t="n">
        <v>1651157672805</v>
      </c>
      <c r="C6" s="0" t="n">
        <v>1651157672805</v>
      </c>
    </row>
    <row r="7" customFormat="false" ht="15" hidden="false" customHeight="false" outlineLevel="0" collapsed="false">
      <c r="A7" s="0" t="s">
        <v>429</v>
      </c>
      <c r="B7" s="0" t="n">
        <v>1093023355668</v>
      </c>
      <c r="C7" s="0" t="n">
        <v>1053607840538</v>
      </c>
    </row>
    <row r="8" customFormat="false" ht="15" hidden="false" customHeight="false" outlineLevel="0" collapsed="false">
      <c r="A8" s="0" t="s">
        <v>424</v>
      </c>
      <c r="B8" s="0" t="n">
        <v>285871103415</v>
      </c>
      <c r="C8" s="0" t="n">
        <v>285676569372</v>
      </c>
    </row>
    <row r="9" customFormat="false" ht="15" hidden="false" customHeight="false" outlineLevel="0" collapsed="false">
      <c r="A9" s="0" t="s">
        <v>431</v>
      </c>
      <c r="B9" s="0" t="n">
        <v>73709983955</v>
      </c>
      <c r="C9" s="0" t="n">
        <v>73709983955</v>
      </c>
    </row>
    <row r="10" customFormat="false" ht="15" hidden="false" customHeight="false" outlineLevel="0" collapsed="false">
      <c r="A10" s="0" t="s">
        <v>432</v>
      </c>
      <c r="B10" s="0" t="n">
        <v>70291048653</v>
      </c>
      <c r="C10" s="0" t="n">
        <v>64507300906</v>
      </c>
    </row>
    <row r="11" customFormat="false" ht="15" hidden="false" customHeight="false" outlineLevel="0" collapsed="false">
      <c r="A11" s="0" t="s">
        <v>430</v>
      </c>
      <c r="B11" s="0" t="n">
        <v>45303246372</v>
      </c>
      <c r="C11" s="0" t="n">
        <v>41678494522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39B"/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9"/>
  </cols>
  <sheetData>
    <row r="1" customFormat="false" ht="15" hidden="false" customHeight="false" outlineLevel="0" collapsed="false">
      <c r="A1" s="62" t="s">
        <v>436</v>
      </c>
      <c r="B1" s="62" t="s">
        <v>437</v>
      </c>
      <c r="C1" s="62" t="s">
        <v>407</v>
      </c>
      <c r="D1" s="62" t="s">
        <v>405</v>
      </c>
    </row>
    <row r="2" customFormat="false" ht="15" hidden="false" customHeight="false" outlineLevel="0" collapsed="false">
      <c r="A2" s="63" t="n">
        <v>46266</v>
      </c>
      <c r="B2" s="0" t="n">
        <v>0</v>
      </c>
      <c r="C2" s="0" t="n">
        <v>6043385361</v>
      </c>
      <c r="D2" s="0" t="n">
        <v>204</v>
      </c>
    </row>
    <row r="3" customFormat="false" ht="15" hidden="false" customHeight="false" outlineLevel="0" collapsed="false">
      <c r="A3" s="63" t="n">
        <v>46266</v>
      </c>
      <c r="B3" s="0" t="n">
        <v>1</v>
      </c>
      <c r="C3" s="0" t="n">
        <v>22503224511</v>
      </c>
      <c r="D3" s="0" t="n">
        <v>81</v>
      </c>
    </row>
    <row r="4" customFormat="false" ht="15" hidden="false" customHeight="false" outlineLevel="0" collapsed="false">
      <c r="A4" s="63" t="n">
        <v>46266</v>
      </c>
      <c r="B4" s="0" t="n">
        <v>2</v>
      </c>
      <c r="C4" s="0" t="n">
        <v>54897720141</v>
      </c>
      <c r="D4" s="0" t="n">
        <v>25</v>
      </c>
    </row>
    <row r="5" customFormat="false" ht="15" hidden="false" customHeight="false" outlineLevel="0" collapsed="false">
      <c r="A5" s="63" t="n">
        <v>46266</v>
      </c>
      <c r="B5" s="0" t="n">
        <v>3</v>
      </c>
      <c r="C5" s="0" t="n">
        <v>64652565557</v>
      </c>
      <c r="D5" s="0" t="n">
        <v>25</v>
      </c>
    </row>
    <row r="6" customFormat="false" ht="15" hidden="false" customHeight="false" outlineLevel="0" collapsed="false">
      <c r="A6" s="63" t="n">
        <v>46266</v>
      </c>
      <c r="B6" s="0" t="n">
        <v>4</v>
      </c>
      <c r="C6" s="0" t="n">
        <v>64106605072</v>
      </c>
      <c r="D6" s="0" t="n">
        <v>24</v>
      </c>
    </row>
    <row r="7" customFormat="false" ht="15" hidden="false" customHeight="false" outlineLevel="0" collapsed="false">
      <c r="A7" s="63" t="n">
        <v>46266</v>
      </c>
      <c r="B7" s="0" t="n">
        <v>5</v>
      </c>
      <c r="C7" s="0" t="n">
        <v>56850205251</v>
      </c>
      <c r="D7" s="0" t="n">
        <v>21</v>
      </c>
    </row>
    <row r="8" customFormat="false" ht="15" hidden="false" customHeight="false" outlineLevel="0" collapsed="false">
      <c r="A8" s="63" t="n">
        <v>46296</v>
      </c>
      <c r="B8" s="0" t="n">
        <v>0</v>
      </c>
      <c r="C8" s="0" t="n">
        <v>30615802457</v>
      </c>
      <c r="D8" s="0" t="n">
        <v>302</v>
      </c>
    </row>
    <row r="9" customFormat="false" ht="15" hidden="false" customHeight="false" outlineLevel="0" collapsed="false">
      <c r="A9" s="63" t="n">
        <v>46296</v>
      </c>
      <c r="B9" s="0" t="n">
        <v>1</v>
      </c>
      <c r="C9" s="0" t="n">
        <v>186589416797</v>
      </c>
      <c r="D9" s="0" t="n">
        <v>69</v>
      </c>
    </row>
    <row r="10" customFormat="false" ht="15" hidden="false" customHeight="false" outlineLevel="0" collapsed="false">
      <c r="A10" s="63" t="n">
        <v>46296</v>
      </c>
      <c r="B10" s="0" t="n">
        <v>2</v>
      </c>
      <c r="C10" s="0" t="n">
        <v>459047931948</v>
      </c>
      <c r="D10" s="0" t="n">
        <v>38</v>
      </c>
    </row>
    <row r="11" customFormat="false" ht="15" hidden="false" customHeight="false" outlineLevel="0" collapsed="false">
      <c r="A11" s="63" t="n">
        <v>46296</v>
      </c>
      <c r="B11" s="0" t="n">
        <v>3</v>
      </c>
      <c r="C11" s="0" t="n">
        <v>489555592271</v>
      </c>
      <c r="D11" s="0" t="n">
        <v>37</v>
      </c>
    </row>
    <row r="12" customFormat="false" ht="15" hidden="false" customHeight="false" outlineLevel="0" collapsed="false">
      <c r="A12" s="63" t="n">
        <v>46296</v>
      </c>
      <c r="B12" s="0" t="n">
        <v>4</v>
      </c>
      <c r="C12" s="0" t="n">
        <v>462528576633</v>
      </c>
      <c r="D12" s="0" t="n">
        <v>35</v>
      </c>
    </row>
    <row r="13" customFormat="false" ht="15" hidden="false" customHeight="false" outlineLevel="0" collapsed="false">
      <c r="A13" s="63" t="n">
        <v>46327</v>
      </c>
      <c r="B13" s="0" t="n">
        <v>0</v>
      </c>
      <c r="C13" s="0" t="n">
        <v>14361491429</v>
      </c>
      <c r="D13" s="0" t="n">
        <v>349</v>
      </c>
    </row>
    <row r="14" customFormat="false" ht="15" hidden="false" customHeight="false" outlineLevel="0" collapsed="false">
      <c r="A14" s="63" t="n">
        <v>46327</v>
      </c>
      <c r="B14" s="0" t="n">
        <v>1</v>
      </c>
      <c r="C14" s="0" t="n">
        <v>82045004882</v>
      </c>
      <c r="D14" s="0" t="n">
        <v>91</v>
      </c>
    </row>
    <row r="15" customFormat="false" ht="15" hidden="false" customHeight="false" outlineLevel="0" collapsed="false">
      <c r="A15" s="63" t="n">
        <v>46327</v>
      </c>
      <c r="B15" s="0" t="n">
        <v>2</v>
      </c>
      <c r="C15" s="0" t="n">
        <v>175019212984</v>
      </c>
      <c r="D15" s="0" t="n">
        <v>45</v>
      </c>
    </row>
    <row r="16" customFormat="false" ht="15" hidden="false" customHeight="false" outlineLevel="0" collapsed="false">
      <c r="A16" s="63" t="n">
        <v>46327</v>
      </c>
      <c r="B16" s="0" t="n">
        <v>3</v>
      </c>
      <c r="C16" s="0" t="n">
        <v>165646518221</v>
      </c>
      <c r="D16" s="0" t="n">
        <v>40</v>
      </c>
    </row>
    <row r="17" customFormat="false" ht="15" hidden="false" customHeight="false" outlineLevel="0" collapsed="false">
      <c r="A17" s="63" t="n">
        <v>46357</v>
      </c>
      <c r="B17" s="0" t="n">
        <v>0</v>
      </c>
      <c r="C17" s="0" t="n">
        <v>20311885042</v>
      </c>
      <c r="D17" s="0" t="n">
        <v>335</v>
      </c>
    </row>
    <row r="18" customFormat="false" ht="15" hidden="false" customHeight="false" outlineLevel="0" collapsed="false">
      <c r="A18" s="63" t="n">
        <v>46357</v>
      </c>
      <c r="B18" s="0" t="n">
        <v>1</v>
      </c>
      <c r="C18" s="0" t="n">
        <v>98531218923</v>
      </c>
      <c r="D18" s="0" t="n">
        <v>77</v>
      </c>
    </row>
    <row r="19" customFormat="false" ht="15" hidden="false" customHeight="false" outlineLevel="0" collapsed="false">
      <c r="A19" s="63" t="n">
        <v>46357</v>
      </c>
      <c r="B19" s="0" t="n">
        <v>2</v>
      </c>
      <c r="C19" s="0" t="n">
        <v>164716344858</v>
      </c>
      <c r="D19" s="0" t="n">
        <v>39</v>
      </c>
    </row>
    <row r="20" customFormat="false" ht="15" hidden="false" customHeight="false" outlineLevel="0" collapsed="false">
      <c r="A20" s="63" t="n">
        <v>46388</v>
      </c>
      <c r="B20" s="0" t="n">
        <v>0</v>
      </c>
      <c r="C20" s="0" t="n">
        <v>44049290207</v>
      </c>
      <c r="D20" s="0" t="n">
        <v>385</v>
      </c>
    </row>
    <row r="21" customFormat="false" ht="15" hidden="false" customHeight="false" outlineLevel="0" collapsed="false">
      <c r="A21" s="63" t="n">
        <v>46388</v>
      </c>
      <c r="B21" s="0" t="n">
        <v>1</v>
      </c>
      <c r="C21" s="0" t="n">
        <v>172415587510</v>
      </c>
      <c r="D21" s="0" t="n">
        <v>95</v>
      </c>
    </row>
    <row r="22" customFormat="false" ht="15" hidden="false" customHeight="false" outlineLevel="0" collapsed="false">
      <c r="A22" s="63" t="n">
        <v>46419</v>
      </c>
      <c r="B22" s="0" t="n">
        <v>0</v>
      </c>
      <c r="C22" s="0" t="n">
        <v>31720125892</v>
      </c>
      <c r="D22" s="0" t="n">
        <v>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39B"/>
    <pageSetUpPr fitToPage="false"/>
  </sheetPr>
  <dimension ref="A1:B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9"/>
  </cols>
  <sheetData>
    <row r="1" customFormat="false" ht="15" hidden="false" customHeight="false" outlineLevel="0" collapsed="false">
      <c r="A1" s="62" t="s">
        <v>400</v>
      </c>
      <c r="B1" s="62" t="s">
        <v>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39B"/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4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62" t="s">
        <v>436</v>
      </c>
      <c r="B1" s="62" t="s">
        <v>438</v>
      </c>
      <c r="C1" s="62" t="s">
        <v>439</v>
      </c>
      <c r="D1" s="62" t="s">
        <v>440</v>
      </c>
    </row>
    <row r="2" customFormat="false" ht="15" hidden="false" customHeight="false" outlineLevel="0" collapsed="false">
      <c r="A2" s="63" t="n">
        <v>46266</v>
      </c>
      <c r="B2" s="0" t="n">
        <v>204</v>
      </c>
      <c r="C2" s="0" t="n">
        <v>26</v>
      </c>
      <c r="D2" s="0" t="n">
        <v>204</v>
      </c>
    </row>
    <row r="3" customFormat="false" ht="15" hidden="false" customHeight="false" outlineLevel="0" collapsed="false">
      <c r="A3" s="63" t="n">
        <v>46296</v>
      </c>
      <c r="B3" s="0" t="n">
        <v>302</v>
      </c>
      <c r="C3" s="0" t="n">
        <v>41</v>
      </c>
      <c r="D3" s="0" t="n">
        <v>302</v>
      </c>
    </row>
    <row r="4" customFormat="false" ht="15" hidden="false" customHeight="false" outlineLevel="0" collapsed="false">
      <c r="A4" s="63" t="n">
        <v>46327</v>
      </c>
      <c r="B4" s="0" t="n">
        <v>349</v>
      </c>
      <c r="C4" s="0" t="n">
        <v>45</v>
      </c>
      <c r="D4" s="0" t="n">
        <v>349</v>
      </c>
    </row>
    <row r="5" customFormat="false" ht="15" hidden="false" customHeight="false" outlineLevel="0" collapsed="false">
      <c r="A5" s="63" t="n">
        <v>46357</v>
      </c>
      <c r="B5" s="0" t="n">
        <v>335</v>
      </c>
      <c r="C5" s="0" t="n">
        <v>41</v>
      </c>
      <c r="D5" s="0" t="n">
        <v>335</v>
      </c>
    </row>
    <row r="6" customFormat="false" ht="15" hidden="false" customHeight="false" outlineLevel="0" collapsed="false">
      <c r="A6" s="63" t="n">
        <v>46388</v>
      </c>
      <c r="B6" s="0" t="n">
        <v>385</v>
      </c>
      <c r="C6" s="0" t="n">
        <v>53</v>
      </c>
      <c r="D6" s="0" t="n">
        <v>385</v>
      </c>
    </row>
    <row r="7" customFormat="false" ht="15" hidden="false" customHeight="false" outlineLevel="0" collapsed="false">
      <c r="A7" s="63" t="n">
        <v>46419</v>
      </c>
      <c r="B7" s="0" t="n">
        <v>441</v>
      </c>
      <c r="C7" s="0" t="n">
        <v>66</v>
      </c>
      <c r="D7" s="0" t="n">
        <v>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39B"/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23"/>
    <col collapsed="false" customWidth="true" hidden="false" outlineLevel="0" max="7" min="7" style="0" width="16"/>
    <col collapsed="false" customWidth="true" hidden="false" outlineLevel="0" max="8" min="8" style="0" width="22"/>
  </cols>
  <sheetData>
    <row r="1" customFormat="false" ht="15" hidden="false" customHeight="false" outlineLevel="0" collapsed="false">
      <c r="A1" s="62" t="s">
        <v>441</v>
      </c>
      <c r="B1" s="62" t="s">
        <v>442</v>
      </c>
      <c r="C1" s="62" t="s">
        <v>443</v>
      </c>
      <c r="D1" s="62" t="s">
        <v>444</v>
      </c>
      <c r="E1" s="62" t="s">
        <v>445</v>
      </c>
      <c r="F1" s="62" t="s">
        <v>446</v>
      </c>
      <c r="G1" s="62" t="s">
        <v>447</v>
      </c>
      <c r="H1" s="62" t="s">
        <v>448</v>
      </c>
    </row>
    <row r="2" customFormat="false" ht="15" hidden="false" customHeight="false" outlineLevel="0" collapsed="false">
      <c r="A2" s="0" t="s">
        <v>449</v>
      </c>
      <c r="B2" s="0" t="s">
        <v>450</v>
      </c>
      <c r="C2" s="63" t="n">
        <v>46296</v>
      </c>
      <c r="E2" s="0" t="n">
        <v>30000</v>
      </c>
      <c r="F2" s="0" t="n">
        <v>0.0357</v>
      </c>
      <c r="G2" s="0" t="n">
        <v>0.15</v>
      </c>
      <c r="H2" s="0" t="n">
        <v>42.4399270722857</v>
      </c>
    </row>
    <row r="3" customFormat="false" ht="15" hidden="false" customHeight="false" outlineLevel="0" collapsed="false">
      <c r="A3" s="0" t="s">
        <v>451</v>
      </c>
      <c r="B3" s="0" t="s">
        <v>452</v>
      </c>
      <c r="C3" s="63" t="n">
        <v>46310</v>
      </c>
      <c r="E3" s="0" t="n">
        <v>40000</v>
      </c>
      <c r="F3" s="0" t="n">
        <v>0.0336</v>
      </c>
      <c r="G3" s="0" t="n">
        <v>0.2</v>
      </c>
      <c r="H3" s="0" t="n">
        <v>46.5364760164286</v>
      </c>
    </row>
    <row r="4" customFormat="false" ht="15" hidden="false" customHeight="false" outlineLevel="0" collapsed="false">
      <c r="A4" s="0" t="s">
        <v>453</v>
      </c>
      <c r="B4" s="0" t="s">
        <v>454</v>
      </c>
      <c r="C4" s="63" t="n">
        <v>46327</v>
      </c>
      <c r="E4" s="0" t="n">
        <v>20000</v>
      </c>
      <c r="F4" s="0" t="n">
        <v>0.0357</v>
      </c>
      <c r="G4" s="0" t="n">
        <v>0.15</v>
      </c>
      <c r="H4" s="0" t="n">
        <v>9.38668000671428</v>
      </c>
    </row>
    <row r="5" customFormat="false" ht="15" hidden="false" customHeight="false" outlineLevel="0" collapsed="false">
      <c r="A5" s="0" t="s">
        <v>455</v>
      </c>
      <c r="B5" s="0" t="s">
        <v>456</v>
      </c>
      <c r="C5" s="63" t="n">
        <v>46341</v>
      </c>
      <c r="E5" s="0" t="n">
        <v>15000</v>
      </c>
      <c r="F5" s="0" t="n">
        <v>0.0378</v>
      </c>
      <c r="G5" s="0" t="n">
        <v>0.1</v>
      </c>
      <c r="H5" s="0" t="n">
        <v>14.4382873527143</v>
      </c>
    </row>
    <row r="6" customFormat="false" ht="15" hidden="false" customHeight="false" outlineLevel="0" collapsed="false">
      <c r="A6" s="0" t="s">
        <v>457</v>
      </c>
      <c r="B6" s="0" t="s">
        <v>458</v>
      </c>
      <c r="C6" s="63" t="n">
        <v>46357</v>
      </c>
      <c r="E6" s="0" t="n">
        <v>25000</v>
      </c>
      <c r="F6" s="0" t="n">
        <v>0.0357</v>
      </c>
      <c r="G6" s="0" t="n">
        <v>0.15</v>
      </c>
      <c r="H6" s="0" t="n">
        <v>29.1177795127143</v>
      </c>
    </row>
    <row r="7" customFormat="false" ht="15" hidden="false" customHeight="false" outlineLevel="0" collapsed="false">
      <c r="A7" s="0" t="s">
        <v>459</v>
      </c>
      <c r="B7" s="0" t="s">
        <v>460</v>
      </c>
      <c r="C7" s="63" t="n">
        <v>46371</v>
      </c>
      <c r="E7" s="0" t="n">
        <v>12500</v>
      </c>
      <c r="F7" s="0" t="n">
        <v>0.0336</v>
      </c>
      <c r="G7" s="0" t="n">
        <v>0.2</v>
      </c>
      <c r="H7" s="0" t="n">
        <v>9.01423107928572</v>
      </c>
    </row>
    <row r="8" customFormat="false" ht="15" hidden="false" customHeight="false" outlineLevel="0" collapsed="false">
      <c r="A8" s="0" t="s">
        <v>461</v>
      </c>
      <c r="B8" s="0" t="s">
        <v>462</v>
      </c>
      <c r="C8" s="63" t="n">
        <v>46388</v>
      </c>
      <c r="E8" s="0" t="n">
        <v>17500</v>
      </c>
      <c r="F8" s="0" t="n">
        <v>0.0357</v>
      </c>
      <c r="G8" s="0" t="n">
        <v>0.15</v>
      </c>
      <c r="H8" s="0" t="n">
        <v>15.1179825288571</v>
      </c>
    </row>
    <row r="9" customFormat="false" ht="15" hidden="false" customHeight="false" outlineLevel="0" collapsed="false">
      <c r="A9" s="0" t="s">
        <v>463</v>
      </c>
      <c r="B9" s="0" t="s">
        <v>464</v>
      </c>
      <c r="C9" s="63" t="n">
        <v>46419</v>
      </c>
      <c r="E9" s="0" t="n">
        <v>10000</v>
      </c>
      <c r="F9" s="0" t="n">
        <v>0.0378</v>
      </c>
      <c r="G9" s="0" t="n">
        <v>0.1</v>
      </c>
      <c r="H9" s="0" t="n">
        <v>3.32406482014286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39B"/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9"/>
    <col collapsed="false" customWidth="true" hidden="false" outlineLevel="0" max="4" min="4" style="0" width="17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62" t="s">
        <v>441</v>
      </c>
      <c r="B1" s="62" t="s">
        <v>400</v>
      </c>
      <c r="C1" s="62" t="s">
        <v>407</v>
      </c>
      <c r="D1" s="62" t="s">
        <v>410</v>
      </c>
      <c r="E1" s="62" t="s">
        <v>465</v>
      </c>
      <c r="F1" s="62" t="s">
        <v>411</v>
      </c>
    </row>
    <row r="2" customFormat="false" ht="15" hidden="false" customHeight="false" outlineLevel="0" collapsed="false">
      <c r="A2" s="0" t="s">
        <v>463</v>
      </c>
      <c r="B2" s="63" t="n">
        <v>46419</v>
      </c>
      <c r="C2" s="0" t="n">
        <v>59202503240</v>
      </c>
      <c r="D2" s="0" t="n">
        <v>2237.854622472</v>
      </c>
      <c r="E2" s="0" t="n">
        <v>10000</v>
      </c>
      <c r="F2" s="0" t="n">
        <v>7762.145377528</v>
      </c>
    </row>
    <row r="3" customFormat="false" ht="15" hidden="false" customHeight="false" outlineLevel="0" collapsed="false">
      <c r="A3" s="0" t="s">
        <v>457</v>
      </c>
      <c r="B3" s="63" t="n">
        <v>46357</v>
      </c>
      <c r="C3" s="0" t="n">
        <v>302959864865</v>
      </c>
      <c r="D3" s="0" t="n">
        <v>10815.6671756805</v>
      </c>
      <c r="E3" s="0" t="n">
        <v>25000</v>
      </c>
      <c r="F3" s="0" t="n">
        <v>14184.3328243195</v>
      </c>
    </row>
    <row r="4" customFormat="false" ht="15" hidden="false" customHeight="false" outlineLevel="0" collapsed="false">
      <c r="A4" s="0" t="s">
        <v>457</v>
      </c>
      <c r="B4" s="63" t="n">
        <v>46388</v>
      </c>
      <c r="C4" s="0" t="n">
        <v>738146891976</v>
      </c>
      <c r="D4" s="0" t="n">
        <v>26351.8440435432</v>
      </c>
      <c r="E4" s="0" t="n">
        <v>25000</v>
      </c>
      <c r="F4" s="0" t="n">
        <v>0</v>
      </c>
    </row>
    <row r="5" customFormat="false" ht="15" hidden="false" customHeight="false" outlineLevel="0" collapsed="false">
      <c r="A5" s="0" t="s">
        <v>457</v>
      </c>
      <c r="B5" s="63" t="n">
        <v>46419</v>
      </c>
      <c r="C5" s="0" t="n">
        <v>842421950314</v>
      </c>
      <c r="D5" s="0" t="n">
        <v>30074.4636262098</v>
      </c>
      <c r="E5" s="0" t="n">
        <v>25000</v>
      </c>
      <c r="F5" s="0" t="n">
        <v>0</v>
      </c>
    </row>
    <row r="6" customFormat="false" ht="15" hidden="false" customHeight="false" outlineLevel="0" collapsed="false">
      <c r="A6" s="0" t="s">
        <v>455</v>
      </c>
      <c r="B6" s="63" t="n">
        <v>46327</v>
      </c>
      <c r="C6" s="0" t="n">
        <v>47389834477</v>
      </c>
      <c r="D6" s="0" t="n">
        <v>1791.3357432306</v>
      </c>
      <c r="E6" s="0" t="n">
        <v>8000</v>
      </c>
      <c r="F6" s="0" t="n">
        <v>6208.6642567694</v>
      </c>
    </row>
    <row r="7" customFormat="false" ht="15" hidden="false" customHeight="false" outlineLevel="0" collapsed="false">
      <c r="A7" s="0" t="s">
        <v>455</v>
      </c>
      <c r="B7" s="63" t="n">
        <v>46357</v>
      </c>
      <c r="C7" s="0" t="n">
        <v>257451934052</v>
      </c>
      <c r="D7" s="0" t="n">
        <v>9731.6831071656</v>
      </c>
      <c r="E7" s="0" t="n">
        <v>15000</v>
      </c>
      <c r="F7" s="0" t="n">
        <v>5268.3168928344</v>
      </c>
    </row>
    <row r="8" customFormat="false" ht="15" hidden="false" customHeight="false" outlineLevel="0" collapsed="false">
      <c r="A8" s="0" t="s">
        <v>455</v>
      </c>
      <c r="B8" s="63" t="n">
        <v>46388</v>
      </c>
      <c r="C8" s="0" t="n">
        <v>429193982370</v>
      </c>
      <c r="D8" s="0" t="n">
        <v>16223.532533586</v>
      </c>
      <c r="E8" s="0" t="n">
        <v>15000</v>
      </c>
      <c r="F8" s="0" t="n">
        <v>0</v>
      </c>
    </row>
    <row r="9" customFormat="false" ht="15" hidden="false" customHeight="false" outlineLevel="0" collapsed="false">
      <c r="A9" s="0" t="s">
        <v>455</v>
      </c>
      <c r="B9" s="63" t="n">
        <v>46419</v>
      </c>
      <c r="C9" s="0" t="n">
        <v>412032870240</v>
      </c>
      <c r="D9" s="0" t="n">
        <v>15574.842495072</v>
      </c>
      <c r="E9" s="0" t="n">
        <v>15000</v>
      </c>
      <c r="F9" s="0" t="n">
        <v>0</v>
      </c>
    </row>
    <row r="10" customFormat="false" ht="15" hidden="false" customHeight="false" outlineLevel="0" collapsed="false">
      <c r="A10" s="0" t="s">
        <v>451</v>
      </c>
      <c r="B10" s="63" t="n">
        <v>46296</v>
      </c>
      <c r="C10" s="0" t="n">
        <v>164817422840</v>
      </c>
      <c r="D10" s="0" t="n">
        <v>5537.865407424</v>
      </c>
      <c r="E10" s="0" t="n">
        <v>21935.4838709677</v>
      </c>
      <c r="F10" s="0" t="n">
        <v>16397.6184635437</v>
      </c>
    </row>
    <row r="11" customFormat="false" ht="15" hidden="false" customHeight="false" outlineLevel="0" collapsed="false">
      <c r="A11" s="0" t="s">
        <v>451</v>
      </c>
      <c r="B11" s="63" t="n">
        <v>46327</v>
      </c>
      <c r="C11" s="0" t="n">
        <v>776167012238</v>
      </c>
      <c r="D11" s="0" t="n">
        <v>26079.2116111968</v>
      </c>
      <c r="E11" s="0" t="n">
        <v>40000</v>
      </c>
      <c r="F11" s="0" t="n">
        <v>13920.7883888032</v>
      </c>
    </row>
    <row r="12" customFormat="false" ht="15" hidden="false" customHeight="false" outlineLevel="0" collapsed="false">
      <c r="A12" s="0" t="s">
        <v>451</v>
      </c>
      <c r="B12" s="63" t="n">
        <v>46357</v>
      </c>
      <c r="C12" s="0" t="n">
        <v>1373020843551</v>
      </c>
      <c r="D12" s="0" t="n">
        <v>46133.5003433136</v>
      </c>
      <c r="E12" s="0" t="n">
        <v>40000</v>
      </c>
      <c r="F12" s="0" t="n">
        <v>0</v>
      </c>
    </row>
    <row r="13" customFormat="false" ht="15" hidden="false" customHeight="false" outlineLevel="0" collapsed="false">
      <c r="A13" s="0" t="s">
        <v>451</v>
      </c>
      <c r="B13" s="63" t="n">
        <v>46388</v>
      </c>
      <c r="C13" s="0" t="n">
        <v>1416906417593</v>
      </c>
      <c r="D13" s="0" t="n">
        <v>47608.0556311248</v>
      </c>
      <c r="E13" s="0" t="n">
        <v>40000</v>
      </c>
      <c r="F13" s="0" t="n">
        <v>0</v>
      </c>
    </row>
    <row r="14" customFormat="false" ht="15" hidden="false" customHeight="false" outlineLevel="0" collapsed="false">
      <c r="A14" s="0" t="s">
        <v>451</v>
      </c>
      <c r="B14" s="63" t="n">
        <v>46419</v>
      </c>
      <c r="C14" s="0" t="n">
        <v>1273059820601</v>
      </c>
      <c r="D14" s="0" t="n">
        <v>42774.8099721936</v>
      </c>
      <c r="E14" s="0" t="n">
        <v>40000</v>
      </c>
      <c r="F14" s="0" t="n">
        <v>0</v>
      </c>
    </row>
    <row r="15" customFormat="false" ht="15" hidden="false" customHeight="false" outlineLevel="0" collapsed="false">
      <c r="A15" s="0" t="s">
        <v>459</v>
      </c>
      <c r="B15" s="63" t="n">
        <v>46357</v>
      </c>
      <c r="C15" s="0" t="n">
        <v>36962998312</v>
      </c>
      <c r="D15" s="0" t="n">
        <v>1241.9567432832</v>
      </c>
      <c r="E15" s="0" t="n">
        <v>6854.83870967742</v>
      </c>
      <c r="F15" s="0" t="n">
        <v>5612.88196639422</v>
      </c>
    </row>
    <row r="16" customFormat="false" ht="15" hidden="false" customHeight="false" outlineLevel="0" collapsed="false">
      <c r="A16" s="0" t="s">
        <v>459</v>
      </c>
      <c r="B16" s="63" t="n">
        <v>46388</v>
      </c>
      <c r="C16" s="0" t="n">
        <v>173651079615</v>
      </c>
      <c r="D16" s="0" t="n">
        <v>5834.676275064</v>
      </c>
      <c r="E16" s="0" t="n">
        <v>12500</v>
      </c>
      <c r="F16" s="0" t="n">
        <v>6665.323724936</v>
      </c>
    </row>
    <row r="17" customFormat="false" ht="15" hidden="false" customHeight="false" outlineLevel="0" collapsed="false">
      <c r="A17" s="0" t="s">
        <v>459</v>
      </c>
      <c r="B17" s="63" t="n">
        <v>46419</v>
      </c>
      <c r="C17" s="0" t="n">
        <v>258193536809</v>
      </c>
      <c r="D17" s="0" t="n">
        <v>8675.3028367824</v>
      </c>
      <c r="E17" s="0" t="n">
        <v>12500</v>
      </c>
      <c r="F17" s="0" t="n">
        <v>3824.6971632176</v>
      </c>
    </row>
    <row r="18" customFormat="false" ht="15" hidden="false" customHeight="false" outlineLevel="0" collapsed="false">
      <c r="A18" s="0" t="s">
        <v>453</v>
      </c>
      <c r="B18" s="63" t="n">
        <v>46327</v>
      </c>
      <c r="C18" s="0" t="n">
        <v>84489274273</v>
      </c>
      <c r="D18" s="0" t="n">
        <v>3016.2670915461</v>
      </c>
      <c r="E18" s="0" t="n">
        <v>20000</v>
      </c>
      <c r="F18" s="0" t="n">
        <v>16983.7329084539</v>
      </c>
    </row>
    <row r="19" customFormat="false" ht="15" hidden="false" customHeight="false" outlineLevel="0" collapsed="false">
      <c r="A19" s="0" t="s">
        <v>453</v>
      </c>
      <c r="B19" s="63" t="n">
        <v>46357</v>
      </c>
      <c r="C19" s="0" t="n">
        <v>217854004262</v>
      </c>
      <c r="D19" s="0" t="n">
        <v>7777.3879521534</v>
      </c>
      <c r="E19" s="0" t="n">
        <v>20000</v>
      </c>
      <c r="F19" s="0" t="n">
        <v>12222.6120478466</v>
      </c>
    </row>
    <row r="20" customFormat="false" ht="15" hidden="false" customHeight="false" outlineLevel="0" collapsed="false">
      <c r="A20" s="0" t="s">
        <v>453</v>
      </c>
      <c r="B20" s="63" t="n">
        <v>46388</v>
      </c>
      <c r="C20" s="0" t="n">
        <v>269580472505</v>
      </c>
      <c r="D20" s="0" t="n">
        <v>9624.0228684285</v>
      </c>
      <c r="E20" s="0" t="n">
        <v>20000</v>
      </c>
      <c r="F20" s="0" t="n">
        <v>10375.9771315715</v>
      </c>
    </row>
    <row r="21" customFormat="false" ht="15" hidden="false" customHeight="false" outlineLevel="0" collapsed="false">
      <c r="A21" s="0" t="s">
        <v>453</v>
      </c>
      <c r="B21" s="63" t="n">
        <v>46419</v>
      </c>
      <c r="C21" s="0" t="n">
        <v>255256602534</v>
      </c>
      <c r="D21" s="0" t="n">
        <v>9112.6607104638</v>
      </c>
      <c r="E21" s="0" t="n">
        <v>20000</v>
      </c>
      <c r="F21" s="0" t="n">
        <v>10887.3392895362</v>
      </c>
    </row>
    <row r="22" customFormat="false" ht="15" hidden="false" customHeight="false" outlineLevel="0" collapsed="false">
      <c r="A22" s="0" t="s">
        <v>449</v>
      </c>
      <c r="B22" s="63" t="n">
        <v>46296</v>
      </c>
      <c r="C22" s="0" t="n">
        <v>419555356439</v>
      </c>
      <c r="D22" s="0" t="n">
        <v>14978.1262248723</v>
      </c>
      <c r="E22" s="0" t="n">
        <v>30000</v>
      </c>
      <c r="F22" s="0" t="n">
        <v>15021.8737751277</v>
      </c>
    </row>
    <row r="23" customFormat="false" ht="15" hidden="false" customHeight="false" outlineLevel="0" collapsed="false">
      <c r="A23" s="0" t="s">
        <v>449</v>
      </c>
      <c r="B23" s="63" t="n">
        <v>46327</v>
      </c>
      <c r="C23" s="0" t="n">
        <v>978072589622</v>
      </c>
      <c r="D23" s="0" t="n">
        <v>34917.1914495054</v>
      </c>
      <c r="E23" s="0" t="n">
        <v>30000</v>
      </c>
      <c r="F23" s="0" t="n">
        <v>0</v>
      </c>
    </row>
    <row r="24" customFormat="false" ht="15" hidden="false" customHeight="false" outlineLevel="0" collapsed="false">
      <c r="A24" s="0" t="s">
        <v>449</v>
      </c>
      <c r="B24" s="63" t="n">
        <v>46357</v>
      </c>
      <c r="C24" s="0" t="n">
        <v>1311004555366</v>
      </c>
      <c r="D24" s="0" t="n">
        <v>46802.8626265662</v>
      </c>
      <c r="E24" s="0" t="n">
        <v>30000</v>
      </c>
      <c r="F24" s="0" t="n">
        <v>0</v>
      </c>
    </row>
    <row r="25" customFormat="false" ht="15" hidden="false" customHeight="false" outlineLevel="0" collapsed="false">
      <c r="A25" s="0" t="s">
        <v>449</v>
      </c>
      <c r="B25" s="63" t="n">
        <v>46388</v>
      </c>
      <c r="C25" s="0" t="n">
        <v>1267622630581</v>
      </c>
      <c r="D25" s="0" t="n">
        <v>45254.1279117417</v>
      </c>
      <c r="E25" s="0" t="n">
        <v>30000</v>
      </c>
      <c r="F25" s="0" t="n">
        <v>0</v>
      </c>
    </row>
    <row r="26" customFormat="false" ht="15" hidden="false" customHeight="false" outlineLevel="0" collapsed="false">
      <c r="A26" s="0" t="s">
        <v>449</v>
      </c>
      <c r="B26" s="63" t="n">
        <v>46419</v>
      </c>
      <c r="C26" s="0" t="n">
        <v>1167828264172</v>
      </c>
      <c r="D26" s="0" t="n">
        <v>41691.4690309404</v>
      </c>
      <c r="E26" s="0" t="n">
        <v>30000</v>
      </c>
      <c r="F26" s="0" t="n">
        <v>0</v>
      </c>
    </row>
    <row r="27" customFormat="false" ht="15" hidden="false" customHeight="false" outlineLevel="0" collapsed="false">
      <c r="A27" s="0" t="s">
        <v>461</v>
      </c>
      <c r="B27" s="63" t="n">
        <v>46388</v>
      </c>
      <c r="C27" s="0" t="n">
        <v>166507147629</v>
      </c>
      <c r="D27" s="0" t="n">
        <v>5944.3051703553</v>
      </c>
      <c r="E27" s="0" t="n">
        <v>17500</v>
      </c>
      <c r="F27" s="0" t="n">
        <v>11555.6948296447</v>
      </c>
    </row>
    <row r="28" customFormat="false" ht="15" hidden="false" customHeight="false" outlineLevel="0" collapsed="false">
      <c r="A28" s="0" t="s">
        <v>461</v>
      </c>
      <c r="B28" s="63" t="n">
        <v>46419</v>
      </c>
      <c r="C28" s="0" t="n">
        <v>347846601827</v>
      </c>
      <c r="D28" s="0" t="n">
        <v>12418.1236852239</v>
      </c>
      <c r="E28" s="0" t="n">
        <v>17500</v>
      </c>
      <c r="F28" s="0" t="n">
        <v>5081.8763147761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39B"/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5"/>
    <col collapsed="false" customWidth="true" hidden="false" outlineLevel="0" max="5" min="5" style="0" width="31"/>
    <col collapsed="false" customWidth="true" hidden="false" outlineLevel="0" max="6" min="6" style="0" width="18"/>
    <col collapsed="false" customWidth="true" hidden="false" outlineLevel="0" max="7" min="7" style="0" width="25"/>
    <col collapsed="false" customWidth="true" hidden="false" outlineLevel="0" max="8" min="8" style="0" width="13"/>
  </cols>
  <sheetData>
    <row r="1" customFormat="false" ht="15" hidden="false" customHeight="false" outlineLevel="0" collapsed="false">
      <c r="A1" s="62" t="s">
        <v>466</v>
      </c>
      <c r="B1" s="62" t="s">
        <v>441</v>
      </c>
      <c r="C1" s="62" t="s">
        <v>467</v>
      </c>
      <c r="D1" s="62" t="s">
        <v>468</v>
      </c>
      <c r="E1" s="62" t="s">
        <v>469</v>
      </c>
      <c r="F1" s="62" t="s">
        <v>470</v>
      </c>
      <c r="G1" s="62" t="s">
        <v>471</v>
      </c>
      <c r="H1" s="62" t="s">
        <v>472</v>
      </c>
    </row>
    <row r="2" customFormat="false" ht="15" hidden="false" customHeight="false" outlineLevel="0" collapsed="false">
      <c r="A2" s="0" t="s">
        <v>473</v>
      </c>
      <c r="B2" s="0" t="s">
        <v>474</v>
      </c>
      <c r="C2" s="0" t="s">
        <v>475</v>
      </c>
      <c r="D2" s="0" t="n">
        <v>0.7</v>
      </c>
      <c r="E2" s="0" t="n">
        <v>22500</v>
      </c>
      <c r="F2" s="63" t="n">
        <v>46461</v>
      </c>
      <c r="G2" s="0" t="n">
        <v>0.15</v>
      </c>
      <c r="H2" s="64" t="s">
        <v>428</v>
      </c>
    </row>
    <row r="3" customFormat="false" ht="15" hidden="false" customHeight="false" outlineLevel="0" collapsed="false">
      <c r="A3" s="0" t="s">
        <v>476</v>
      </c>
      <c r="B3" s="0" t="s">
        <v>477</v>
      </c>
      <c r="C3" s="0" t="s">
        <v>478</v>
      </c>
      <c r="D3" s="0" t="n">
        <v>0.5</v>
      </c>
      <c r="E3" s="0" t="n">
        <v>15000</v>
      </c>
      <c r="F3" s="63" t="n">
        <v>46478</v>
      </c>
      <c r="G3" s="0" t="n">
        <v>0.15</v>
      </c>
      <c r="H3" s="64" t="s">
        <v>479</v>
      </c>
    </row>
    <row r="4" customFormat="false" ht="15" hidden="false" customHeight="false" outlineLevel="0" collapsed="false">
      <c r="A4" s="0" t="s">
        <v>480</v>
      </c>
      <c r="B4" s="0" t="s">
        <v>481</v>
      </c>
      <c r="C4" s="0" t="s">
        <v>482</v>
      </c>
      <c r="D4" s="0" t="n">
        <v>0.3</v>
      </c>
      <c r="E4" s="0" t="n">
        <v>12500</v>
      </c>
      <c r="F4" s="63" t="n">
        <v>46492</v>
      </c>
      <c r="G4" s="0" t="n">
        <v>0.15</v>
      </c>
      <c r="H4" s="64" t="s">
        <v>429</v>
      </c>
    </row>
    <row r="5" customFormat="false" ht="15" hidden="false" customHeight="false" outlineLevel="0" collapsed="false">
      <c r="A5" s="0" t="s">
        <v>483</v>
      </c>
      <c r="B5" s="0" t="s">
        <v>484</v>
      </c>
      <c r="C5" s="0" t="s">
        <v>482</v>
      </c>
      <c r="D5" s="0" t="n">
        <v>0.25</v>
      </c>
      <c r="E5" s="0" t="n">
        <v>45000</v>
      </c>
      <c r="F5" s="63" t="n">
        <v>46508</v>
      </c>
      <c r="G5" s="0" t="n">
        <v>0.15</v>
      </c>
      <c r="H5" s="64" t="s">
        <v>423</v>
      </c>
    </row>
    <row r="6" customFormat="false" ht="15" hidden="false" customHeight="false" outlineLevel="0" collapsed="false">
      <c r="A6" s="0" t="s">
        <v>485</v>
      </c>
      <c r="B6" s="0" t="s">
        <v>486</v>
      </c>
      <c r="C6" s="0" t="s">
        <v>487</v>
      </c>
      <c r="D6" s="0" t="n">
        <v>0.1</v>
      </c>
      <c r="E6" s="0" t="n">
        <v>7500</v>
      </c>
      <c r="F6" s="63" t="n">
        <v>46522</v>
      </c>
      <c r="G6" s="0" t="n">
        <v>0.15</v>
      </c>
      <c r="H6" s="64" t="s">
        <v>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39B"/>
    <pageSetUpPr fitToPage="false"/>
  </sheetPr>
  <dimension ref="A1:H6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19"/>
    <col collapsed="false" customWidth="true" hidden="false" outlineLevel="0" max="7" min="7" style="0" width="15"/>
    <col collapsed="false" customWidth="true" hidden="false" outlineLevel="0" max="8" min="8" style="0" width="20"/>
  </cols>
  <sheetData>
    <row r="1" customFormat="false" ht="15" hidden="false" customHeight="false" outlineLevel="0" collapsed="false">
      <c r="A1" s="62" t="s">
        <v>488</v>
      </c>
      <c r="B1" s="62" t="s">
        <v>442</v>
      </c>
      <c r="C1" s="62" t="s">
        <v>489</v>
      </c>
      <c r="D1" s="62" t="s">
        <v>403</v>
      </c>
      <c r="E1" s="62" t="s">
        <v>404</v>
      </c>
      <c r="F1" s="62" t="s">
        <v>407</v>
      </c>
      <c r="G1" s="62" t="s">
        <v>412</v>
      </c>
      <c r="H1" s="62" t="s">
        <v>490</v>
      </c>
    </row>
    <row r="2" customFormat="false" ht="15" hidden="false" customHeight="false" outlineLevel="0" collapsed="false">
      <c r="A2" s="0" t="n">
        <v>1</v>
      </c>
      <c r="B2" s="0" t="s">
        <v>452</v>
      </c>
      <c r="C2" s="0" t="s">
        <v>451</v>
      </c>
      <c r="D2" s="0" t="s">
        <v>420</v>
      </c>
      <c r="E2" s="0" t="s">
        <v>418</v>
      </c>
      <c r="F2" s="0" t="n">
        <v>1273059820601</v>
      </c>
      <c r="G2" s="0" t="n">
        <v>42774.8099721936</v>
      </c>
      <c r="H2" s="0" t="n">
        <v>0.172684381132753</v>
      </c>
    </row>
    <row r="3" customFormat="false" ht="15" hidden="false" customHeight="false" outlineLevel="0" collapsed="false">
      <c r="A3" s="0" t="n">
        <v>2</v>
      </c>
      <c r="B3" s="0" t="s">
        <v>450</v>
      </c>
      <c r="C3" s="0" t="s">
        <v>449</v>
      </c>
      <c r="D3" s="0" t="s">
        <v>420</v>
      </c>
      <c r="E3" s="0" t="s">
        <v>418</v>
      </c>
      <c r="F3" s="0" t="n">
        <v>1167828264172</v>
      </c>
      <c r="G3" s="0" t="n">
        <v>41691.4690309404</v>
      </c>
      <c r="H3" s="0" t="n">
        <v>0.168310871113242</v>
      </c>
    </row>
    <row r="4" customFormat="false" ht="15" hidden="false" customHeight="false" outlineLevel="0" collapsed="false">
      <c r="A4" s="0" t="n">
        <v>3</v>
      </c>
      <c r="B4" s="0" t="s">
        <v>458</v>
      </c>
      <c r="C4" s="0" t="s">
        <v>457</v>
      </c>
      <c r="D4" s="0" t="s">
        <v>420</v>
      </c>
      <c r="E4" s="0" t="s">
        <v>418</v>
      </c>
      <c r="F4" s="0" t="n">
        <v>842421950314</v>
      </c>
      <c r="G4" s="0" t="n">
        <v>30074.4636262098</v>
      </c>
      <c r="H4" s="0" t="n">
        <v>0.121412348589452</v>
      </c>
    </row>
    <row r="5" customFormat="false" ht="15" hidden="false" customHeight="false" outlineLevel="0" collapsed="false">
      <c r="A5" s="0" t="n">
        <v>4</v>
      </c>
      <c r="B5" s="0" t="s">
        <v>454</v>
      </c>
      <c r="C5" s="0" t="s">
        <v>453</v>
      </c>
      <c r="D5" s="0" t="s">
        <v>420</v>
      </c>
      <c r="E5" s="0" t="s">
        <v>418</v>
      </c>
      <c r="F5" s="0" t="n">
        <v>255256602534</v>
      </c>
      <c r="G5" s="0" t="n">
        <v>20000</v>
      </c>
      <c r="H5" s="0" t="n">
        <v>0.0807411564165961</v>
      </c>
    </row>
    <row r="6" customFormat="false" ht="15" hidden="false" customHeight="false" outlineLevel="0" collapsed="false">
      <c r="A6" s="0" t="n">
        <v>5</v>
      </c>
      <c r="B6" s="0" t="s">
        <v>462</v>
      </c>
      <c r="C6" s="0" t="s">
        <v>461</v>
      </c>
      <c r="D6" s="0" t="s">
        <v>420</v>
      </c>
      <c r="E6" s="0" t="s">
        <v>418</v>
      </c>
      <c r="F6" s="0" t="n">
        <v>347846601827</v>
      </c>
      <c r="G6" s="0" t="n">
        <v>17500</v>
      </c>
      <c r="H6" s="0" t="n">
        <v>0.0706485118645216</v>
      </c>
    </row>
    <row r="7" customFormat="false" ht="15" hidden="false" customHeight="false" outlineLevel="0" collapsed="false">
      <c r="A7" s="0" t="n">
        <v>6</v>
      </c>
      <c r="B7" s="0" t="s">
        <v>456</v>
      </c>
      <c r="C7" s="0" t="s">
        <v>455</v>
      </c>
      <c r="D7" s="0" t="s">
        <v>420</v>
      </c>
      <c r="E7" s="0" t="s">
        <v>418</v>
      </c>
      <c r="F7" s="0" t="n">
        <v>412032870240</v>
      </c>
      <c r="G7" s="0" t="n">
        <v>15574.842495072</v>
      </c>
      <c r="H7" s="0" t="n">
        <v>0.0628765397029228</v>
      </c>
    </row>
    <row r="8" customFormat="false" ht="15" hidden="false" customHeight="false" outlineLevel="0" collapsed="false">
      <c r="A8" s="0" t="n">
        <v>7</v>
      </c>
      <c r="B8" s="0" t="s">
        <v>491</v>
      </c>
      <c r="C8" s="0" t="s">
        <v>492</v>
      </c>
      <c r="D8" s="0" t="s">
        <v>414</v>
      </c>
      <c r="E8" s="0" t="s">
        <v>415</v>
      </c>
      <c r="F8" s="0" t="n">
        <v>370518908817</v>
      </c>
      <c r="G8" s="0" t="n">
        <v>14783.7044617983</v>
      </c>
      <c r="H8" s="0" t="n">
        <v>0.0596826697183394</v>
      </c>
    </row>
    <row r="9" customFormat="false" ht="15" hidden="false" customHeight="false" outlineLevel="0" collapsed="false">
      <c r="A9" s="0" t="n">
        <v>8</v>
      </c>
      <c r="B9" s="0" t="s">
        <v>460</v>
      </c>
      <c r="C9" s="0" t="s">
        <v>459</v>
      </c>
      <c r="D9" s="0" t="s">
        <v>420</v>
      </c>
      <c r="E9" s="0" t="s">
        <v>418</v>
      </c>
      <c r="F9" s="0" t="n">
        <v>258193536809</v>
      </c>
      <c r="G9" s="0" t="n">
        <v>12500</v>
      </c>
      <c r="H9" s="0" t="n">
        <v>0.0504632227603726</v>
      </c>
    </row>
    <row r="10" customFormat="false" ht="15" hidden="false" customHeight="false" outlineLevel="0" collapsed="false">
      <c r="A10" s="0" t="n">
        <v>9</v>
      </c>
      <c r="B10" s="0" t="s">
        <v>464</v>
      </c>
      <c r="C10" s="0" t="s">
        <v>463</v>
      </c>
      <c r="D10" s="0" t="s">
        <v>420</v>
      </c>
      <c r="E10" s="0" t="s">
        <v>418</v>
      </c>
      <c r="F10" s="0" t="n">
        <v>59202503240</v>
      </c>
      <c r="G10" s="0" t="n">
        <v>10000</v>
      </c>
      <c r="H10" s="0" t="n">
        <v>0.0403705782082981</v>
      </c>
    </row>
    <row r="11" customFormat="false" ht="15" hidden="false" customHeight="false" outlineLevel="0" collapsed="false">
      <c r="A11" s="0" t="n">
        <v>10</v>
      </c>
      <c r="B11" s="0" t="s">
        <v>493</v>
      </c>
      <c r="C11" s="0" t="s">
        <v>494</v>
      </c>
      <c r="D11" s="0" t="s">
        <v>416</v>
      </c>
      <c r="E11" s="0" t="s">
        <v>419</v>
      </c>
      <c r="F11" s="0" t="n">
        <v>195642830748</v>
      </c>
      <c r="G11" s="0" t="n">
        <v>7806.1489468452</v>
      </c>
      <c r="H11" s="0" t="n">
        <v>0.0315138746564238</v>
      </c>
    </row>
    <row r="12" customFormat="false" ht="15" hidden="false" customHeight="false" outlineLevel="0" collapsed="false">
      <c r="A12" s="0" t="n">
        <v>11</v>
      </c>
      <c r="B12" s="0" t="s">
        <v>495</v>
      </c>
      <c r="C12" s="0" t="s">
        <v>494</v>
      </c>
      <c r="D12" s="0" t="s">
        <v>416</v>
      </c>
      <c r="E12" s="0" t="s">
        <v>418</v>
      </c>
      <c r="F12" s="0" t="n">
        <v>78982042092</v>
      </c>
      <c r="G12" s="0" t="n">
        <v>3317.245767864</v>
      </c>
      <c r="H12" s="0" t="n">
        <v>0.0133919129707699</v>
      </c>
    </row>
    <row r="13" customFormat="false" ht="15" hidden="false" customHeight="false" outlineLevel="0" collapsed="false">
      <c r="A13" s="0" t="n">
        <v>12</v>
      </c>
      <c r="B13" s="0" t="s">
        <v>496</v>
      </c>
      <c r="C13" s="0" t="s">
        <v>494</v>
      </c>
      <c r="D13" s="0" t="s">
        <v>416</v>
      </c>
      <c r="E13" s="0" t="s">
        <v>418</v>
      </c>
      <c r="F13" s="0" t="n">
        <v>69868317557</v>
      </c>
      <c r="G13" s="0" t="n">
        <v>2934.469337394</v>
      </c>
      <c r="H13" s="0" t="n">
        <v>0.0118466223885117</v>
      </c>
    </row>
    <row r="14" customFormat="false" ht="15" hidden="false" customHeight="false" outlineLevel="0" collapsed="false">
      <c r="A14" s="0" t="n">
        <v>13</v>
      </c>
      <c r="B14" s="0" t="s">
        <v>497</v>
      </c>
      <c r="C14" s="0" t="s">
        <v>494</v>
      </c>
      <c r="D14" s="0" t="s">
        <v>416</v>
      </c>
      <c r="E14" s="0" t="s">
        <v>419</v>
      </c>
      <c r="F14" s="0" t="n">
        <v>34818921614</v>
      </c>
      <c r="G14" s="0" t="n">
        <v>1389.2749723986</v>
      </c>
      <c r="H14" s="0" t="n">
        <v>0.00560858339260488</v>
      </c>
    </row>
    <row r="15" customFormat="false" ht="15" hidden="false" customHeight="false" outlineLevel="0" collapsed="false">
      <c r="A15" s="0" t="n">
        <v>14</v>
      </c>
      <c r="B15" s="0" t="s">
        <v>498</v>
      </c>
      <c r="C15" s="0" t="s">
        <v>494</v>
      </c>
      <c r="D15" s="0" t="s">
        <v>416</v>
      </c>
      <c r="E15" s="0" t="s">
        <v>418</v>
      </c>
      <c r="F15" s="0" t="n">
        <v>25721384957</v>
      </c>
      <c r="G15" s="0" t="n">
        <v>1080.298168194</v>
      </c>
      <c r="H15" s="0" t="n">
        <v>0.0043612261687357</v>
      </c>
    </row>
    <row r="16" customFormat="false" ht="15" hidden="false" customHeight="false" outlineLevel="0" collapsed="false">
      <c r="A16" s="0" t="n">
        <v>15</v>
      </c>
      <c r="B16" s="0" t="s">
        <v>499</v>
      </c>
      <c r="C16" s="0" t="s">
        <v>494</v>
      </c>
      <c r="D16" s="0" t="s">
        <v>416</v>
      </c>
      <c r="E16" s="0" t="s">
        <v>419</v>
      </c>
      <c r="F16" s="0" t="n">
        <v>23188031643</v>
      </c>
      <c r="G16" s="0" t="n">
        <v>925.2024625557</v>
      </c>
      <c r="H16" s="0" t="n">
        <v>0.00373509583731148</v>
      </c>
    </row>
    <row r="17" customFormat="false" ht="15" hidden="false" customHeight="false" outlineLevel="0" collapsed="false">
      <c r="A17" s="0" t="n">
        <v>16</v>
      </c>
      <c r="B17" s="0" t="s">
        <v>500</v>
      </c>
      <c r="C17" s="0" t="s">
        <v>494</v>
      </c>
      <c r="D17" s="0" t="s">
        <v>416</v>
      </c>
      <c r="E17" s="0" t="s">
        <v>418</v>
      </c>
      <c r="F17" s="0" t="n">
        <v>19436344066</v>
      </c>
      <c r="G17" s="0" t="n">
        <v>816.326450772</v>
      </c>
      <c r="H17" s="0" t="n">
        <v>0.00329555708243934</v>
      </c>
    </row>
    <row r="18" customFormat="false" ht="15" hidden="false" customHeight="false" outlineLevel="0" collapsed="false">
      <c r="A18" s="0" t="n">
        <v>17</v>
      </c>
      <c r="B18" s="0" t="s">
        <v>501</v>
      </c>
      <c r="C18" s="0" t="s">
        <v>494</v>
      </c>
      <c r="D18" s="0" t="s">
        <v>416</v>
      </c>
      <c r="E18" s="0" t="s">
        <v>419</v>
      </c>
      <c r="F18" s="0" t="n">
        <v>18858155995</v>
      </c>
      <c r="G18" s="0" t="n">
        <v>752.4404242005</v>
      </c>
      <c r="H18" s="0" t="n">
        <v>0.00303764549922713</v>
      </c>
    </row>
    <row r="19" customFormat="false" ht="15" hidden="false" customHeight="false" outlineLevel="0" collapsed="false">
      <c r="A19" s="0" t="n">
        <v>18</v>
      </c>
      <c r="B19" s="0" t="s">
        <v>502</v>
      </c>
      <c r="C19" s="0" t="s">
        <v>494</v>
      </c>
      <c r="D19" s="0" t="s">
        <v>416</v>
      </c>
      <c r="E19" s="0" t="s">
        <v>418</v>
      </c>
      <c r="F19" s="0" t="n">
        <v>17685187852</v>
      </c>
      <c r="G19" s="0" t="n">
        <v>742.777889784</v>
      </c>
      <c r="H19" s="0" t="n">
        <v>0.00299863728909196</v>
      </c>
    </row>
    <row r="20" customFormat="false" ht="15" hidden="false" customHeight="false" outlineLevel="0" collapsed="false">
      <c r="A20" s="0" t="n">
        <v>19</v>
      </c>
      <c r="B20" s="0" t="s">
        <v>503</v>
      </c>
      <c r="C20" s="0" t="s">
        <v>494</v>
      </c>
      <c r="D20" s="0" t="s">
        <v>416</v>
      </c>
      <c r="E20" s="0" t="s">
        <v>419</v>
      </c>
      <c r="F20" s="0" t="n">
        <v>17540148482</v>
      </c>
      <c r="G20" s="0" t="n">
        <v>699.8519244318</v>
      </c>
      <c r="H20" s="0" t="n">
        <v>0.00282534268495019</v>
      </c>
    </row>
    <row r="21" customFormat="false" ht="15" hidden="false" customHeight="false" outlineLevel="0" collapsed="false">
      <c r="A21" s="0" t="n">
        <v>20</v>
      </c>
      <c r="B21" s="0" t="s">
        <v>504</v>
      </c>
      <c r="C21" s="0" t="s">
        <v>494</v>
      </c>
      <c r="D21" s="0" t="s">
        <v>416</v>
      </c>
      <c r="E21" s="0" t="s">
        <v>418</v>
      </c>
      <c r="F21" s="0" t="n">
        <v>14817623975</v>
      </c>
      <c r="G21" s="0" t="n">
        <v>622.34020695</v>
      </c>
      <c r="H21" s="0" t="n">
        <v>0.00251242339968434</v>
      </c>
    </row>
    <row r="22" customFormat="false" ht="15" hidden="false" customHeight="false" outlineLevel="0" collapsed="false">
      <c r="A22" s="0" t="n">
        <v>21</v>
      </c>
      <c r="B22" s="0" t="s">
        <v>505</v>
      </c>
      <c r="C22" s="0" t="s">
        <v>494</v>
      </c>
      <c r="D22" s="0" t="s">
        <v>416</v>
      </c>
      <c r="E22" s="0" t="s">
        <v>418</v>
      </c>
      <c r="F22" s="0" t="n">
        <v>13211494591</v>
      </c>
      <c r="G22" s="0" t="n">
        <v>554.882772822</v>
      </c>
      <c r="H22" s="0" t="n">
        <v>0.00224009383766478</v>
      </c>
    </row>
    <row r="23" customFormat="false" ht="15" hidden="false" customHeight="false" outlineLevel="0" collapsed="false">
      <c r="A23" s="0" t="n">
        <v>22</v>
      </c>
      <c r="B23" s="0" t="s">
        <v>506</v>
      </c>
      <c r="C23" s="0" t="s">
        <v>494</v>
      </c>
      <c r="D23" s="0" t="s">
        <v>416</v>
      </c>
      <c r="E23" s="0" t="s">
        <v>418</v>
      </c>
      <c r="F23" s="0" t="n">
        <v>12639665803</v>
      </c>
      <c r="G23" s="0" t="n">
        <v>530.865963726</v>
      </c>
      <c r="H23" s="0" t="n">
        <v>0.0021431365906724</v>
      </c>
    </row>
    <row r="24" customFormat="false" ht="15" hidden="false" customHeight="false" outlineLevel="0" collapsed="false">
      <c r="A24" s="0" t="n">
        <v>23</v>
      </c>
      <c r="B24" s="0" t="s">
        <v>507</v>
      </c>
      <c r="C24" s="0" t="s">
        <v>494</v>
      </c>
      <c r="D24" s="0" t="s">
        <v>416</v>
      </c>
      <c r="E24" s="0" t="s">
        <v>419</v>
      </c>
      <c r="F24" s="0" t="n">
        <v>13026487002</v>
      </c>
      <c r="G24" s="0" t="n">
        <v>519.7568313798</v>
      </c>
      <c r="H24" s="0" t="n">
        <v>0.00209828838105154</v>
      </c>
    </row>
    <row r="25" customFormat="false" ht="15" hidden="false" customHeight="false" outlineLevel="0" collapsed="false">
      <c r="A25" s="0" t="n">
        <v>24</v>
      </c>
      <c r="B25" s="0" t="s">
        <v>508</v>
      </c>
      <c r="C25" s="0" t="s">
        <v>494</v>
      </c>
      <c r="D25" s="0" t="s">
        <v>416</v>
      </c>
      <c r="E25" s="0" t="s">
        <v>418</v>
      </c>
      <c r="F25" s="0" t="n">
        <v>12108421536</v>
      </c>
      <c r="G25" s="0" t="n">
        <v>508.553704512</v>
      </c>
      <c r="H25" s="0" t="n">
        <v>0.00205306071011214</v>
      </c>
    </row>
    <row r="26" customFormat="false" ht="15" hidden="false" customHeight="false" outlineLevel="0" collapsed="false">
      <c r="A26" s="0" t="n">
        <v>25</v>
      </c>
      <c r="B26" s="0" t="s">
        <v>509</v>
      </c>
      <c r="C26" s="0" t="s">
        <v>494</v>
      </c>
      <c r="D26" s="0" t="s">
        <v>416</v>
      </c>
      <c r="E26" s="0" t="s">
        <v>418</v>
      </c>
      <c r="F26" s="0" t="n">
        <v>11441492760</v>
      </c>
      <c r="G26" s="0" t="n">
        <v>480.54269592</v>
      </c>
      <c r="H26" s="0" t="n">
        <v>0.00193997864880648</v>
      </c>
    </row>
    <row r="27" customFormat="false" ht="15" hidden="false" customHeight="false" outlineLevel="0" collapsed="false">
      <c r="A27" s="0" t="n">
        <v>26</v>
      </c>
      <c r="B27" s="0" t="s">
        <v>510</v>
      </c>
      <c r="C27" s="0" t="s">
        <v>494</v>
      </c>
      <c r="D27" s="0" t="s">
        <v>416</v>
      </c>
      <c r="E27" s="0" t="s">
        <v>418</v>
      </c>
      <c r="F27" s="0" t="n">
        <v>10961631904</v>
      </c>
      <c r="G27" s="0" t="n">
        <v>460.388539968</v>
      </c>
      <c r="H27" s="0" t="n">
        <v>0.00185861515589823</v>
      </c>
    </row>
    <row r="28" customFormat="false" ht="15" hidden="false" customHeight="false" outlineLevel="0" collapsed="false">
      <c r="A28" s="0" t="n">
        <v>27</v>
      </c>
      <c r="B28" s="0" t="s">
        <v>511</v>
      </c>
      <c r="C28" s="0" t="s">
        <v>494</v>
      </c>
      <c r="D28" s="0" t="s">
        <v>416</v>
      </c>
      <c r="E28" s="0" t="s">
        <v>418</v>
      </c>
      <c r="F28" s="0" t="n">
        <v>10760824900</v>
      </c>
      <c r="G28" s="0" t="n">
        <v>451.9546458</v>
      </c>
      <c r="H28" s="0" t="n">
        <v>0.00182456703748726</v>
      </c>
    </row>
    <row r="29" customFormat="false" ht="15" hidden="false" customHeight="false" outlineLevel="0" collapsed="false">
      <c r="A29" s="0" t="n">
        <v>28</v>
      </c>
      <c r="B29" s="0" t="s">
        <v>512</v>
      </c>
      <c r="C29" s="0" t="s">
        <v>494</v>
      </c>
      <c r="D29" s="0" t="s">
        <v>416</v>
      </c>
      <c r="E29" s="0" t="s">
        <v>419</v>
      </c>
      <c r="F29" s="0" t="n">
        <v>11244505165</v>
      </c>
      <c r="G29" s="0" t="n">
        <v>448.6557560835</v>
      </c>
      <c r="H29" s="0" t="n">
        <v>0.0018112492289572</v>
      </c>
    </row>
    <row r="30" customFormat="false" ht="15" hidden="false" customHeight="false" outlineLevel="0" collapsed="false">
      <c r="A30" s="0" t="n">
        <v>29</v>
      </c>
      <c r="B30" s="0" t="s">
        <v>513</v>
      </c>
      <c r="C30" s="0" t="s">
        <v>494</v>
      </c>
      <c r="D30" s="0" t="s">
        <v>416</v>
      </c>
      <c r="E30" s="0" t="s">
        <v>419</v>
      </c>
      <c r="F30" s="0" t="n">
        <v>10989056512</v>
      </c>
      <c r="G30" s="0" t="n">
        <v>438.4633548288</v>
      </c>
      <c r="H30" s="0" t="n">
        <v>0.00177010191575888</v>
      </c>
    </row>
    <row r="31" customFormat="false" ht="15" hidden="false" customHeight="false" outlineLevel="0" collapsed="false">
      <c r="A31" s="0" t="n">
        <v>30</v>
      </c>
      <c r="B31" s="0" t="s">
        <v>514</v>
      </c>
      <c r="C31" s="0" t="s">
        <v>494</v>
      </c>
      <c r="D31" s="0" t="s">
        <v>416</v>
      </c>
      <c r="E31" s="0" t="s">
        <v>418</v>
      </c>
      <c r="F31" s="0" t="n">
        <v>10359972286</v>
      </c>
      <c r="G31" s="0" t="n">
        <v>435.118836012</v>
      </c>
      <c r="H31" s="0" t="n">
        <v>0.00175659989991261</v>
      </c>
    </row>
    <row r="32" customFormat="false" ht="15" hidden="false" customHeight="false" outlineLevel="0" collapsed="false">
      <c r="A32" s="0" t="n">
        <v>31</v>
      </c>
      <c r="B32" s="0" t="s">
        <v>515</v>
      </c>
      <c r="C32" s="0" t="s">
        <v>494</v>
      </c>
      <c r="D32" s="0" t="s">
        <v>416</v>
      </c>
      <c r="E32" s="0" t="s">
        <v>418</v>
      </c>
      <c r="F32" s="0" t="n">
        <v>8974547867</v>
      </c>
      <c r="G32" s="0" t="n">
        <v>376.931010414</v>
      </c>
      <c r="H32" s="0" t="n">
        <v>0.00152169228350512</v>
      </c>
    </row>
    <row r="33" customFormat="false" ht="15" hidden="false" customHeight="false" outlineLevel="0" collapsed="false">
      <c r="A33" s="0" t="n">
        <v>32</v>
      </c>
      <c r="B33" s="0" t="s">
        <v>516</v>
      </c>
      <c r="C33" s="0" t="s">
        <v>494</v>
      </c>
      <c r="D33" s="0" t="s">
        <v>416</v>
      </c>
      <c r="E33" s="0" t="s">
        <v>418</v>
      </c>
      <c r="F33" s="0" t="n">
        <v>8790706664</v>
      </c>
      <c r="G33" s="0" t="n">
        <v>369.209679888</v>
      </c>
      <c r="H33" s="0" t="n">
        <v>0.00149052082571792</v>
      </c>
    </row>
    <row r="34" customFormat="false" ht="15" hidden="false" customHeight="false" outlineLevel="0" collapsed="false">
      <c r="A34" s="0" t="n">
        <v>33</v>
      </c>
      <c r="B34" s="0" t="s">
        <v>517</v>
      </c>
      <c r="C34" s="0" t="s">
        <v>494</v>
      </c>
      <c r="D34" s="0" t="s">
        <v>416</v>
      </c>
      <c r="E34" s="0" t="s">
        <v>419</v>
      </c>
      <c r="F34" s="0" t="n">
        <v>9220275421</v>
      </c>
      <c r="G34" s="0" t="n">
        <v>367.8889892979</v>
      </c>
      <c r="H34" s="0" t="n">
        <v>0.00148518912144226</v>
      </c>
    </row>
    <row r="35" customFormat="false" ht="15" hidden="false" customHeight="false" outlineLevel="0" collapsed="false">
      <c r="A35" s="0" t="n">
        <v>34</v>
      </c>
      <c r="B35" s="0" t="s">
        <v>518</v>
      </c>
      <c r="C35" s="0" t="s">
        <v>494</v>
      </c>
      <c r="D35" s="0" t="s">
        <v>416</v>
      </c>
      <c r="E35" s="0" t="s">
        <v>418</v>
      </c>
      <c r="F35" s="0" t="n">
        <v>8484543279</v>
      </c>
      <c r="G35" s="0" t="n">
        <v>356.350817718</v>
      </c>
      <c r="H35" s="0" t="n">
        <v>0.00143860885562755</v>
      </c>
    </row>
    <row r="36" customFormat="false" ht="15" hidden="false" customHeight="false" outlineLevel="0" collapsed="false">
      <c r="A36" s="0" t="n">
        <v>35</v>
      </c>
      <c r="B36" s="0" t="s">
        <v>519</v>
      </c>
      <c r="C36" s="0" t="s">
        <v>494</v>
      </c>
      <c r="D36" s="0" t="s">
        <v>416</v>
      </c>
      <c r="E36" s="0" t="s">
        <v>418</v>
      </c>
      <c r="F36" s="0" t="n">
        <v>8261031612</v>
      </c>
      <c r="G36" s="0" t="n">
        <v>346.963327704</v>
      </c>
      <c r="H36" s="0" t="n">
        <v>0.00140071101564857</v>
      </c>
    </row>
    <row r="37" customFormat="false" ht="15" hidden="false" customHeight="false" outlineLevel="0" collapsed="false">
      <c r="A37" s="0" t="n">
        <v>36</v>
      </c>
      <c r="B37" s="0" t="s">
        <v>520</v>
      </c>
      <c r="C37" s="0" t="s">
        <v>494</v>
      </c>
      <c r="D37" s="0" t="s">
        <v>416</v>
      </c>
      <c r="E37" s="0" t="s">
        <v>419</v>
      </c>
      <c r="F37" s="0" t="n">
        <v>8557760333</v>
      </c>
      <c r="G37" s="0" t="n">
        <v>341.4546372867</v>
      </c>
      <c r="H37" s="0" t="n">
        <v>0.00137847211391688</v>
      </c>
    </row>
    <row r="38" customFormat="false" ht="15" hidden="false" customHeight="false" outlineLevel="0" collapsed="false">
      <c r="A38" s="0" t="n">
        <v>37</v>
      </c>
      <c r="B38" s="0" t="s">
        <v>521</v>
      </c>
      <c r="C38" s="0" t="s">
        <v>494</v>
      </c>
      <c r="D38" s="0" t="s">
        <v>416</v>
      </c>
      <c r="E38" s="0" t="s">
        <v>417</v>
      </c>
      <c r="F38" s="0" t="n">
        <v>8620490296</v>
      </c>
      <c r="G38" s="0" t="n">
        <v>333.09574503744</v>
      </c>
      <c r="H38" s="0" t="n">
        <v>0.00134472678258853</v>
      </c>
    </row>
    <row r="39" customFormat="false" ht="15" hidden="false" customHeight="false" outlineLevel="0" collapsed="false">
      <c r="A39" s="0" t="n">
        <v>38</v>
      </c>
      <c r="B39" s="0" t="s">
        <v>522</v>
      </c>
      <c r="C39" s="0" t="s">
        <v>494</v>
      </c>
      <c r="D39" s="0" t="s">
        <v>416</v>
      </c>
      <c r="E39" s="0" t="s">
        <v>418</v>
      </c>
      <c r="F39" s="0" t="n">
        <v>7562957751</v>
      </c>
      <c r="G39" s="0" t="n">
        <v>317.644225542</v>
      </c>
      <c r="H39" s="0" t="n">
        <v>0.00128234810496576</v>
      </c>
    </row>
    <row r="40" customFormat="false" ht="15" hidden="false" customHeight="false" outlineLevel="0" collapsed="false">
      <c r="A40" s="0" t="n">
        <v>39</v>
      </c>
      <c r="B40" s="0" t="s">
        <v>523</v>
      </c>
      <c r="C40" s="0" t="s">
        <v>494</v>
      </c>
      <c r="D40" s="0" t="s">
        <v>416</v>
      </c>
      <c r="E40" s="0" t="s">
        <v>419</v>
      </c>
      <c r="F40" s="0" t="n">
        <v>7763412629</v>
      </c>
      <c r="G40" s="0" t="n">
        <v>309.7601638971</v>
      </c>
      <c r="H40" s="0" t="n">
        <v>0.00125051969224231</v>
      </c>
    </row>
    <row r="41" customFormat="false" ht="15" hidden="false" customHeight="false" outlineLevel="0" collapsed="false">
      <c r="A41" s="0" t="n">
        <v>40</v>
      </c>
      <c r="B41" s="0" t="s">
        <v>524</v>
      </c>
      <c r="C41" s="0" t="s">
        <v>494</v>
      </c>
      <c r="D41" s="0" t="s">
        <v>416</v>
      </c>
      <c r="E41" s="0" t="s">
        <v>419</v>
      </c>
      <c r="F41" s="0" t="n">
        <v>7518698648</v>
      </c>
      <c r="G41" s="0" t="n">
        <v>299.9960760552</v>
      </c>
      <c r="H41" s="0" t="n">
        <v>0.0012111015050569</v>
      </c>
    </row>
    <row r="42" customFormat="false" ht="15" hidden="false" customHeight="false" outlineLevel="0" collapsed="false">
      <c r="A42" s="0" t="n">
        <v>41</v>
      </c>
      <c r="B42" s="0" t="s">
        <v>525</v>
      </c>
      <c r="C42" s="0" t="s">
        <v>494</v>
      </c>
      <c r="D42" s="0" t="s">
        <v>416</v>
      </c>
      <c r="E42" s="0" t="s">
        <v>418</v>
      </c>
      <c r="F42" s="0" t="n">
        <v>6951303290</v>
      </c>
      <c r="G42" s="0" t="n">
        <v>291.95473818</v>
      </c>
      <c r="H42" s="0" t="n">
        <v>0.00117863815909789</v>
      </c>
    </row>
    <row r="43" customFormat="false" ht="15" hidden="false" customHeight="false" outlineLevel="0" collapsed="false">
      <c r="A43" s="0" t="n">
        <v>42</v>
      </c>
      <c r="B43" s="0" t="s">
        <v>526</v>
      </c>
      <c r="C43" s="0" t="s">
        <v>494</v>
      </c>
      <c r="D43" s="0" t="s">
        <v>416</v>
      </c>
      <c r="E43" s="0" t="s">
        <v>419</v>
      </c>
      <c r="F43" s="0" t="n">
        <v>7252637453</v>
      </c>
      <c r="G43" s="0" t="n">
        <v>289.3802343747</v>
      </c>
      <c r="H43" s="0" t="n">
        <v>0.00116824473837595</v>
      </c>
    </row>
    <row r="44" customFormat="false" ht="15" hidden="false" customHeight="false" outlineLevel="0" collapsed="false">
      <c r="A44" s="0" t="n">
        <v>43</v>
      </c>
      <c r="B44" s="0" t="s">
        <v>527</v>
      </c>
      <c r="C44" s="0" t="s">
        <v>494</v>
      </c>
      <c r="D44" s="0" t="s">
        <v>416</v>
      </c>
      <c r="E44" s="0" t="s">
        <v>418</v>
      </c>
      <c r="F44" s="0" t="n">
        <v>6411570379</v>
      </c>
      <c r="G44" s="0" t="n">
        <v>269.285955918</v>
      </c>
      <c r="H44" s="0" t="n">
        <v>0.00108712297437839</v>
      </c>
    </row>
    <row r="45" customFormat="false" ht="15" hidden="false" customHeight="false" outlineLevel="0" collapsed="false">
      <c r="A45" s="0" t="n">
        <v>44</v>
      </c>
      <c r="B45" s="0" t="s">
        <v>528</v>
      </c>
      <c r="C45" s="0" t="s">
        <v>494</v>
      </c>
      <c r="D45" s="0" t="s">
        <v>416</v>
      </c>
      <c r="E45" s="0" t="s">
        <v>418</v>
      </c>
      <c r="F45" s="0" t="n">
        <v>6115663822</v>
      </c>
      <c r="G45" s="0" t="n">
        <v>256.857880524</v>
      </c>
      <c r="H45" s="0" t="n">
        <v>0.00103695011541118</v>
      </c>
    </row>
    <row r="46" customFormat="false" ht="15" hidden="false" customHeight="false" outlineLevel="0" collapsed="false">
      <c r="A46" s="0" t="n">
        <v>45</v>
      </c>
      <c r="B46" s="0" t="s">
        <v>529</v>
      </c>
      <c r="C46" s="0" t="s">
        <v>494</v>
      </c>
      <c r="D46" s="0" t="s">
        <v>416</v>
      </c>
      <c r="E46" s="0" t="s">
        <v>418</v>
      </c>
      <c r="F46" s="0" t="n">
        <v>6110931098</v>
      </c>
      <c r="G46" s="0" t="n">
        <v>256.659106116</v>
      </c>
      <c r="H46" s="0" t="n">
        <v>0.00103614765163279</v>
      </c>
    </row>
    <row r="47" customFormat="false" ht="15" hidden="false" customHeight="false" outlineLevel="0" collapsed="false">
      <c r="A47" s="0" t="n">
        <v>46</v>
      </c>
      <c r="B47" s="0" t="s">
        <v>530</v>
      </c>
      <c r="C47" s="0" t="s">
        <v>494</v>
      </c>
      <c r="D47" s="0" t="s">
        <v>416</v>
      </c>
      <c r="E47" s="0" t="s">
        <v>418</v>
      </c>
      <c r="F47" s="0" t="n">
        <v>6011771804</v>
      </c>
      <c r="G47" s="0" t="n">
        <v>252.494415768</v>
      </c>
      <c r="H47" s="0" t="n">
        <v>0.00101933455589206</v>
      </c>
    </row>
    <row r="48" customFormat="false" ht="15" hidden="false" customHeight="false" outlineLevel="0" collapsed="false">
      <c r="A48" s="0" t="n">
        <v>47</v>
      </c>
      <c r="B48" s="0" t="s">
        <v>531</v>
      </c>
      <c r="C48" s="0" t="s">
        <v>494</v>
      </c>
      <c r="D48" s="0" t="s">
        <v>416</v>
      </c>
      <c r="E48" s="0" t="s">
        <v>418</v>
      </c>
      <c r="F48" s="0" t="n">
        <v>5787353281</v>
      </c>
      <c r="G48" s="0" t="n">
        <v>243.068837802</v>
      </c>
      <c r="H48" s="0" t="n">
        <v>0.000981282952648576</v>
      </c>
    </row>
    <row r="49" customFormat="false" ht="15" hidden="false" customHeight="false" outlineLevel="0" collapsed="false">
      <c r="A49" s="0" t="n">
        <v>48</v>
      </c>
      <c r="B49" s="0" t="s">
        <v>532</v>
      </c>
      <c r="C49" s="0" t="s">
        <v>494</v>
      </c>
      <c r="D49" s="0" t="s">
        <v>416</v>
      </c>
      <c r="E49" s="0" t="s">
        <v>418</v>
      </c>
      <c r="F49" s="0" t="n">
        <v>5619358817</v>
      </c>
      <c r="G49" s="0" t="n">
        <v>236.013070314</v>
      </c>
      <c r="H49" s="0" t="n">
        <v>0.000952798411329189</v>
      </c>
    </row>
    <row r="50" customFormat="false" ht="15" hidden="false" customHeight="false" outlineLevel="0" collapsed="false">
      <c r="A50" s="0" t="n">
        <v>49</v>
      </c>
      <c r="B50" s="0" t="s">
        <v>533</v>
      </c>
      <c r="C50" s="0" t="s">
        <v>494</v>
      </c>
      <c r="D50" s="0" t="s">
        <v>416</v>
      </c>
      <c r="E50" s="0" t="s">
        <v>418</v>
      </c>
      <c r="F50" s="0" t="n">
        <v>5572448662</v>
      </c>
      <c r="G50" s="0" t="n">
        <v>234.042843804</v>
      </c>
      <c r="H50" s="0" t="n">
        <v>0.000944844492988187</v>
      </c>
    </row>
    <row r="51" customFormat="false" ht="15" hidden="false" customHeight="false" outlineLevel="0" collapsed="false">
      <c r="A51" s="0" t="n">
        <v>50</v>
      </c>
      <c r="B51" s="0" t="s">
        <v>534</v>
      </c>
      <c r="C51" s="0" t="s">
        <v>494</v>
      </c>
      <c r="D51" s="0" t="s">
        <v>416</v>
      </c>
      <c r="E51" s="0" t="s">
        <v>419</v>
      </c>
      <c r="F51" s="0" t="n">
        <v>5851800910</v>
      </c>
      <c r="G51" s="0" t="n">
        <v>233.486856309</v>
      </c>
      <c r="H51" s="0" t="n">
        <v>0.000942599939323214</v>
      </c>
    </row>
    <row r="52" customFormat="false" ht="15" hidden="false" customHeight="false" outlineLevel="0" collapsed="false">
      <c r="A52" s="0" t="n">
        <v>51</v>
      </c>
      <c r="B52" s="0" t="s">
        <v>535</v>
      </c>
      <c r="C52" s="0" t="s">
        <v>494</v>
      </c>
      <c r="D52" s="0" t="s">
        <v>416</v>
      </c>
      <c r="E52" s="0" t="s">
        <v>418</v>
      </c>
      <c r="F52" s="0" t="n">
        <v>5544653444</v>
      </c>
      <c r="G52" s="0" t="n">
        <v>232.875444648</v>
      </c>
      <c r="H52" s="0" t="n">
        <v>0.000940131635095427</v>
      </c>
    </row>
    <row r="53" customFormat="false" ht="15" hidden="false" customHeight="false" outlineLevel="0" collapsed="false">
      <c r="A53" s="0" t="n">
        <v>52</v>
      </c>
      <c r="B53" s="0" t="s">
        <v>536</v>
      </c>
      <c r="C53" s="0" t="s">
        <v>494</v>
      </c>
      <c r="D53" s="0" t="s">
        <v>416</v>
      </c>
      <c r="E53" s="0" t="s">
        <v>418</v>
      </c>
      <c r="F53" s="0" t="n">
        <v>5400064979</v>
      </c>
      <c r="G53" s="0" t="n">
        <v>226.802729118</v>
      </c>
      <c r="H53" s="0" t="n">
        <v>0.000915615731371366</v>
      </c>
    </row>
    <row r="54" customFormat="false" ht="15" hidden="false" customHeight="false" outlineLevel="0" collapsed="false">
      <c r="A54" s="0" t="n">
        <v>53</v>
      </c>
      <c r="B54" s="0" t="s">
        <v>537</v>
      </c>
      <c r="C54" s="0" t="s">
        <v>494</v>
      </c>
      <c r="D54" s="0" t="s">
        <v>416</v>
      </c>
      <c r="E54" s="0" t="s">
        <v>418</v>
      </c>
      <c r="F54" s="0" t="n">
        <v>5374935194</v>
      </c>
      <c r="G54" s="0" t="n">
        <v>225.747278148</v>
      </c>
      <c r="H54" s="0" t="n">
        <v>0.000911354814778425</v>
      </c>
    </row>
    <row r="55" customFormat="false" ht="15" hidden="false" customHeight="false" outlineLevel="0" collapsed="false">
      <c r="A55" s="0" t="n">
        <v>54</v>
      </c>
      <c r="B55" s="0" t="s">
        <v>538</v>
      </c>
      <c r="C55" s="0" t="s">
        <v>494</v>
      </c>
      <c r="D55" s="0" t="s">
        <v>416</v>
      </c>
      <c r="E55" s="0" t="s">
        <v>419</v>
      </c>
      <c r="F55" s="0" t="n">
        <v>5606326162</v>
      </c>
      <c r="G55" s="0" t="n">
        <v>223.6924138638</v>
      </c>
      <c r="H55" s="0" t="n">
        <v>0.000903059208849152</v>
      </c>
    </row>
    <row r="56" customFormat="false" ht="15" hidden="false" customHeight="false" outlineLevel="0" collapsed="false">
      <c r="A56" s="0" t="n">
        <v>55</v>
      </c>
      <c r="B56" s="0" t="s">
        <v>539</v>
      </c>
      <c r="C56" s="0" t="s">
        <v>494</v>
      </c>
      <c r="D56" s="0" t="s">
        <v>416</v>
      </c>
      <c r="E56" s="0" t="s">
        <v>419</v>
      </c>
      <c r="F56" s="0" t="n">
        <v>5328583799</v>
      </c>
      <c r="G56" s="0" t="n">
        <v>212.6104935801</v>
      </c>
      <c r="H56" s="0" t="n">
        <v>0.000858320855898028</v>
      </c>
    </row>
    <row r="57" customFormat="false" ht="15" hidden="false" customHeight="false" outlineLevel="0" collapsed="false">
      <c r="A57" s="0" t="n">
        <v>56</v>
      </c>
      <c r="B57" s="0" t="s">
        <v>540</v>
      </c>
      <c r="C57" s="0" t="s">
        <v>494</v>
      </c>
      <c r="D57" s="0" t="s">
        <v>416</v>
      </c>
      <c r="E57" s="0" t="s">
        <v>419</v>
      </c>
      <c r="F57" s="0" t="n">
        <v>4846744704</v>
      </c>
      <c r="G57" s="0" t="n">
        <v>193.3851136896</v>
      </c>
      <c r="H57" s="0" t="n">
        <v>0.000780706885652661</v>
      </c>
    </row>
    <row r="58" customFormat="false" ht="15" hidden="false" customHeight="false" outlineLevel="0" collapsed="false">
      <c r="A58" s="0" t="n">
        <v>57</v>
      </c>
      <c r="B58" s="0" t="s">
        <v>541</v>
      </c>
      <c r="C58" s="0" t="s">
        <v>494</v>
      </c>
      <c r="D58" s="0" t="s">
        <v>416</v>
      </c>
      <c r="E58" s="0" t="s">
        <v>418</v>
      </c>
      <c r="F58" s="0" t="n">
        <v>4588190761</v>
      </c>
      <c r="G58" s="0" t="n">
        <v>192.704011962</v>
      </c>
      <c r="H58" s="0" t="n">
        <v>0.000777957238596473</v>
      </c>
    </row>
    <row r="59" customFormat="false" ht="15" hidden="false" customHeight="false" outlineLevel="0" collapsed="false">
      <c r="A59" s="0" t="n">
        <v>58</v>
      </c>
      <c r="B59" s="0" t="s">
        <v>542</v>
      </c>
      <c r="C59" s="0" t="s">
        <v>494</v>
      </c>
      <c r="D59" s="0" t="s">
        <v>416</v>
      </c>
      <c r="E59" s="0" t="s">
        <v>418</v>
      </c>
      <c r="F59" s="0" t="n">
        <v>4556941351</v>
      </c>
      <c r="G59" s="0" t="n">
        <v>191.391536742</v>
      </c>
      <c r="H59" s="0" t="n">
        <v>0.000772658700244926</v>
      </c>
    </row>
    <row r="60" customFormat="false" ht="15" hidden="false" customHeight="false" outlineLevel="0" collapsed="false">
      <c r="A60" s="0" t="n">
        <v>59</v>
      </c>
      <c r="B60" s="0" t="s">
        <v>543</v>
      </c>
      <c r="C60" s="0" t="s">
        <v>494</v>
      </c>
      <c r="D60" s="0" t="s">
        <v>416</v>
      </c>
      <c r="E60" s="0" t="s">
        <v>418</v>
      </c>
      <c r="F60" s="0" t="n">
        <v>4474295694</v>
      </c>
      <c r="G60" s="0" t="n">
        <v>187.920419148</v>
      </c>
      <c r="H60" s="0" t="n">
        <v>0.000758645597815049</v>
      </c>
    </row>
    <row r="61" customFormat="false" ht="15" hidden="false" customHeight="false" outlineLevel="0" collapsed="false">
      <c r="A61" s="0" t="n">
        <v>60</v>
      </c>
      <c r="B61" s="0" t="s">
        <v>544</v>
      </c>
      <c r="C61" s="0" t="s">
        <v>494</v>
      </c>
      <c r="D61" s="0" t="s">
        <v>416</v>
      </c>
      <c r="E61" s="0" t="s">
        <v>418</v>
      </c>
      <c r="F61" s="0" t="n">
        <v>4460705244</v>
      </c>
      <c r="G61" s="0" t="n">
        <v>187.349620248</v>
      </c>
      <c r="H61" s="0" t="n">
        <v>0.000756341249651683</v>
      </c>
    </row>
    <row r="62" customFormat="false" ht="15" hidden="false" customHeight="false" outlineLevel="0" collapsed="false">
      <c r="A62" s="0" t="n">
        <v>61</v>
      </c>
      <c r="B62" s="0" t="s">
        <v>545</v>
      </c>
      <c r="C62" s="0" t="s">
        <v>494</v>
      </c>
      <c r="D62" s="0" t="s">
        <v>416</v>
      </c>
      <c r="E62" s="0" t="s">
        <v>418</v>
      </c>
      <c r="F62" s="0" t="n">
        <v>4397354009</v>
      </c>
      <c r="G62" s="0" t="n">
        <v>184.688868378</v>
      </c>
      <c r="H62" s="0" t="n">
        <v>0.000745599640505611</v>
      </c>
    </row>
    <row r="63" customFormat="false" ht="15" hidden="false" customHeight="false" outlineLevel="0" collapsed="false">
      <c r="A63" s="0" t="n">
        <v>62</v>
      </c>
      <c r="B63" s="0" t="s">
        <v>546</v>
      </c>
      <c r="C63" s="0" t="s">
        <v>494</v>
      </c>
      <c r="D63" s="0" t="s">
        <v>416</v>
      </c>
      <c r="E63" s="0" t="s">
        <v>418</v>
      </c>
      <c r="F63" s="0" t="n">
        <v>4346585351</v>
      </c>
      <c r="G63" s="0" t="n">
        <v>182.556584742</v>
      </c>
      <c r="H63" s="0" t="n">
        <v>0.00073699148817667</v>
      </c>
    </row>
    <row r="64" customFormat="false" ht="15" hidden="false" customHeight="false" outlineLevel="0" collapsed="false">
      <c r="A64" s="0" t="n">
        <v>63</v>
      </c>
      <c r="B64" s="0" t="s">
        <v>547</v>
      </c>
      <c r="C64" s="0" t="s">
        <v>494</v>
      </c>
      <c r="D64" s="0" t="s">
        <v>416</v>
      </c>
      <c r="E64" s="0" t="s">
        <v>418</v>
      </c>
      <c r="F64" s="0" t="n">
        <v>4315619657</v>
      </c>
      <c r="G64" s="0" t="n">
        <v>181.256025594</v>
      </c>
      <c r="H64" s="0" t="n">
        <v>0.000731741055696785</v>
      </c>
    </row>
    <row r="65" customFormat="false" ht="15" hidden="false" customHeight="false" outlineLevel="0" collapsed="false">
      <c r="A65" s="0" t="n">
        <v>64</v>
      </c>
      <c r="B65" s="0" t="s">
        <v>548</v>
      </c>
      <c r="C65" s="0" t="s">
        <v>494</v>
      </c>
      <c r="D65" s="0" t="s">
        <v>416</v>
      </c>
      <c r="E65" s="0" t="s">
        <v>419</v>
      </c>
      <c r="F65" s="0" t="n">
        <v>4501558530</v>
      </c>
      <c r="G65" s="0" t="n">
        <v>179.612185347</v>
      </c>
      <c r="H65" s="0" t="n">
        <v>0.000725104777571439</v>
      </c>
    </row>
    <row r="66" customFormat="false" ht="15" hidden="false" customHeight="false" outlineLevel="0" collapsed="false">
      <c r="A66" s="0" t="n">
        <v>65</v>
      </c>
      <c r="B66" s="0" t="s">
        <v>549</v>
      </c>
      <c r="C66" s="0" t="s">
        <v>494</v>
      </c>
      <c r="D66" s="0" t="s">
        <v>416</v>
      </c>
      <c r="E66" s="0" t="s">
        <v>419</v>
      </c>
      <c r="F66" s="0" t="n">
        <v>4192043216</v>
      </c>
      <c r="G66" s="0" t="n">
        <v>167.2625243184</v>
      </c>
      <c r="H66" s="0" t="n">
        <v>0.000675248481931332</v>
      </c>
    </row>
    <row r="67" customFormat="false" ht="15" hidden="false" customHeight="false" outlineLevel="0" collapsed="false">
      <c r="A67" s="0" t="n">
        <v>66</v>
      </c>
      <c r="B67" s="0" t="s">
        <v>550</v>
      </c>
      <c r="C67" s="0" t="s">
        <v>494</v>
      </c>
      <c r="D67" s="0" t="s">
        <v>416</v>
      </c>
      <c r="E67" s="0" t="s">
        <v>419</v>
      </c>
      <c r="F67" s="0" t="n">
        <v>4096501924</v>
      </c>
      <c r="G67" s="0" t="n">
        <v>163.4504267676</v>
      </c>
      <c r="H67" s="0" t="n">
        <v>0.000659858823700109</v>
      </c>
    </row>
    <row r="68" customFormat="false" ht="15" hidden="false" customHeight="false" outlineLevel="0" collapsed="false">
      <c r="A68" s="0" t="n">
        <v>67</v>
      </c>
      <c r="B68" s="0" t="s">
        <v>551</v>
      </c>
      <c r="C68" s="0" t="s">
        <v>494</v>
      </c>
      <c r="D68" s="0" t="s">
        <v>416</v>
      </c>
      <c r="E68" s="0" t="s">
        <v>419</v>
      </c>
      <c r="F68" s="0" t="n">
        <v>4083503600</v>
      </c>
      <c r="G68" s="0" t="n">
        <v>162.93179364</v>
      </c>
      <c r="H68" s="0" t="n">
        <v>0.00065776507177619</v>
      </c>
    </row>
    <row r="69" customFormat="false" ht="15" hidden="false" customHeight="false" outlineLevel="0" collapsed="false">
      <c r="A69" s="0" t="n">
        <v>68</v>
      </c>
      <c r="B69" s="0" t="s">
        <v>552</v>
      </c>
      <c r="C69" s="0" t="s">
        <v>494</v>
      </c>
      <c r="D69" s="0" t="s">
        <v>416</v>
      </c>
      <c r="E69" s="0" t="s">
        <v>419</v>
      </c>
      <c r="F69" s="0" t="n">
        <v>4080512729</v>
      </c>
      <c r="G69" s="0" t="n">
        <v>162.8124578871</v>
      </c>
      <c r="H69" s="0" t="n">
        <v>0.00065728330644164</v>
      </c>
    </row>
    <row r="70" customFormat="false" ht="15" hidden="false" customHeight="false" outlineLevel="0" collapsed="false">
      <c r="A70" s="0" t="n">
        <v>69</v>
      </c>
      <c r="B70" s="0" t="s">
        <v>553</v>
      </c>
      <c r="C70" s="0" t="s">
        <v>494</v>
      </c>
      <c r="D70" s="0" t="s">
        <v>416</v>
      </c>
      <c r="E70" s="0" t="s">
        <v>418</v>
      </c>
      <c r="F70" s="0" t="n">
        <v>3866161402</v>
      </c>
      <c r="G70" s="0" t="n">
        <v>162.378778884</v>
      </c>
      <c r="H70" s="0" t="n">
        <v>0.000655532519230446</v>
      </c>
    </row>
    <row r="71" customFormat="false" ht="15" hidden="false" customHeight="false" outlineLevel="0" collapsed="false">
      <c r="A71" s="0" t="n">
        <v>70</v>
      </c>
      <c r="B71" s="0" t="s">
        <v>554</v>
      </c>
      <c r="C71" s="0" t="s">
        <v>494</v>
      </c>
      <c r="D71" s="0" t="s">
        <v>416</v>
      </c>
      <c r="E71" s="0" t="s">
        <v>418</v>
      </c>
      <c r="F71" s="0" t="n">
        <v>3813713645</v>
      </c>
      <c r="G71" s="0" t="n">
        <v>160.17597309</v>
      </c>
      <c r="H71" s="0" t="n">
        <v>0.000646639664872009</v>
      </c>
    </row>
    <row r="72" customFormat="false" ht="15" hidden="false" customHeight="false" outlineLevel="0" collapsed="false">
      <c r="A72" s="0" t="n">
        <v>71</v>
      </c>
      <c r="B72" s="0" t="s">
        <v>555</v>
      </c>
      <c r="C72" s="0" t="s">
        <v>494</v>
      </c>
      <c r="D72" s="0" t="s">
        <v>416</v>
      </c>
      <c r="E72" s="0" t="s">
        <v>418</v>
      </c>
      <c r="F72" s="0" t="n">
        <v>3771839442</v>
      </c>
      <c r="G72" s="0" t="n">
        <v>158.417256564</v>
      </c>
      <c r="H72" s="0" t="n">
        <v>0.000639539624566098</v>
      </c>
    </row>
    <row r="73" customFormat="false" ht="15" hidden="false" customHeight="false" outlineLevel="0" collapsed="false">
      <c r="A73" s="0" t="n">
        <v>72</v>
      </c>
      <c r="B73" s="0" t="s">
        <v>556</v>
      </c>
      <c r="C73" s="0" t="s">
        <v>494</v>
      </c>
      <c r="D73" s="0" t="s">
        <v>416</v>
      </c>
      <c r="E73" s="0" t="s">
        <v>418</v>
      </c>
      <c r="F73" s="0" t="n">
        <v>3546164253</v>
      </c>
      <c r="G73" s="0" t="n">
        <v>148.938898626</v>
      </c>
      <c r="H73" s="0" t="n">
        <v>0.000601274945523871</v>
      </c>
    </row>
    <row r="74" customFormat="false" ht="15" hidden="false" customHeight="false" outlineLevel="0" collapsed="false">
      <c r="A74" s="0" t="n">
        <v>73</v>
      </c>
      <c r="B74" s="0" t="s">
        <v>557</v>
      </c>
      <c r="C74" s="0" t="s">
        <v>494</v>
      </c>
      <c r="D74" s="0" t="s">
        <v>416</v>
      </c>
      <c r="E74" s="0" t="s">
        <v>418</v>
      </c>
      <c r="F74" s="0" t="n">
        <v>3411174868</v>
      </c>
      <c r="G74" s="0" t="n">
        <v>143.269344456</v>
      </c>
      <c r="H74" s="0" t="n">
        <v>0.000578386627521254</v>
      </c>
    </row>
    <row r="75" customFormat="false" ht="15" hidden="false" customHeight="false" outlineLevel="0" collapsed="false">
      <c r="A75" s="0" t="n">
        <v>74</v>
      </c>
      <c r="B75" s="0" t="s">
        <v>558</v>
      </c>
      <c r="C75" s="0" t="s">
        <v>494</v>
      </c>
      <c r="D75" s="0" t="s">
        <v>416</v>
      </c>
      <c r="E75" s="0" t="s">
        <v>418</v>
      </c>
      <c r="F75" s="0" t="n">
        <v>3397820503</v>
      </c>
      <c r="G75" s="0" t="n">
        <v>142.708461126</v>
      </c>
      <c r="H75" s="0" t="n">
        <v>0.000576122309087305</v>
      </c>
    </row>
    <row r="76" customFormat="false" ht="15" hidden="false" customHeight="false" outlineLevel="0" collapsed="false">
      <c r="A76" s="0" t="n">
        <v>75</v>
      </c>
      <c r="B76" s="0" t="s">
        <v>559</v>
      </c>
      <c r="C76" s="0" t="s">
        <v>494</v>
      </c>
      <c r="D76" s="0" t="s">
        <v>416</v>
      </c>
      <c r="E76" s="0" t="s">
        <v>418</v>
      </c>
      <c r="F76" s="0" t="n">
        <v>3379624246</v>
      </c>
      <c r="G76" s="0" t="n">
        <v>141.944218332</v>
      </c>
      <c r="H76" s="0" t="n">
        <v>0.000573037016738774</v>
      </c>
    </row>
    <row r="77" customFormat="false" ht="15" hidden="false" customHeight="false" outlineLevel="0" collapsed="false">
      <c r="A77" s="0" t="n">
        <v>76</v>
      </c>
      <c r="B77" s="0" t="s">
        <v>560</v>
      </c>
      <c r="C77" s="0" t="s">
        <v>494</v>
      </c>
      <c r="D77" s="0" t="s">
        <v>416</v>
      </c>
      <c r="E77" s="0" t="s">
        <v>418</v>
      </c>
      <c r="F77" s="0" t="n">
        <v>3355592119</v>
      </c>
      <c r="G77" s="0" t="n">
        <v>140.934868998</v>
      </c>
      <c r="H77" s="0" t="n">
        <v>0.000568962215116</v>
      </c>
    </row>
    <row r="78" customFormat="false" ht="15" hidden="false" customHeight="false" outlineLevel="0" collapsed="false">
      <c r="A78" s="0" t="n">
        <v>77</v>
      </c>
      <c r="B78" s="0" t="s">
        <v>561</v>
      </c>
      <c r="C78" s="0" t="s">
        <v>494</v>
      </c>
      <c r="D78" s="0" t="s">
        <v>416</v>
      </c>
      <c r="E78" s="0" t="s">
        <v>418</v>
      </c>
      <c r="F78" s="0" t="n">
        <v>3175824421</v>
      </c>
      <c r="G78" s="0" t="n">
        <v>133.384625682</v>
      </c>
      <c r="H78" s="0" t="n">
        <v>0.000538481446287974</v>
      </c>
    </row>
    <row r="79" customFormat="false" ht="15" hidden="false" customHeight="false" outlineLevel="0" collapsed="false">
      <c r="A79" s="0" t="n">
        <v>78</v>
      </c>
      <c r="B79" s="0" t="s">
        <v>562</v>
      </c>
      <c r="C79" s="0" t="s">
        <v>494</v>
      </c>
      <c r="D79" s="0" t="s">
        <v>416</v>
      </c>
      <c r="E79" s="0" t="s">
        <v>419</v>
      </c>
      <c r="F79" s="0" t="n">
        <v>3321215654</v>
      </c>
      <c r="G79" s="0" t="n">
        <v>132.5165045946</v>
      </c>
      <c r="H79" s="0" t="n">
        <v>0.000534976791262659</v>
      </c>
    </row>
    <row r="80" customFormat="false" ht="15" hidden="false" customHeight="false" outlineLevel="0" collapsed="false">
      <c r="A80" s="0" t="n">
        <v>79</v>
      </c>
      <c r="B80" s="0" t="s">
        <v>563</v>
      </c>
      <c r="C80" s="0" t="s">
        <v>494</v>
      </c>
      <c r="D80" s="0" t="s">
        <v>416</v>
      </c>
      <c r="E80" s="0" t="s">
        <v>418</v>
      </c>
      <c r="F80" s="0" t="n">
        <v>2985651558</v>
      </c>
      <c r="G80" s="0" t="n">
        <v>125.397365436</v>
      </c>
      <c r="H80" s="0" t="n">
        <v>0.000506236414844857</v>
      </c>
    </row>
    <row r="81" customFormat="false" ht="15" hidden="false" customHeight="false" outlineLevel="0" collapsed="false">
      <c r="A81" s="0" t="n">
        <v>80</v>
      </c>
      <c r="B81" s="0" t="s">
        <v>564</v>
      </c>
      <c r="C81" s="0" t="s">
        <v>494</v>
      </c>
      <c r="D81" s="0" t="s">
        <v>416</v>
      </c>
      <c r="E81" s="0" t="s">
        <v>418</v>
      </c>
      <c r="F81" s="0" t="n">
        <v>2951144496</v>
      </c>
      <c r="G81" s="0" t="n">
        <v>123.948068832</v>
      </c>
      <c r="H81" s="0" t="n">
        <v>0.000500385520654977</v>
      </c>
    </row>
    <row r="82" customFormat="false" ht="15" hidden="false" customHeight="false" outlineLevel="0" collapsed="false">
      <c r="A82" s="0" t="n">
        <v>81</v>
      </c>
      <c r="B82" s="0" t="s">
        <v>565</v>
      </c>
      <c r="C82" s="0" t="s">
        <v>494</v>
      </c>
      <c r="D82" s="0" t="s">
        <v>416</v>
      </c>
      <c r="E82" s="0" t="s">
        <v>418</v>
      </c>
      <c r="F82" s="0" t="n">
        <v>2800573578</v>
      </c>
      <c r="G82" s="0" t="n">
        <v>117.624090276</v>
      </c>
      <c r="H82" s="0" t="n">
        <v>0.000474855253566717</v>
      </c>
    </row>
    <row r="83" customFormat="false" ht="15" hidden="false" customHeight="false" outlineLevel="0" collapsed="false">
      <c r="A83" s="0" t="n">
        <v>82</v>
      </c>
      <c r="B83" s="0" t="s">
        <v>566</v>
      </c>
      <c r="C83" s="0" t="s">
        <v>494</v>
      </c>
      <c r="D83" s="0" t="s">
        <v>416</v>
      </c>
      <c r="E83" s="0" t="s">
        <v>418</v>
      </c>
      <c r="F83" s="0" t="n">
        <v>2627169162</v>
      </c>
      <c r="G83" s="0" t="n">
        <v>110.341104804</v>
      </c>
      <c r="H83" s="0" t="n">
        <v>0.00044545342010799</v>
      </c>
    </row>
    <row r="84" customFormat="false" ht="15" hidden="false" customHeight="false" outlineLevel="0" collapsed="false">
      <c r="A84" s="0" t="n">
        <v>83</v>
      </c>
      <c r="B84" s="0" t="s">
        <v>567</v>
      </c>
      <c r="C84" s="0" t="s">
        <v>494</v>
      </c>
      <c r="D84" s="0" t="s">
        <v>416</v>
      </c>
      <c r="E84" s="0" t="s">
        <v>418</v>
      </c>
      <c r="F84" s="0" t="n">
        <v>2494089660</v>
      </c>
      <c r="G84" s="0" t="n">
        <v>104.75176572</v>
      </c>
      <c r="H84" s="0" t="n">
        <v>0.000422888935045657</v>
      </c>
    </row>
    <row r="85" customFormat="false" ht="15" hidden="false" customHeight="false" outlineLevel="0" collapsed="false">
      <c r="A85" s="0" t="n">
        <v>84</v>
      </c>
      <c r="B85" s="0" t="s">
        <v>568</v>
      </c>
      <c r="C85" s="0" t="s">
        <v>494</v>
      </c>
      <c r="D85" s="0" t="s">
        <v>416</v>
      </c>
      <c r="E85" s="0" t="s">
        <v>418</v>
      </c>
      <c r="F85" s="0" t="n">
        <v>2492633941</v>
      </c>
      <c r="G85" s="0" t="n">
        <v>104.690625522</v>
      </c>
      <c r="H85" s="0" t="n">
        <v>0.000422642108531155</v>
      </c>
    </row>
    <row r="86" customFormat="false" ht="15" hidden="false" customHeight="false" outlineLevel="0" collapsed="false">
      <c r="A86" s="0" t="n">
        <v>85</v>
      </c>
      <c r="B86" s="0" t="s">
        <v>569</v>
      </c>
      <c r="C86" s="0" t="s">
        <v>494</v>
      </c>
      <c r="D86" s="0" t="s">
        <v>416</v>
      </c>
      <c r="E86" s="0" t="s">
        <v>418</v>
      </c>
      <c r="F86" s="0" t="n">
        <v>2491145137</v>
      </c>
      <c r="G86" s="0" t="n">
        <v>104.628095754</v>
      </c>
      <c r="H86" s="0" t="n">
        <v>0.000422389672242216</v>
      </c>
    </row>
    <row r="87" customFormat="false" ht="15" hidden="false" customHeight="false" outlineLevel="0" collapsed="false">
      <c r="A87" s="0" t="n">
        <v>86</v>
      </c>
      <c r="B87" s="0" t="s">
        <v>570</v>
      </c>
      <c r="C87" s="0" t="s">
        <v>494</v>
      </c>
      <c r="D87" s="0" t="s">
        <v>416</v>
      </c>
      <c r="E87" s="0" t="s">
        <v>418</v>
      </c>
      <c r="F87" s="0" t="n">
        <v>2442518182</v>
      </c>
      <c r="G87" s="0" t="n">
        <v>102.585763644</v>
      </c>
      <c r="H87" s="0" t="n">
        <v>0.000414144659424808</v>
      </c>
    </row>
    <row r="88" customFormat="false" ht="15" hidden="false" customHeight="false" outlineLevel="0" collapsed="false">
      <c r="A88" s="0" t="n">
        <v>87</v>
      </c>
      <c r="B88" s="0" t="s">
        <v>571</v>
      </c>
      <c r="C88" s="0" t="s">
        <v>494</v>
      </c>
      <c r="D88" s="0" t="s">
        <v>416</v>
      </c>
      <c r="E88" s="0" t="s">
        <v>418</v>
      </c>
      <c r="F88" s="0" t="n">
        <v>2362928703</v>
      </c>
      <c r="G88" s="0" t="n">
        <v>99.243005526</v>
      </c>
      <c r="H88" s="0" t="n">
        <v>0.000400649751621394</v>
      </c>
    </row>
    <row r="89" customFormat="false" ht="15" hidden="false" customHeight="false" outlineLevel="0" collapsed="false">
      <c r="A89" s="0" t="n">
        <v>88</v>
      </c>
      <c r="B89" s="0" t="s">
        <v>572</v>
      </c>
      <c r="C89" s="0" t="s">
        <v>494</v>
      </c>
      <c r="D89" s="0" t="s">
        <v>416</v>
      </c>
      <c r="E89" s="0" t="s">
        <v>418</v>
      </c>
      <c r="F89" s="0" t="n">
        <v>2338351547</v>
      </c>
      <c r="G89" s="0" t="n">
        <v>98.210764974</v>
      </c>
      <c r="H89" s="0" t="n">
        <v>0.000396482536827965</v>
      </c>
    </row>
    <row r="90" customFormat="false" ht="15" hidden="false" customHeight="false" outlineLevel="0" collapsed="false">
      <c r="A90" s="0" t="n">
        <v>89</v>
      </c>
      <c r="B90" s="0" t="s">
        <v>573</v>
      </c>
      <c r="C90" s="0" t="s">
        <v>494</v>
      </c>
      <c r="D90" s="0" t="s">
        <v>416</v>
      </c>
      <c r="E90" s="0" t="s">
        <v>418</v>
      </c>
      <c r="F90" s="0" t="n">
        <v>2256758583</v>
      </c>
      <c r="G90" s="0" t="n">
        <v>94.783860486</v>
      </c>
      <c r="H90" s="0" t="n">
        <v>0.000382647925263447</v>
      </c>
    </row>
    <row r="91" customFormat="false" ht="15" hidden="false" customHeight="false" outlineLevel="0" collapsed="false">
      <c r="A91" s="0" t="n">
        <v>90</v>
      </c>
      <c r="B91" s="0" t="s">
        <v>574</v>
      </c>
      <c r="C91" s="0" t="s">
        <v>494</v>
      </c>
      <c r="D91" s="0" t="s">
        <v>416</v>
      </c>
      <c r="E91" s="0" t="s">
        <v>417</v>
      </c>
      <c r="F91" s="0" t="n">
        <v>2353413568</v>
      </c>
      <c r="G91" s="0" t="n">
        <v>90.93590026752</v>
      </c>
      <c r="H91" s="0" t="n">
        <v>0.000367113487369191</v>
      </c>
    </row>
    <row r="92" customFormat="false" ht="15" hidden="false" customHeight="false" outlineLevel="0" collapsed="false">
      <c r="A92" s="0" t="n">
        <v>91</v>
      </c>
      <c r="B92" s="0" t="s">
        <v>575</v>
      </c>
      <c r="C92" s="0" t="s">
        <v>494</v>
      </c>
      <c r="D92" s="0" t="s">
        <v>416</v>
      </c>
      <c r="E92" s="0" t="s">
        <v>418</v>
      </c>
      <c r="F92" s="0" t="n">
        <v>2164546215</v>
      </c>
      <c r="G92" s="0" t="n">
        <v>90.91094103</v>
      </c>
      <c r="H92" s="0" t="n">
        <v>0.000367012725484159</v>
      </c>
    </row>
    <row r="93" customFormat="false" ht="15" hidden="false" customHeight="false" outlineLevel="0" collapsed="false">
      <c r="A93" s="0" t="n">
        <v>92</v>
      </c>
      <c r="B93" s="0" t="s">
        <v>576</v>
      </c>
      <c r="C93" s="0" t="s">
        <v>494</v>
      </c>
      <c r="D93" s="0" t="s">
        <v>416</v>
      </c>
      <c r="E93" s="0" t="s">
        <v>418</v>
      </c>
      <c r="F93" s="0" t="n">
        <v>2136534869</v>
      </c>
      <c r="G93" s="0" t="n">
        <v>89.367025648</v>
      </c>
      <c r="H93" s="0" t="n">
        <v>0.000360779849816556</v>
      </c>
    </row>
    <row r="94" customFormat="false" ht="15" hidden="false" customHeight="false" outlineLevel="0" collapsed="false">
      <c r="A94" s="0" t="n">
        <v>93</v>
      </c>
      <c r="B94" s="0" t="s">
        <v>577</v>
      </c>
      <c r="C94" s="0" t="s">
        <v>494</v>
      </c>
      <c r="D94" s="0" t="s">
        <v>416</v>
      </c>
      <c r="E94" s="0" t="s">
        <v>419</v>
      </c>
      <c r="F94" s="0" t="n">
        <v>2230357372</v>
      </c>
      <c r="G94" s="0" t="n">
        <v>88.9912591428</v>
      </c>
      <c r="H94" s="0" t="n">
        <v>0.000359262858707933</v>
      </c>
    </row>
    <row r="95" customFormat="false" ht="15" hidden="false" customHeight="false" outlineLevel="0" collapsed="false">
      <c r="A95" s="0" t="n">
        <v>94</v>
      </c>
      <c r="B95" s="0" t="s">
        <v>578</v>
      </c>
      <c r="C95" s="0" t="s">
        <v>494</v>
      </c>
      <c r="D95" s="0" t="s">
        <v>416</v>
      </c>
      <c r="E95" s="0" t="s">
        <v>418</v>
      </c>
      <c r="F95" s="0" t="n">
        <v>2043915841</v>
      </c>
      <c r="G95" s="0" t="n">
        <v>85.844465322</v>
      </c>
      <c r="H95" s="0" t="n">
        <v>0.000346559070103133</v>
      </c>
    </row>
    <row r="96" customFormat="false" ht="15" hidden="false" customHeight="false" outlineLevel="0" collapsed="false">
      <c r="A96" s="0" t="n">
        <v>95</v>
      </c>
      <c r="B96" s="0" t="s">
        <v>579</v>
      </c>
      <c r="C96" s="0" t="s">
        <v>494</v>
      </c>
      <c r="D96" s="0" t="s">
        <v>416</v>
      </c>
      <c r="E96" s="0" t="s">
        <v>418</v>
      </c>
      <c r="F96" s="0" t="n">
        <v>2142019979</v>
      </c>
      <c r="G96" s="0" t="n">
        <v>84.964839118</v>
      </c>
      <c r="H96" s="0" t="n">
        <v>0.000343007968256868</v>
      </c>
    </row>
    <row r="97" customFormat="false" ht="15" hidden="false" customHeight="false" outlineLevel="0" collapsed="false">
      <c r="A97" s="0" t="n">
        <v>96</v>
      </c>
      <c r="B97" s="0" t="s">
        <v>580</v>
      </c>
      <c r="C97" s="0" t="s">
        <v>494</v>
      </c>
      <c r="D97" s="0" t="s">
        <v>416</v>
      </c>
      <c r="E97" s="0" t="s">
        <v>418</v>
      </c>
      <c r="F97" s="0" t="n">
        <v>1946773555</v>
      </c>
      <c r="G97" s="0" t="n">
        <v>81.76448931</v>
      </c>
      <c r="H97" s="0" t="n">
        <v>0.000330087971035091</v>
      </c>
    </row>
    <row r="98" customFormat="false" ht="15" hidden="false" customHeight="false" outlineLevel="0" collapsed="false">
      <c r="A98" s="0" t="n">
        <v>97</v>
      </c>
      <c r="B98" s="0" t="s">
        <v>581</v>
      </c>
      <c r="C98" s="0" t="s">
        <v>494</v>
      </c>
      <c r="D98" s="0" t="s">
        <v>416</v>
      </c>
      <c r="E98" s="0" t="s">
        <v>418</v>
      </c>
      <c r="F98" s="0" t="n">
        <v>1937486422</v>
      </c>
      <c r="G98" s="0" t="n">
        <v>81.374429724</v>
      </c>
      <c r="H98" s="0" t="n">
        <v>0.00032851327793284</v>
      </c>
    </row>
    <row r="99" customFormat="false" ht="15" hidden="false" customHeight="false" outlineLevel="0" collapsed="false">
      <c r="A99" s="0" t="n">
        <v>98</v>
      </c>
      <c r="B99" s="0" t="s">
        <v>582</v>
      </c>
      <c r="C99" s="0" t="s">
        <v>494</v>
      </c>
      <c r="D99" s="0" t="s">
        <v>416</v>
      </c>
      <c r="E99" s="0" t="s">
        <v>418</v>
      </c>
      <c r="F99" s="0" t="n">
        <v>1920405861</v>
      </c>
      <c r="G99" s="0" t="n">
        <v>80.657046162</v>
      </c>
      <c r="H99" s="0" t="n">
        <v>0.000325617159013333</v>
      </c>
    </row>
    <row r="100" customFormat="false" ht="15" hidden="false" customHeight="false" outlineLevel="0" collapsed="false">
      <c r="A100" s="0" t="n">
        <v>99</v>
      </c>
      <c r="B100" s="0" t="s">
        <v>583</v>
      </c>
      <c r="C100" s="0" t="s">
        <v>494</v>
      </c>
      <c r="D100" s="0" t="s">
        <v>416</v>
      </c>
      <c r="E100" s="0" t="s">
        <v>418</v>
      </c>
      <c r="F100" s="0" t="n">
        <v>1913328689</v>
      </c>
      <c r="G100" s="0" t="n">
        <v>80.359804938</v>
      </c>
      <c r="H100" s="0" t="n">
        <v>0.000324417179005311</v>
      </c>
    </row>
    <row r="101" customFormat="false" ht="15" hidden="false" customHeight="false" outlineLevel="0" collapsed="false">
      <c r="A101" s="0" t="n">
        <v>100</v>
      </c>
      <c r="B101" s="0" t="s">
        <v>584</v>
      </c>
      <c r="C101" s="0" t="s">
        <v>494</v>
      </c>
      <c r="D101" s="0" t="s">
        <v>416</v>
      </c>
      <c r="E101" s="0" t="s">
        <v>419</v>
      </c>
      <c r="F101" s="0" t="n">
        <v>1964703121</v>
      </c>
      <c r="G101" s="0" t="n">
        <v>78.3916545279</v>
      </c>
      <c r="H101" s="0" t="n">
        <v>0.000316471641999647</v>
      </c>
    </row>
    <row r="102" customFormat="false" ht="15" hidden="false" customHeight="false" outlineLevel="0" collapsed="false">
      <c r="A102" s="0" t="n">
        <v>101</v>
      </c>
      <c r="B102" s="0" t="s">
        <v>585</v>
      </c>
      <c r="C102" s="0" t="s">
        <v>494</v>
      </c>
      <c r="D102" s="0" t="s">
        <v>416</v>
      </c>
      <c r="E102" s="0" t="s">
        <v>418</v>
      </c>
      <c r="F102" s="0" t="n">
        <v>1819877984</v>
      </c>
      <c r="G102" s="0" t="n">
        <v>76.434875328</v>
      </c>
      <c r="H102" s="0" t="n">
        <v>0.000308572011227054</v>
      </c>
    </row>
    <row r="103" customFormat="false" ht="15" hidden="false" customHeight="false" outlineLevel="0" collapsed="false">
      <c r="A103" s="0" t="n">
        <v>102</v>
      </c>
      <c r="B103" s="0" t="s">
        <v>586</v>
      </c>
      <c r="C103" s="0" t="s">
        <v>494</v>
      </c>
      <c r="D103" s="0" t="s">
        <v>416</v>
      </c>
      <c r="E103" s="0" t="s">
        <v>419</v>
      </c>
      <c r="F103" s="0" t="n">
        <v>1887202164</v>
      </c>
      <c r="G103" s="0" t="n">
        <v>75.2993663436</v>
      </c>
      <c r="H103" s="0" t="n">
        <v>0.000303987895800959</v>
      </c>
    </row>
    <row r="104" customFormat="false" ht="15" hidden="false" customHeight="false" outlineLevel="0" collapsed="false">
      <c r="A104" s="0" t="n">
        <v>103</v>
      </c>
      <c r="B104" s="0" t="s">
        <v>587</v>
      </c>
      <c r="C104" s="0" t="s">
        <v>494</v>
      </c>
      <c r="D104" s="0" t="s">
        <v>416</v>
      </c>
      <c r="E104" s="0" t="s">
        <v>418</v>
      </c>
      <c r="F104" s="0" t="n">
        <v>1754648178</v>
      </c>
      <c r="G104" s="0" t="n">
        <v>73.695223476</v>
      </c>
      <c r="H104" s="0" t="n">
        <v>0.000297511878291586</v>
      </c>
    </row>
    <row r="105" customFormat="false" ht="15" hidden="false" customHeight="false" outlineLevel="0" collapsed="false">
      <c r="A105" s="0" t="n">
        <v>104</v>
      </c>
      <c r="B105" s="0" t="s">
        <v>588</v>
      </c>
      <c r="C105" s="0" t="s">
        <v>494</v>
      </c>
      <c r="D105" s="0" t="s">
        <v>416</v>
      </c>
      <c r="E105" s="0" t="s">
        <v>419</v>
      </c>
      <c r="F105" s="0" t="n">
        <v>1817017583</v>
      </c>
      <c r="G105" s="0" t="n">
        <v>72.4990015617</v>
      </c>
      <c r="H105" s="0" t="n">
        <v>0.000292682661257013</v>
      </c>
    </row>
    <row r="106" customFormat="false" ht="15" hidden="false" customHeight="false" outlineLevel="0" collapsed="false">
      <c r="A106" s="0" t="n">
        <v>105</v>
      </c>
      <c r="B106" s="0" t="s">
        <v>589</v>
      </c>
      <c r="C106" s="0" t="s">
        <v>494</v>
      </c>
      <c r="D106" s="0" t="s">
        <v>416</v>
      </c>
      <c r="E106" s="0" t="s">
        <v>419</v>
      </c>
      <c r="F106" s="0" t="n">
        <v>1812201895</v>
      </c>
      <c r="G106" s="0" t="n">
        <v>72.3068556105</v>
      </c>
      <c r="H106" s="0" t="n">
        <v>0.000291906956941981</v>
      </c>
    </row>
    <row r="107" customFormat="false" ht="15" hidden="false" customHeight="false" outlineLevel="0" collapsed="false">
      <c r="A107" s="0" t="n">
        <v>106</v>
      </c>
      <c r="B107" s="0" t="s">
        <v>590</v>
      </c>
      <c r="C107" s="0" t="s">
        <v>494</v>
      </c>
      <c r="D107" s="0" t="s">
        <v>416</v>
      </c>
      <c r="E107" s="0" t="s">
        <v>418</v>
      </c>
      <c r="F107" s="0" t="n">
        <v>1746632378</v>
      </c>
      <c r="G107" s="0" t="n">
        <v>70.014470398</v>
      </c>
      <c r="H107" s="0" t="n">
        <v>0.000282652465291503</v>
      </c>
    </row>
    <row r="108" customFormat="false" ht="15" hidden="false" customHeight="false" outlineLevel="0" collapsed="false">
      <c r="A108" s="0" t="n">
        <v>107</v>
      </c>
      <c r="B108" s="0" t="s">
        <v>591</v>
      </c>
      <c r="C108" s="0" t="s">
        <v>494</v>
      </c>
      <c r="D108" s="0" t="s">
        <v>416</v>
      </c>
      <c r="E108" s="0" t="s">
        <v>419</v>
      </c>
      <c r="F108" s="0" t="n">
        <v>1705874362</v>
      </c>
      <c r="G108" s="0" t="n">
        <v>68.0643870438</v>
      </c>
      <c r="H108" s="0" t="n">
        <v>0.00027477986603516</v>
      </c>
    </row>
    <row r="109" customFormat="false" ht="15" hidden="false" customHeight="false" outlineLevel="0" collapsed="false">
      <c r="A109" s="0" t="n">
        <v>108</v>
      </c>
      <c r="B109" s="0" t="s">
        <v>592</v>
      </c>
      <c r="C109" s="0" t="s">
        <v>494</v>
      </c>
      <c r="D109" s="0" t="s">
        <v>416</v>
      </c>
      <c r="E109" s="0" t="s">
        <v>418</v>
      </c>
      <c r="F109" s="0" t="n">
        <v>1603846692</v>
      </c>
      <c r="G109" s="0" t="n">
        <v>67.361561064</v>
      </c>
      <c r="H109" s="0" t="n">
        <v>0.000271942516916726</v>
      </c>
    </row>
    <row r="110" customFormat="false" ht="15" hidden="false" customHeight="false" outlineLevel="0" collapsed="false">
      <c r="A110" s="0" t="n">
        <v>109</v>
      </c>
      <c r="B110" s="0" t="s">
        <v>593</v>
      </c>
      <c r="C110" s="0" t="s">
        <v>494</v>
      </c>
      <c r="D110" s="0" t="s">
        <v>416</v>
      </c>
      <c r="E110" s="0" t="s">
        <v>418</v>
      </c>
      <c r="F110" s="0" t="n">
        <v>1582519435</v>
      </c>
      <c r="G110" s="0" t="n">
        <v>66.46581627</v>
      </c>
      <c r="H110" s="0" t="n">
        <v>0.000268326343390641</v>
      </c>
    </row>
    <row r="111" customFormat="false" ht="15" hidden="false" customHeight="false" outlineLevel="0" collapsed="false">
      <c r="A111" s="0" t="n">
        <v>110</v>
      </c>
      <c r="B111" s="0" t="s">
        <v>594</v>
      </c>
      <c r="C111" s="0" t="s">
        <v>494</v>
      </c>
      <c r="D111" s="0" t="s">
        <v>416</v>
      </c>
      <c r="E111" s="0" t="s">
        <v>418</v>
      </c>
      <c r="F111" s="0" t="n">
        <v>1565663210</v>
      </c>
      <c r="G111" s="0" t="n">
        <v>65.75785482</v>
      </c>
      <c r="H111" s="0" t="n">
        <v>0.000265468262082072</v>
      </c>
    </row>
    <row r="112" customFormat="false" ht="15" hidden="false" customHeight="false" outlineLevel="0" collapsed="false">
      <c r="A112" s="0" t="n">
        <v>111</v>
      </c>
      <c r="B112" s="0" t="s">
        <v>595</v>
      </c>
      <c r="C112" s="0" t="s">
        <v>494</v>
      </c>
      <c r="D112" s="0" t="s">
        <v>416</v>
      </c>
      <c r="E112" s="0" t="s">
        <v>418</v>
      </c>
      <c r="F112" s="0" t="n">
        <v>1538383145</v>
      </c>
      <c r="G112" s="0" t="n">
        <v>64.61209209</v>
      </c>
      <c r="H112" s="0" t="n">
        <v>0.00026084275169211</v>
      </c>
    </row>
    <row r="113" customFormat="false" ht="15" hidden="false" customHeight="false" outlineLevel="0" collapsed="false">
      <c r="A113" s="0" t="n">
        <v>112</v>
      </c>
      <c r="B113" s="0" t="s">
        <v>596</v>
      </c>
      <c r="C113" s="0" t="s">
        <v>494</v>
      </c>
      <c r="D113" s="0" t="s">
        <v>416</v>
      </c>
      <c r="E113" s="0" t="s">
        <v>419</v>
      </c>
      <c r="F113" s="0" t="n">
        <v>1613146887</v>
      </c>
      <c r="G113" s="0" t="n">
        <v>64.3645607913</v>
      </c>
      <c r="H113" s="0" t="n">
        <v>0.000259843453526793</v>
      </c>
    </row>
    <row r="114" customFormat="false" ht="15" hidden="false" customHeight="false" outlineLevel="0" collapsed="false">
      <c r="A114" s="0" t="n">
        <v>113</v>
      </c>
      <c r="B114" s="0" t="s">
        <v>597</v>
      </c>
      <c r="C114" s="0" t="s">
        <v>494</v>
      </c>
      <c r="D114" s="0" t="s">
        <v>416</v>
      </c>
      <c r="E114" s="0" t="s">
        <v>419</v>
      </c>
      <c r="F114" s="0" t="n">
        <v>1602264388</v>
      </c>
      <c r="G114" s="0" t="n">
        <v>63.9303490812</v>
      </c>
      <c r="H114" s="0" t="n">
        <v>0.000258090515746638</v>
      </c>
    </row>
    <row r="115" customFormat="false" ht="15" hidden="false" customHeight="false" outlineLevel="0" collapsed="false">
      <c r="A115" s="0" t="n">
        <v>114</v>
      </c>
      <c r="B115" s="0" t="s">
        <v>598</v>
      </c>
      <c r="C115" s="0" t="s">
        <v>494</v>
      </c>
      <c r="D115" s="0" t="s">
        <v>416</v>
      </c>
      <c r="E115" s="0" t="s">
        <v>419</v>
      </c>
      <c r="F115" s="0" t="n">
        <v>1564242215</v>
      </c>
      <c r="G115" s="0" t="n">
        <v>62.4132643785</v>
      </c>
      <c r="H115" s="0" t="n">
        <v>0.000251965957082742</v>
      </c>
    </row>
    <row r="116" customFormat="false" ht="15" hidden="false" customHeight="false" outlineLevel="0" collapsed="false">
      <c r="A116" s="0" t="n">
        <v>115</v>
      </c>
      <c r="B116" s="0" t="s">
        <v>599</v>
      </c>
      <c r="C116" s="0" t="s">
        <v>494</v>
      </c>
      <c r="D116" s="0" t="s">
        <v>416</v>
      </c>
      <c r="E116" s="0" t="s">
        <v>418</v>
      </c>
      <c r="F116" s="0" t="n">
        <v>1485272540</v>
      </c>
      <c r="G116" s="0" t="n">
        <v>62.38144668</v>
      </c>
      <c r="H116" s="0" t="n">
        <v>0.000251837507194172</v>
      </c>
    </row>
    <row r="117" customFormat="false" ht="15" hidden="false" customHeight="false" outlineLevel="0" collapsed="false">
      <c r="A117" s="0" t="n">
        <v>116</v>
      </c>
      <c r="B117" s="0" t="s">
        <v>600</v>
      </c>
      <c r="C117" s="0" t="s">
        <v>494</v>
      </c>
      <c r="D117" s="0" t="s">
        <v>416</v>
      </c>
      <c r="E117" s="0" t="s">
        <v>419</v>
      </c>
      <c r="F117" s="0" t="n">
        <v>1531508935</v>
      </c>
      <c r="G117" s="0" t="n">
        <v>61.1072065065</v>
      </c>
      <c r="H117" s="0" t="n">
        <v>0.000246693325936128</v>
      </c>
    </row>
    <row r="118" customFormat="false" ht="15" hidden="false" customHeight="false" outlineLevel="0" collapsed="false">
      <c r="A118" s="0" t="n">
        <v>117</v>
      </c>
      <c r="B118" s="0" t="s">
        <v>601</v>
      </c>
      <c r="C118" s="0" t="s">
        <v>494</v>
      </c>
      <c r="D118" s="0" t="s">
        <v>416</v>
      </c>
      <c r="E118" s="0" t="s">
        <v>418</v>
      </c>
      <c r="F118" s="0" t="n">
        <v>1421196587</v>
      </c>
      <c r="G118" s="0" t="n">
        <v>59.690256654</v>
      </c>
      <c r="H118" s="0" t="n">
        <v>0.000240973017452369</v>
      </c>
    </row>
    <row r="119" customFormat="false" ht="15" hidden="false" customHeight="false" outlineLevel="0" collapsed="false">
      <c r="A119" s="0" t="n">
        <v>118</v>
      </c>
      <c r="B119" s="0" t="s">
        <v>602</v>
      </c>
      <c r="C119" s="0" t="s">
        <v>494</v>
      </c>
      <c r="D119" s="0" t="s">
        <v>416</v>
      </c>
      <c r="E119" s="0" t="s">
        <v>418</v>
      </c>
      <c r="F119" s="0" t="n">
        <v>1410557583</v>
      </c>
      <c r="G119" s="0" t="n">
        <v>59.243418486</v>
      </c>
      <c r="H119" s="0" t="n">
        <v>0.000239169105931599</v>
      </c>
    </row>
    <row r="120" customFormat="false" ht="15" hidden="false" customHeight="false" outlineLevel="0" collapsed="false">
      <c r="A120" s="0" t="n">
        <v>119</v>
      </c>
      <c r="B120" s="0" t="s">
        <v>603</v>
      </c>
      <c r="C120" s="0" t="s">
        <v>494</v>
      </c>
      <c r="D120" s="0" t="s">
        <v>416</v>
      </c>
      <c r="E120" s="0" t="s">
        <v>419</v>
      </c>
      <c r="F120" s="0" t="n">
        <v>1474417535</v>
      </c>
      <c r="G120" s="0" t="n">
        <v>58.8292596465</v>
      </c>
      <c r="H120" s="0" t="n">
        <v>0.00023749712274953</v>
      </c>
    </row>
    <row r="121" customFormat="false" ht="15" hidden="false" customHeight="false" outlineLevel="0" collapsed="false">
      <c r="A121" s="0" t="n">
        <v>120</v>
      </c>
      <c r="B121" s="0" t="s">
        <v>604</v>
      </c>
      <c r="C121" s="0" t="s">
        <v>494</v>
      </c>
      <c r="D121" s="0" t="s">
        <v>416</v>
      </c>
      <c r="E121" s="0" t="s">
        <v>419</v>
      </c>
      <c r="F121" s="0" t="n">
        <v>1473707391</v>
      </c>
      <c r="G121" s="0" t="n">
        <v>58.8009249009</v>
      </c>
      <c r="H121" s="0" t="n">
        <v>0.000237382733743204</v>
      </c>
    </row>
    <row r="122" customFormat="false" ht="15" hidden="false" customHeight="false" outlineLevel="0" collapsed="false">
      <c r="A122" s="0" t="n">
        <v>121</v>
      </c>
      <c r="B122" s="0" t="s">
        <v>605</v>
      </c>
      <c r="C122" s="0" t="s">
        <v>494</v>
      </c>
      <c r="D122" s="0" t="s">
        <v>416</v>
      </c>
      <c r="E122" s="0" t="s">
        <v>418</v>
      </c>
      <c r="F122" s="0" t="n">
        <v>1366328414</v>
      </c>
      <c r="G122" s="0" t="n">
        <v>56.426224132</v>
      </c>
      <c r="H122" s="0" t="n">
        <v>0.000227795929431986</v>
      </c>
    </row>
    <row r="123" customFormat="false" ht="15" hidden="false" customHeight="false" outlineLevel="0" collapsed="false">
      <c r="A123" s="0" t="n">
        <v>122</v>
      </c>
      <c r="B123" s="0" t="s">
        <v>606</v>
      </c>
      <c r="C123" s="0" t="s">
        <v>494</v>
      </c>
      <c r="D123" s="0" t="s">
        <v>416</v>
      </c>
      <c r="E123" s="0" t="s">
        <v>418</v>
      </c>
      <c r="F123" s="0" t="n">
        <v>1335681179</v>
      </c>
      <c r="G123" s="0" t="n">
        <v>56.098609518</v>
      </c>
      <c r="H123" s="0" t="n">
        <v>0.000226473330292319</v>
      </c>
    </row>
    <row r="124" customFormat="false" ht="15" hidden="false" customHeight="false" outlineLevel="0" collapsed="false">
      <c r="A124" s="0" t="n">
        <v>123</v>
      </c>
      <c r="B124" s="0" t="s">
        <v>607</v>
      </c>
      <c r="C124" s="0" t="s">
        <v>494</v>
      </c>
      <c r="D124" s="0" t="s">
        <v>416</v>
      </c>
      <c r="E124" s="0" t="s">
        <v>418</v>
      </c>
      <c r="F124" s="0" t="n">
        <v>1314076762</v>
      </c>
      <c r="G124" s="0" t="n">
        <v>55.191224004</v>
      </c>
      <c r="H124" s="0" t="n">
        <v>0.000222810162506518</v>
      </c>
    </row>
    <row r="125" customFormat="false" ht="15" hidden="false" customHeight="false" outlineLevel="0" collapsed="false">
      <c r="A125" s="0" t="n">
        <v>124</v>
      </c>
      <c r="B125" s="0" t="s">
        <v>608</v>
      </c>
      <c r="C125" s="0" t="s">
        <v>494</v>
      </c>
      <c r="D125" s="0" t="s">
        <v>416</v>
      </c>
      <c r="E125" s="0" t="s">
        <v>418</v>
      </c>
      <c r="F125" s="0" t="n">
        <v>1420721515</v>
      </c>
      <c r="G125" s="0" t="n">
        <v>54.67030363</v>
      </c>
      <c r="H125" s="0" t="n">
        <v>0.000220707176836632</v>
      </c>
    </row>
    <row r="126" customFormat="false" ht="15" hidden="false" customHeight="false" outlineLevel="0" collapsed="false">
      <c r="A126" s="0" t="n">
        <v>125</v>
      </c>
      <c r="B126" s="0" t="s">
        <v>609</v>
      </c>
      <c r="C126" s="0" t="s">
        <v>494</v>
      </c>
      <c r="D126" s="0" t="s">
        <v>416</v>
      </c>
      <c r="E126" s="0" t="s">
        <v>419</v>
      </c>
      <c r="F126" s="0" t="n">
        <v>1335228961</v>
      </c>
      <c r="G126" s="0" t="n">
        <v>53.2756355439</v>
      </c>
      <c r="H126" s="0" t="n">
        <v>0.00021507682113218</v>
      </c>
    </row>
    <row r="127" customFormat="false" ht="15" hidden="false" customHeight="false" outlineLevel="0" collapsed="false">
      <c r="A127" s="0" t="n">
        <v>126</v>
      </c>
      <c r="B127" s="0" t="s">
        <v>610</v>
      </c>
      <c r="C127" s="0" t="s">
        <v>494</v>
      </c>
      <c r="D127" s="0" t="s">
        <v>416</v>
      </c>
      <c r="E127" s="0" t="s">
        <v>417</v>
      </c>
      <c r="F127" s="0" t="n">
        <v>1360469119</v>
      </c>
      <c r="G127" s="0" t="n">
        <v>52.56852675816</v>
      </c>
      <c r="H127" s="0" t="n">
        <v>0.000212222182078531</v>
      </c>
    </row>
    <row r="128" customFormat="false" ht="15" hidden="false" customHeight="false" outlineLevel="0" collapsed="false">
      <c r="A128" s="0" t="n">
        <v>127</v>
      </c>
      <c r="B128" s="0" t="s">
        <v>611</v>
      </c>
      <c r="C128" s="0" t="s">
        <v>494</v>
      </c>
      <c r="D128" s="0" t="s">
        <v>416</v>
      </c>
      <c r="E128" s="0" t="s">
        <v>418</v>
      </c>
      <c r="F128" s="0" t="n">
        <v>1220828137</v>
      </c>
      <c r="G128" s="0" t="n">
        <v>51.274781754</v>
      </c>
      <c r="H128" s="0" t="n">
        <v>0.000206999258691327</v>
      </c>
    </row>
    <row r="129" customFormat="false" ht="15" hidden="false" customHeight="false" outlineLevel="0" collapsed="false">
      <c r="A129" s="0" t="n">
        <v>128</v>
      </c>
      <c r="B129" s="0" t="s">
        <v>612</v>
      </c>
      <c r="C129" s="0" t="s">
        <v>494</v>
      </c>
      <c r="D129" s="0" t="s">
        <v>416</v>
      </c>
      <c r="E129" s="0" t="s">
        <v>418</v>
      </c>
      <c r="F129" s="0" t="n">
        <v>1214342287</v>
      </c>
      <c r="G129" s="0" t="n">
        <v>51.002376054</v>
      </c>
      <c r="H129" s="0" t="n">
        <v>0.000205899541129704</v>
      </c>
    </row>
    <row r="130" customFormat="false" ht="15" hidden="false" customHeight="false" outlineLevel="0" collapsed="false">
      <c r="A130" s="0" t="n">
        <v>129</v>
      </c>
      <c r="B130" s="0" t="s">
        <v>613</v>
      </c>
      <c r="C130" s="0" t="s">
        <v>494</v>
      </c>
      <c r="D130" s="0" t="s">
        <v>416</v>
      </c>
      <c r="E130" s="0" t="s">
        <v>419</v>
      </c>
      <c r="F130" s="0" t="n">
        <v>1228524014</v>
      </c>
      <c r="G130" s="0" t="n">
        <v>49.0181081586</v>
      </c>
      <c r="H130" s="0" t="n">
        <v>0.000197888936903958</v>
      </c>
    </row>
    <row r="131" customFormat="false" ht="15" hidden="false" customHeight="false" outlineLevel="0" collapsed="false">
      <c r="A131" s="0" t="n">
        <v>130</v>
      </c>
      <c r="B131" s="0" t="s">
        <v>614</v>
      </c>
      <c r="C131" s="0" t="s">
        <v>494</v>
      </c>
      <c r="D131" s="0" t="s">
        <v>416</v>
      </c>
      <c r="E131" s="0" t="s">
        <v>418</v>
      </c>
      <c r="F131" s="0" t="n">
        <v>1150125006</v>
      </c>
      <c r="G131" s="0" t="n">
        <v>48.305250252</v>
      </c>
      <c r="H131" s="0" t="n">
        <v>0.000195011088316978</v>
      </c>
    </row>
    <row r="132" customFormat="false" ht="15" hidden="false" customHeight="false" outlineLevel="0" collapsed="false">
      <c r="A132" s="0" t="n">
        <v>131</v>
      </c>
      <c r="B132" s="0" t="s">
        <v>615</v>
      </c>
      <c r="C132" s="0" t="s">
        <v>494</v>
      </c>
      <c r="D132" s="0" t="s">
        <v>416</v>
      </c>
      <c r="E132" s="0" t="s">
        <v>419</v>
      </c>
      <c r="F132" s="0" t="n">
        <v>1200114364</v>
      </c>
      <c r="G132" s="0" t="n">
        <v>47.8845631236</v>
      </c>
      <c r="H132" s="0" t="n">
        <v>0.000193312750055148</v>
      </c>
    </row>
    <row r="133" customFormat="false" ht="15" hidden="false" customHeight="false" outlineLevel="0" collapsed="false">
      <c r="A133" s="0" t="n">
        <v>132</v>
      </c>
      <c r="B133" s="0" t="s">
        <v>616</v>
      </c>
      <c r="C133" s="0" t="s">
        <v>494</v>
      </c>
      <c r="D133" s="0" t="s">
        <v>416</v>
      </c>
      <c r="E133" s="0" t="s">
        <v>418</v>
      </c>
      <c r="F133" s="0" t="n">
        <v>1140093985</v>
      </c>
      <c r="G133" s="0" t="n">
        <v>47.88394737</v>
      </c>
      <c r="H133" s="0" t="n">
        <v>0.000193310264222261</v>
      </c>
    </row>
    <row r="134" customFormat="false" ht="15" hidden="false" customHeight="false" outlineLevel="0" collapsed="false">
      <c r="A134" s="0" t="n">
        <v>133</v>
      </c>
      <c r="B134" s="0" t="s">
        <v>617</v>
      </c>
      <c r="C134" s="0" t="s">
        <v>494</v>
      </c>
      <c r="D134" s="0" t="s">
        <v>416</v>
      </c>
      <c r="E134" s="0" t="s">
        <v>418</v>
      </c>
      <c r="F134" s="0" t="n">
        <v>1238703101</v>
      </c>
      <c r="G134" s="0" t="n">
        <v>47.025530242</v>
      </c>
      <c r="H134" s="0" t="n">
        <v>0.000189844784642135</v>
      </c>
    </row>
    <row r="135" customFormat="false" ht="15" hidden="false" customHeight="false" outlineLevel="0" collapsed="false">
      <c r="A135" s="0" t="n">
        <v>134</v>
      </c>
      <c r="B135" s="0" t="s">
        <v>618</v>
      </c>
      <c r="C135" s="0" t="s">
        <v>494</v>
      </c>
      <c r="D135" s="0" t="s">
        <v>416</v>
      </c>
      <c r="E135" s="0" t="s">
        <v>419</v>
      </c>
      <c r="F135" s="0" t="n">
        <v>1156585920</v>
      </c>
      <c r="G135" s="0" t="n">
        <v>46.147778208</v>
      </c>
      <c r="H135" s="0" t="n">
        <v>0.000186301248928526</v>
      </c>
    </row>
    <row r="136" customFormat="false" ht="15" hidden="false" customHeight="false" outlineLevel="0" collapsed="false">
      <c r="A136" s="0" t="n">
        <v>135</v>
      </c>
      <c r="B136" s="0" t="s">
        <v>619</v>
      </c>
      <c r="C136" s="0" t="s">
        <v>494</v>
      </c>
      <c r="D136" s="0" t="s">
        <v>416</v>
      </c>
      <c r="E136" s="0" t="s">
        <v>419</v>
      </c>
      <c r="F136" s="0" t="n">
        <v>1144245635</v>
      </c>
      <c r="G136" s="0" t="n">
        <v>45.6554008365</v>
      </c>
      <c r="H136" s="0" t="n">
        <v>0.000184313493010112</v>
      </c>
    </row>
    <row r="137" customFormat="false" ht="15" hidden="false" customHeight="false" outlineLevel="0" collapsed="false">
      <c r="A137" s="0" t="n">
        <v>136</v>
      </c>
      <c r="B137" s="0" t="s">
        <v>620</v>
      </c>
      <c r="C137" s="0" t="s">
        <v>494</v>
      </c>
      <c r="D137" s="0" t="s">
        <v>416</v>
      </c>
      <c r="E137" s="0" t="s">
        <v>418</v>
      </c>
      <c r="F137" s="0" t="n">
        <v>1101197975</v>
      </c>
      <c r="G137" s="0" t="n">
        <v>44.913129826</v>
      </c>
      <c r="H137" s="0" t="n">
        <v>0.000181316902021998</v>
      </c>
    </row>
    <row r="138" customFormat="false" ht="15" hidden="false" customHeight="false" outlineLevel="0" collapsed="false">
      <c r="A138" s="0" t="n">
        <v>137</v>
      </c>
      <c r="B138" s="0" t="s">
        <v>621</v>
      </c>
      <c r="C138" s="0" t="s">
        <v>494</v>
      </c>
      <c r="D138" s="0" t="s">
        <v>416</v>
      </c>
      <c r="E138" s="0" t="s">
        <v>419</v>
      </c>
      <c r="F138" s="0" t="n">
        <v>1104699322</v>
      </c>
      <c r="G138" s="0" t="n">
        <v>44.0775029478</v>
      </c>
      <c r="H138" s="0" t="n">
        <v>0.000177943427998065</v>
      </c>
    </row>
    <row r="139" customFormat="false" ht="15" hidden="false" customHeight="false" outlineLevel="0" collapsed="false">
      <c r="A139" s="0" t="n">
        <v>138</v>
      </c>
      <c r="B139" s="0" t="s">
        <v>622</v>
      </c>
      <c r="C139" s="0" t="s">
        <v>494</v>
      </c>
      <c r="D139" s="0" t="s">
        <v>416</v>
      </c>
      <c r="E139" s="0" t="s">
        <v>418</v>
      </c>
      <c r="F139" s="0" t="n">
        <v>1016833992</v>
      </c>
      <c r="G139" s="0" t="n">
        <v>42.707027664</v>
      </c>
      <c r="H139" s="0" t="n">
        <v>0.000172410740035346</v>
      </c>
    </row>
    <row r="140" customFormat="false" ht="15" hidden="false" customHeight="false" outlineLevel="0" collapsed="false">
      <c r="A140" s="0" t="n">
        <v>139</v>
      </c>
      <c r="B140" s="0" t="s">
        <v>623</v>
      </c>
      <c r="C140" s="0" t="s">
        <v>494</v>
      </c>
      <c r="D140" s="0" t="s">
        <v>416</v>
      </c>
      <c r="E140" s="0" t="s">
        <v>418</v>
      </c>
      <c r="F140" s="0" t="n">
        <v>1012334535</v>
      </c>
      <c r="G140" s="0" t="n">
        <v>42.51805047</v>
      </c>
      <c r="H140" s="0" t="n">
        <v>0.00017164782817635</v>
      </c>
    </row>
    <row r="141" customFormat="false" ht="15" hidden="false" customHeight="false" outlineLevel="0" collapsed="false">
      <c r="A141" s="0" t="n">
        <v>140</v>
      </c>
      <c r="B141" s="0" t="s">
        <v>624</v>
      </c>
      <c r="C141" s="0" t="s">
        <v>494</v>
      </c>
      <c r="D141" s="0" t="s">
        <v>416</v>
      </c>
      <c r="E141" s="0" t="s">
        <v>419</v>
      </c>
      <c r="F141" s="0" t="n">
        <v>1063686905</v>
      </c>
      <c r="G141" s="0" t="n">
        <v>42.4411075095</v>
      </c>
      <c r="H141" s="0" t="n">
        <v>0.000171337204995906</v>
      </c>
    </row>
    <row r="142" customFormat="false" ht="15" hidden="false" customHeight="false" outlineLevel="0" collapsed="false">
      <c r="A142" s="0" t="n">
        <v>141</v>
      </c>
      <c r="B142" s="0" t="s">
        <v>625</v>
      </c>
      <c r="C142" s="0" t="s">
        <v>494</v>
      </c>
      <c r="D142" s="0" t="s">
        <v>416</v>
      </c>
      <c r="E142" s="0" t="s">
        <v>418</v>
      </c>
      <c r="F142" s="0" t="n">
        <v>995416947</v>
      </c>
      <c r="G142" s="0" t="n">
        <v>41.807511774</v>
      </c>
      <c r="H142" s="0" t="n">
        <v>0.000168779342376661</v>
      </c>
    </row>
    <row r="143" customFormat="false" ht="15" hidden="false" customHeight="false" outlineLevel="0" collapsed="false">
      <c r="A143" s="0" t="n">
        <v>142</v>
      </c>
      <c r="B143" s="0" t="s">
        <v>626</v>
      </c>
      <c r="C143" s="0" t="s">
        <v>494</v>
      </c>
      <c r="D143" s="0" t="s">
        <v>416</v>
      </c>
      <c r="E143" s="0" t="s">
        <v>419</v>
      </c>
      <c r="F143" s="0" t="n">
        <v>1016168448</v>
      </c>
      <c r="G143" s="0" t="n">
        <v>40.5451210752</v>
      </c>
      <c r="H143" s="0" t="n">
        <v>0.000163682998133128</v>
      </c>
    </row>
    <row r="144" customFormat="false" ht="15" hidden="false" customHeight="false" outlineLevel="0" collapsed="false">
      <c r="A144" s="0" t="n">
        <v>143</v>
      </c>
      <c r="B144" s="0" t="s">
        <v>627</v>
      </c>
      <c r="C144" s="0" t="s">
        <v>494</v>
      </c>
      <c r="D144" s="0" t="s">
        <v>416</v>
      </c>
      <c r="E144" s="0" t="s">
        <v>419</v>
      </c>
      <c r="F144" s="0" t="n">
        <v>1006594116</v>
      </c>
      <c r="G144" s="0" t="n">
        <v>40.1631052284</v>
      </c>
      <c r="H144" s="0" t="n">
        <v>0.000162140778071123</v>
      </c>
    </row>
    <row r="145" customFormat="false" ht="15" hidden="false" customHeight="false" outlineLevel="0" collapsed="false">
      <c r="A145" s="0" t="n">
        <v>144</v>
      </c>
      <c r="B145" s="0" t="s">
        <v>628</v>
      </c>
      <c r="C145" s="0" t="s">
        <v>494</v>
      </c>
      <c r="D145" s="0" t="s">
        <v>416</v>
      </c>
      <c r="E145" s="0" t="s">
        <v>419</v>
      </c>
      <c r="F145" s="0" t="n">
        <v>981080189</v>
      </c>
      <c r="G145" s="0" t="n">
        <v>39.1450995411</v>
      </c>
      <c r="H145" s="0" t="n">
        <v>0.000158031030249559</v>
      </c>
    </row>
    <row r="146" customFormat="false" ht="15" hidden="false" customHeight="false" outlineLevel="0" collapsed="false">
      <c r="A146" s="0" t="n">
        <v>145</v>
      </c>
      <c r="B146" s="0" t="s">
        <v>629</v>
      </c>
      <c r="C146" s="0" t="s">
        <v>494</v>
      </c>
      <c r="D146" s="0" t="s">
        <v>416</v>
      </c>
      <c r="E146" s="0" t="s">
        <v>418</v>
      </c>
      <c r="F146" s="0" t="n">
        <v>904966607</v>
      </c>
      <c r="G146" s="0" t="n">
        <v>38.008597494</v>
      </c>
      <c r="H146" s="0" t="n">
        <v>0.000153442905771925</v>
      </c>
    </row>
    <row r="147" customFormat="false" ht="15" hidden="false" customHeight="false" outlineLevel="0" collapsed="false">
      <c r="A147" s="0" t="n">
        <v>146</v>
      </c>
      <c r="B147" s="0" t="s">
        <v>630</v>
      </c>
      <c r="C147" s="0" t="s">
        <v>494</v>
      </c>
      <c r="D147" s="0" t="s">
        <v>416</v>
      </c>
      <c r="E147" s="0" t="s">
        <v>418</v>
      </c>
      <c r="F147" s="0" t="n">
        <v>897929162</v>
      </c>
      <c r="G147" s="0" t="n">
        <v>37.713024804</v>
      </c>
      <c r="H147" s="0" t="n">
        <v>0.000152249661732137</v>
      </c>
    </row>
    <row r="148" customFormat="false" ht="15" hidden="false" customHeight="false" outlineLevel="0" collapsed="false">
      <c r="A148" s="0" t="n">
        <v>147</v>
      </c>
      <c r="B148" s="0" t="s">
        <v>631</v>
      </c>
      <c r="C148" s="0" t="s">
        <v>494</v>
      </c>
      <c r="D148" s="0" t="s">
        <v>416</v>
      </c>
      <c r="E148" s="0" t="s">
        <v>418</v>
      </c>
      <c r="F148" s="0" t="n">
        <v>895938101</v>
      </c>
      <c r="G148" s="0" t="n">
        <v>37.629400242</v>
      </c>
      <c r="H148" s="0" t="n">
        <v>0.000151912064540101</v>
      </c>
    </row>
    <row r="149" customFormat="false" ht="15" hidden="false" customHeight="false" outlineLevel="0" collapsed="false">
      <c r="A149" s="0" t="n">
        <v>148</v>
      </c>
      <c r="B149" s="0" t="s">
        <v>632</v>
      </c>
      <c r="C149" s="0" t="s">
        <v>494</v>
      </c>
      <c r="D149" s="0" t="s">
        <v>416</v>
      </c>
      <c r="E149" s="0" t="s">
        <v>418</v>
      </c>
      <c r="F149" s="0" t="n">
        <v>876080089</v>
      </c>
      <c r="G149" s="0" t="n">
        <v>36.795363738</v>
      </c>
      <c r="H149" s="0" t="n">
        <v>0.00014854501094877</v>
      </c>
    </row>
    <row r="150" customFormat="false" ht="15" hidden="false" customHeight="false" outlineLevel="0" collapsed="false">
      <c r="A150" s="0" t="n">
        <v>149</v>
      </c>
      <c r="B150" s="0" t="s">
        <v>633</v>
      </c>
      <c r="C150" s="0" t="s">
        <v>494</v>
      </c>
      <c r="D150" s="0" t="s">
        <v>416</v>
      </c>
      <c r="E150" s="0" t="s">
        <v>419</v>
      </c>
      <c r="F150" s="0" t="n">
        <v>896298882</v>
      </c>
      <c r="G150" s="0" t="n">
        <v>35.7623253918</v>
      </c>
      <c r="H150" s="0" t="n">
        <v>0.000144374575414027</v>
      </c>
    </row>
    <row r="151" customFormat="false" ht="15" hidden="false" customHeight="false" outlineLevel="0" collapsed="false">
      <c r="A151" s="0" t="n">
        <v>150</v>
      </c>
      <c r="B151" s="0" t="s">
        <v>634</v>
      </c>
      <c r="C151" s="0" t="s">
        <v>494</v>
      </c>
      <c r="D151" s="0" t="s">
        <v>416</v>
      </c>
      <c r="E151" s="0" t="s">
        <v>418</v>
      </c>
      <c r="F151" s="0" t="n">
        <v>823215492</v>
      </c>
      <c r="G151" s="0" t="n">
        <v>34.575050664</v>
      </c>
      <c r="H151" s="0" t="n">
        <v>0.000139581478688688</v>
      </c>
    </row>
    <row r="152" customFormat="false" ht="15" hidden="false" customHeight="false" outlineLevel="0" collapsed="false">
      <c r="A152" s="0" t="n">
        <v>151</v>
      </c>
      <c r="B152" s="0" t="s">
        <v>635</v>
      </c>
      <c r="C152" s="0" t="s">
        <v>494</v>
      </c>
      <c r="D152" s="0" t="s">
        <v>416</v>
      </c>
      <c r="E152" s="0" t="s">
        <v>418</v>
      </c>
      <c r="F152" s="0" t="n">
        <v>761975829</v>
      </c>
      <c r="G152" s="0" t="n">
        <v>32.002984818</v>
      </c>
      <c r="H152" s="0" t="n">
        <v>0.000129197900149404</v>
      </c>
    </row>
    <row r="153" customFormat="false" ht="15" hidden="false" customHeight="false" outlineLevel="0" collapsed="false">
      <c r="A153" s="0" t="n">
        <v>152</v>
      </c>
      <c r="B153" s="0" t="s">
        <v>636</v>
      </c>
      <c r="C153" s="0" t="s">
        <v>494</v>
      </c>
      <c r="D153" s="0" t="s">
        <v>416</v>
      </c>
      <c r="E153" s="0" t="s">
        <v>418</v>
      </c>
      <c r="F153" s="0" t="n">
        <v>742968495</v>
      </c>
      <c r="G153" s="0" t="n">
        <v>31.20467679</v>
      </c>
      <c r="H153" s="0" t="n">
        <v>0.000125975084481536</v>
      </c>
    </row>
    <row r="154" customFormat="false" ht="15" hidden="false" customHeight="false" outlineLevel="0" collapsed="false">
      <c r="A154" s="0" t="n">
        <v>153</v>
      </c>
      <c r="B154" s="0" t="s">
        <v>637</v>
      </c>
      <c r="C154" s="0" t="s">
        <v>494</v>
      </c>
      <c r="D154" s="0" t="s">
        <v>416</v>
      </c>
      <c r="E154" s="0" t="s">
        <v>419</v>
      </c>
      <c r="F154" s="0" t="n">
        <v>778960050</v>
      </c>
      <c r="G154" s="0" t="n">
        <v>31.080505995</v>
      </c>
      <c r="H154" s="0" t="n">
        <v>0.000125473799802462</v>
      </c>
    </row>
    <row r="155" customFormat="false" ht="15" hidden="false" customHeight="false" outlineLevel="0" collapsed="false">
      <c r="A155" s="0" t="n">
        <v>154</v>
      </c>
      <c r="B155" s="0" t="s">
        <v>638</v>
      </c>
      <c r="C155" s="0" t="s">
        <v>494</v>
      </c>
      <c r="D155" s="0" t="s">
        <v>416</v>
      </c>
      <c r="E155" s="0" t="s">
        <v>418</v>
      </c>
      <c r="F155" s="0" t="n">
        <v>730538365</v>
      </c>
      <c r="G155" s="0" t="n">
        <v>30.68261133</v>
      </c>
      <c r="H155" s="0" t="n">
        <v>0.000123867476033258</v>
      </c>
    </row>
    <row r="156" customFormat="false" ht="15" hidden="false" customHeight="false" outlineLevel="0" collapsed="false">
      <c r="A156" s="0" t="n">
        <v>155</v>
      </c>
      <c r="B156" s="0" t="s">
        <v>639</v>
      </c>
      <c r="C156" s="0" t="s">
        <v>494</v>
      </c>
      <c r="D156" s="0" t="s">
        <v>416</v>
      </c>
      <c r="E156" s="0" t="s">
        <v>419</v>
      </c>
      <c r="F156" s="0" t="n">
        <v>746700616</v>
      </c>
      <c r="G156" s="0" t="n">
        <v>29.7933545784</v>
      </c>
      <c r="H156" s="0" t="n">
        <v>0.000120277495109485</v>
      </c>
    </row>
    <row r="157" customFormat="false" ht="15" hidden="false" customHeight="false" outlineLevel="0" collapsed="false">
      <c r="A157" s="0" t="n">
        <v>156</v>
      </c>
      <c r="B157" s="0" t="s">
        <v>640</v>
      </c>
      <c r="C157" s="0" t="s">
        <v>494</v>
      </c>
      <c r="D157" s="0" t="s">
        <v>416</v>
      </c>
      <c r="E157" s="0" t="s">
        <v>417</v>
      </c>
      <c r="F157" s="0" t="n">
        <v>770362507</v>
      </c>
      <c r="G157" s="0" t="n">
        <v>29.76680727048</v>
      </c>
      <c r="H157" s="0" t="n">
        <v>0.000120170322092425</v>
      </c>
    </row>
    <row r="158" customFormat="false" ht="15" hidden="false" customHeight="false" outlineLevel="0" collapsed="false">
      <c r="A158" s="0" t="n">
        <v>157</v>
      </c>
      <c r="B158" s="0" t="s">
        <v>641</v>
      </c>
      <c r="C158" s="0" t="s">
        <v>494</v>
      </c>
      <c r="D158" s="0" t="s">
        <v>416</v>
      </c>
      <c r="E158" s="0" t="s">
        <v>418</v>
      </c>
      <c r="F158" s="0" t="n">
        <v>701163549</v>
      </c>
      <c r="G158" s="0" t="n">
        <v>29.448869058</v>
      </c>
      <c r="H158" s="0" t="n">
        <v>0.000118886787145192</v>
      </c>
    </row>
    <row r="159" customFormat="false" ht="15" hidden="false" customHeight="false" outlineLevel="0" collapsed="false">
      <c r="A159" s="0" t="n">
        <v>158</v>
      </c>
      <c r="B159" s="0" t="s">
        <v>642</v>
      </c>
      <c r="C159" s="0" t="s">
        <v>494</v>
      </c>
      <c r="D159" s="0" t="s">
        <v>416</v>
      </c>
      <c r="E159" s="0" t="s">
        <v>418</v>
      </c>
      <c r="F159" s="0" t="n">
        <v>679390624</v>
      </c>
      <c r="G159" s="0" t="n">
        <v>28.534406208</v>
      </c>
      <c r="H159" s="0" t="n">
        <v>0.000115195047744741</v>
      </c>
    </row>
    <row r="160" customFormat="false" ht="15" hidden="false" customHeight="false" outlineLevel="0" collapsed="false">
      <c r="A160" s="0" t="n">
        <v>159</v>
      </c>
      <c r="B160" s="0" t="s">
        <v>643</v>
      </c>
      <c r="C160" s="0" t="s">
        <v>494</v>
      </c>
      <c r="D160" s="0" t="s">
        <v>416</v>
      </c>
      <c r="E160" s="0" t="s">
        <v>418</v>
      </c>
      <c r="F160" s="0" t="n">
        <v>650738499</v>
      </c>
      <c r="G160" s="0" t="n">
        <v>27.331016958</v>
      </c>
      <c r="H160" s="0" t="n">
        <v>0.000110336895761526</v>
      </c>
    </row>
    <row r="161" customFormat="false" ht="15" hidden="false" customHeight="false" outlineLevel="0" collapsed="false">
      <c r="A161" s="0" t="n">
        <v>160</v>
      </c>
      <c r="B161" s="0" t="s">
        <v>644</v>
      </c>
      <c r="C161" s="0" t="s">
        <v>494</v>
      </c>
      <c r="D161" s="0" t="s">
        <v>416</v>
      </c>
      <c r="E161" s="0" t="s">
        <v>417</v>
      </c>
      <c r="F161" s="0" t="n">
        <v>683172292</v>
      </c>
      <c r="G161" s="0" t="n">
        <v>26.39777736288</v>
      </c>
      <c r="H161" s="0" t="n">
        <v>0.000106569353555339</v>
      </c>
    </row>
    <row r="162" customFormat="false" ht="15" hidden="false" customHeight="false" outlineLevel="0" collapsed="false">
      <c r="A162" s="0" t="n">
        <v>161</v>
      </c>
      <c r="B162" s="0" t="s">
        <v>645</v>
      </c>
      <c r="C162" s="0" t="s">
        <v>494</v>
      </c>
      <c r="D162" s="0" t="s">
        <v>416</v>
      </c>
      <c r="E162" s="0" t="s">
        <v>418</v>
      </c>
      <c r="F162" s="0" t="n">
        <v>623399895</v>
      </c>
      <c r="G162" s="0" t="n">
        <v>26.18279559</v>
      </c>
      <c r="H162" s="0" t="n">
        <v>0.000105701459707798</v>
      </c>
    </row>
    <row r="163" customFormat="false" ht="15" hidden="false" customHeight="false" outlineLevel="0" collapsed="false">
      <c r="A163" s="0" t="n">
        <v>162</v>
      </c>
      <c r="B163" s="0" t="s">
        <v>646</v>
      </c>
      <c r="C163" s="0" t="s">
        <v>494</v>
      </c>
      <c r="D163" s="0" t="s">
        <v>416</v>
      </c>
      <c r="E163" s="0" t="s">
        <v>418</v>
      </c>
      <c r="F163" s="0" t="n">
        <v>608745942</v>
      </c>
      <c r="G163" s="0" t="n">
        <v>25.567329564</v>
      </c>
      <c r="H163" s="0" t="n">
        <v>0.000103216787774079</v>
      </c>
    </row>
    <row r="164" customFormat="false" ht="15" hidden="false" customHeight="false" outlineLevel="0" collapsed="false">
      <c r="A164" s="0" t="n">
        <v>163</v>
      </c>
      <c r="B164" s="0" t="s">
        <v>647</v>
      </c>
      <c r="C164" s="0" t="s">
        <v>494</v>
      </c>
      <c r="D164" s="0" t="s">
        <v>416</v>
      </c>
      <c r="E164" s="0" t="s">
        <v>418</v>
      </c>
      <c r="F164" s="0" t="n">
        <v>566606930</v>
      </c>
      <c r="G164" s="0" t="n">
        <v>23.79749106</v>
      </c>
      <c r="H164" s="0" t="n">
        <v>9.60718473999004E-005</v>
      </c>
    </row>
    <row r="165" customFormat="false" ht="15" hidden="false" customHeight="false" outlineLevel="0" collapsed="false">
      <c r="A165" s="0" t="n">
        <v>164</v>
      </c>
      <c r="B165" s="0" t="s">
        <v>648</v>
      </c>
      <c r="C165" s="0" t="s">
        <v>494</v>
      </c>
      <c r="D165" s="0" t="s">
        <v>416</v>
      </c>
      <c r="E165" s="0" t="s">
        <v>418</v>
      </c>
      <c r="F165" s="0" t="n">
        <v>548227875</v>
      </c>
      <c r="G165" s="0" t="n">
        <v>23.02557075</v>
      </c>
      <c r="H165" s="0" t="n">
        <v>9.29555604753576E-005</v>
      </c>
    </row>
    <row r="166" customFormat="false" ht="15" hidden="false" customHeight="false" outlineLevel="0" collapsed="false">
      <c r="A166" s="0" t="n">
        <v>165</v>
      </c>
      <c r="B166" s="0" t="s">
        <v>649</v>
      </c>
      <c r="C166" s="0" t="s">
        <v>494</v>
      </c>
      <c r="D166" s="0" t="s">
        <v>416</v>
      </c>
      <c r="E166" s="0" t="s">
        <v>419</v>
      </c>
      <c r="F166" s="0" t="n">
        <v>549688156</v>
      </c>
      <c r="G166" s="0" t="n">
        <v>21.9325574244</v>
      </c>
      <c r="H166" s="0" t="n">
        <v>8.85430024809728E-005</v>
      </c>
    </row>
    <row r="167" customFormat="false" ht="15" hidden="false" customHeight="false" outlineLevel="0" collapsed="false">
      <c r="A167" s="0" t="n">
        <v>166</v>
      </c>
      <c r="B167" s="0" t="s">
        <v>650</v>
      </c>
      <c r="C167" s="0" t="s">
        <v>494</v>
      </c>
      <c r="D167" s="0" t="s">
        <v>416</v>
      </c>
      <c r="E167" s="0" t="s">
        <v>418</v>
      </c>
      <c r="F167" s="0" t="n">
        <v>640532813</v>
      </c>
      <c r="G167" s="0" t="n">
        <v>21.902378146</v>
      </c>
      <c r="H167" s="0" t="n">
        <v>8.84211669890811E-005</v>
      </c>
    </row>
    <row r="168" customFormat="false" ht="15" hidden="false" customHeight="false" outlineLevel="0" collapsed="false">
      <c r="A168" s="0" t="n">
        <v>167</v>
      </c>
      <c r="B168" s="0" t="s">
        <v>651</v>
      </c>
      <c r="C168" s="0" t="s">
        <v>494</v>
      </c>
      <c r="D168" s="0" t="s">
        <v>416</v>
      </c>
      <c r="E168" s="0" t="s">
        <v>418</v>
      </c>
      <c r="F168" s="0" t="n">
        <v>512620556</v>
      </c>
      <c r="G168" s="0" t="n">
        <v>21.530063352</v>
      </c>
      <c r="H168" s="0" t="n">
        <v>8.69181106381528E-005</v>
      </c>
    </row>
    <row r="169" customFormat="false" ht="15" hidden="false" customHeight="false" outlineLevel="0" collapsed="false">
      <c r="A169" s="0" t="n">
        <v>168</v>
      </c>
      <c r="B169" s="0" t="s">
        <v>652</v>
      </c>
      <c r="C169" s="0" t="s">
        <v>494</v>
      </c>
      <c r="D169" s="0" t="s">
        <v>416</v>
      </c>
      <c r="E169" s="0" t="s">
        <v>418</v>
      </c>
      <c r="F169" s="0" t="n">
        <v>510083740</v>
      </c>
      <c r="G169" s="0" t="n">
        <v>21.42351708</v>
      </c>
      <c r="H169" s="0" t="n">
        <v>8.64879771774949E-005</v>
      </c>
    </row>
    <row r="170" customFormat="false" ht="15" hidden="false" customHeight="false" outlineLevel="0" collapsed="false">
      <c r="A170" s="0" t="n">
        <v>169</v>
      </c>
      <c r="B170" s="0" t="s">
        <v>653</v>
      </c>
      <c r="C170" s="0" t="s">
        <v>494</v>
      </c>
      <c r="D170" s="0" t="s">
        <v>416</v>
      </c>
      <c r="E170" s="0" t="s">
        <v>419</v>
      </c>
      <c r="F170" s="0" t="n">
        <v>527435687</v>
      </c>
      <c r="G170" s="0" t="n">
        <v>21.0446839113</v>
      </c>
      <c r="H170" s="0" t="n">
        <v>8.49586057710048E-005</v>
      </c>
    </row>
    <row r="171" customFormat="false" ht="15" hidden="false" customHeight="false" outlineLevel="0" collapsed="false">
      <c r="A171" s="0" t="n">
        <v>170</v>
      </c>
      <c r="B171" s="0" t="s">
        <v>654</v>
      </c>
      <c r="C171" s="0" t="s">
        <v>494</v>
      </c>
      <c r="D171" s="0" t="s">
        <v>416</v>
      </c>
      <c r="E171" s="0" t="s">
        <v>419</v>
      </c>
      <c r="F171" s="0" t="n">
        <v>488803436</v>
      </c>
      <c r="G171" s="0" t="n">
        <v>19.5032570964</v>
      </c>
      <c r="H171" s="0" t="n">
        <v>7.8735776592676E-005</v>
      </c>
    </row>
    <row r="172" customFormat="false" ht="15" hidden="false" customHeight="false" outlineLevel="0" collapsed="false">
      <c r="A172" s="0" t="n">
        <v>171</v>
      </c>
      <c r="B172" s="0" t="s">
        <v>655</v>
      </c>
      <c r="C172" s="0" t="s">
        <v>494</v>
      </c>
      <c r="D172" s="0" t="s">
        <v>416</v>
      </c>
      <c r="E172" s="0" t="s">
        <v>418</v>
      </c>
      <c r="F172" s="0" t="n">
        <v>453187765</v>
      </c>
      <c r="G172" s="0" t="n">
        <v>19.03388613</v>
      </c>
      <c r="H172" s="0" t="n">
        <v>7.68408988619005E-005</v>
      </c>
    </row>
    <row r="173" customFormat="false" ht="15" hidden="false" customHeight="false" outlineLevel="0" collapsed="false">
      <c r="A173" s="0" t="n">
        <v>172</v>
      </c>
      <c r="B173" s="0" t="s">
        <v>656</v>
      </c>
      <c r="C173" s="0" t="s">
        <v>494</v>
      </c>
      <c r="D173" s="0" t="s">
        <v>416</v>
      </c>
      <c r="E173" s="0" t="s">
        <v>418</v>
      </c>
      <c r="F173" s="0" t="n">
        <v>426549984</v>
      </c>
      <c r="G173" s="0" t="n">
        <v>17.915099328</v>
      </c>
      <c r="H173" s="0" t="n">
        <v>7.23242918530452E-005</v>
      </c>
    </row>
    <row r="174" customFormat="false" ht="15" hidden="false" customHeight="false" outlineLevel="0" collapsed="false">
      <c r="A174" s="0" t="n">
        <v>173</v>
      </c>
      <c r="B174" s="0" t="s">
        <v>657</v>
      </c>
      <c r="C174" s="0" t="s">
        <v>494</v>
      </c>
      <c r="D174" s="0" t="s">
        <v>416</v>
      </c>
      <c r="E174" s="0" t="s">
        <v>418</v>
      </c>
      <c r="F174" s="0" t="n">
        <v>399806401</v>
      </c>
      <c r="G174" s="0" t="n">
        <v>16.791868842</v>
      </c>
      <c r="H174" s="0" t="n">
        <v>6.77897454349444E-005</v>
      </c>
    </row>
    <row r="175" customFormat="false" ht="15" hidden="false" customHeight="false" outlineLevel="0" collapsed="false">
      <c r="A175" s="0" t="n">
        <v>174</v>
      </c>
      <c r="B175" s="0" t="s">
        <v>658</v>
      </c>
      <c r="C175" s="0" t="s">
        <v>494</v>
      </c>
      <c r="D175" s="0" t="s">
        <v>416</v>
      </c>
      <c r="E175" s="0" t="s">
        <v>418</v>
      </c>
      <c r="F175" s="0" t="n">
        <v>505778672</v>
      </c>
      <c r="G175" s="0" t="n">
        <v>16.242704224</v>
      </c>
      <c r="H175" s="0" t="n">
        <v>6.55727361189245E-005</v>
      </c>
    </row>
    <row r="176" customFormat="false" ht="15" hidden="false" customHeight="false" outlineLevel="0" collapsed="false">
      <c r="A176" s="0" t="n">
        <v>175</v>
      </c>
      <c r="B176" s="0" t="s">
        <v>659</v>
      </c>
      <c r="C176" s="0" t="s">
        <v>494</v>
      </c>
      <c r="D176" s="0" t="s">
        <v>416</v>
      </c>
      <c r="E176" s="0" t="s">
        <v>418</v>
      </c>
      <c r="F176" s="0" t="n">
        <v>380361308</v>
      </c>
      <c r="G176" s="0" t="n">
        <v>15.975174936</v>
      </c>
      <c r="H176" s="0" t="n">
        <v>6.44927049145031E-005</v>
      </c>
    </row>
    <row r="177" customFormat="false" ht="15" hidden="false" customHeight="false" outlineLevel="0" collapsed="false">
      <c r="A177" s="0" t="n">
        <v>176</v>
      </c>
      <c r="B177" s="0" t="s">
        <v>660</v>
      </c>
      <c r="C177" s="0" t="s">
        <v>494</v>
      </c>
      <c r="D177" s="0" t="s">
        <v>416</v>
      </c>
      <c r="E177" s="0" t="s">
        <v>418</v>
      </c>
      <c r="F177" s="0" t="n">
        <v>376345017</v>
      </c>
      <c r="G177" s="0" t="n">
        <v>15.806490714</v>
      </c>
      <c r="H177" s="0" t="n">
        <v>6.38117169568274E-005</v>
      </c>
    </row>
    <row r="178" customFormat="false" ht="15" hidden="false" customHeight="false" outlineLevel="0" collapsed="false">
      <c r="A178" s="0" t="n">
        <v>177</v>
      </c>
      <c r="B178" s="0" t="s">
        <v>661</v>
      </c>
      <c r="C178" s="0" t="s">
        <v>494</v>
      </c>
      <c r="D178" s="0" t="s">
        <v>416</v>
      </c>
      <c r="E178" s="0" t="s">
        <v>419</v>
      </c>
      <c r="F178" s="0" t="n">
        <v>394713402</v>
      </c>
      <c r="G178" s="0" t="n">
        <v>15.7490647398</v>
      </c>
      <c r="H178" s="0" t="n">
        <v>6.35798849785645E-005</v>
      </c>
    </row>
    <row r="179" customFormat="false" ht="15" hidden="false" customHeight="false" outlineLevel="0" collapsed="false">
      <c r="A179" s="0" t="n">
        <v>178</v>
      </c>
      <c r="B179" s="0" t="s">
        <v>662</v>
      </c>
      <c r="C179" s="0" t="s">
        <v>494</v>
      </c>
      <c r="D179" s="0" t="s">
        <v>416</v>
      </c>
      <c r="E179" s="0" t="s">
        <v>419</v>
      </c>
      <c r="F179" s="0" t="n">
        <v>387753117</v>
      </c>
      <c r="G179" s="0" t="n">
        <v>15.4713493683</v>
      </c>
      <c r="H179" s="0" t="n">
        <v>6.24587319660858E-005</v>
      </c>
    </row>
    <row r="180" customFormat="false" ht="15" hidden="false" customHeight="false" outlineLevel="0" collapsed="false">
      <c r="A180" s="0" t="n">
        <v>179</v>
      </c>
      <c r="B180" s="0" t="s">
        <v>663</v>
      </c>
      <c r="C180" s="0" t="s">
        <v>494</v>
      </c>
      <c r="D180" s="0" t="s">
        <v>416</v>
      </c>
      <c r="E180" s="0" t="s">
        <v>419</v>
      </c>
      <c r="F180" s="0" t="n">
        <v>377533556</v>
      </c>
      <c r="G180" s="0" t="n">
        <v>15.0635888844</v>
      </c>
      <c r="H180" s="0" t="n">
        <v>6.0812579315532E-005</v>
      </c>
    </row>
    <row r="181" customFormat="false" ht="15" hidden="false" customHeight="false" outlineLevel="0" collapsed="false">
      <c r="A181" s="0" t="n">
        <v>180</v>
      </c>
      <c r="B181" s="0" t="s">
        <v>664</v>
      </c>
      <c r="C181" s="0" t="s">
        <v>494</v>
      </c>
      <c r="D181" s="0" t="s">
        <v>416</v>
      </c>
      <c r="E181" s="0" t="s">
        <v>419</v>
      </c>
      <c r="F181" s="0" t="n">
        <v>369524820</v>
      </c>
      <c r="G181" s="0" t="n">
        <v>14.744040318</v>
      </c>
      <c r="H181" s="0" t="n">
        <v>5.95225432764119E-005</v>
      </c>
    </row>
    <row r="182" customFormat="false" ht="15" hidden="false" customHeight="false" outlineLevel="0" collapsed="false">
      <c r="A182" s="0" t="n">
        <v>181</v>
      </c>
      <c r="B182" s="0" t="s">
        <v>665</v>
      </c>
      <c r="C182" s="0" t="s">
        <v>494</v>
      </c>
      <c r="D182" s="0" t="s">
        <v>416</v>
      </c>
      <c r="E182" s="0" t="s">
        <v>418</v>
      </c>
      <c r="F182" s="0" t="n">
        <v>403092261</v>
      </c>
      <c r="G182" s="0" t="n">
        <v>12.802640884</v>
      </c>
      <c r="H182" s="0" t="n">
        <v>5.16850015080276E-005</v>
      </c>
    </row>
    <row r="183" customFormat="false" ht="15" hidden="false" customHeight="false" outlineLevel="0" collapsed="false">
      <c r="A183" s="0" t="n">
        <v>182</v>
      </c>
      <c r="B183" s="0" t="s">
        <v>666</v>
      </c>
      <c r="C183" s="0" t="s">
        <v>494</v>
      </c>
      <c r="D183" s="0" t="s">
        <v>416</v>
      </c>
      <c r="E183" s="0" t="s">
        <v>419</v>
      </c>
      <c r="F183" s="0" t="n">
        <v>320080102</v>
      </c>
      <c r="G183" s="0" t="n">
        <v>12.7711960698</v>
      </c>
      <c r="H183" s="0" t="n">
        <v>5.1558056974937E-005</v>
      </c>
    </row>
    <row r="184" customFormat="false" ht="15" hidden="false" customHeight="false" outlineLevel="0" collapsed="false">
      <c r="A184" s="0" t="n">
        <v>183</v>
      </c>
      <c r="B184" s="0" t="s">
        <v>667</v>
      </c>
      <c r="C184" s="0" t="s">
        <v>494</v>
      </c>
      <c r="D184" s="0" t="s">
        <v>416</v>
      </c>
      <c r="E184" s="0" t="s">
        <v>418</v>
      </c>
      <c r="F184" s="0" t="n">
        <v>296621796</v>
      </c>
      <c r="G184" s="0" t="n">
        <v>12.458115432</v>
      </c>
      <c r="H184" s="0" t="n">
        <v>5.02941323375561E-005</v>
      </c>
    </row>
    <row r="185" customFormat="false" ht="15" hidden="false" customHeight="false" outlineLevel="0" collapsed="false">
      <c r="A185" s="0" t="n">
        <v>184</v>
      </c>
      <c r="B185" s="0" t="s">
        <v>668</v>
      </c>
      <c r="C185" s="0" t="s">
        <v>494</v>
      </c>
      <c r="D185" s="0" t="s">
        <v>416</v>
      </c>
      <c r="E185" s="0" t="s">
        <v>419</v>
      </c>
      <c r="F185" s="0" t="n">
        <v>302292817</v>
      </c>
      <c r="G185" s="0" t="n">
        <v>12.0614833983</v>
      </c>
      <c r="H185" s="0" t="n">
        <v>4.86929058839159E-005</v>
      </c>
    </row>
    <row r="186" customFormat="false" ht="15" hidden="false" customHeight="false" outlineLevel="0" collapsed="false">
      <c r="A186" s="0" t="n">
        <v>185</v>
      </c>
      <c r="B186" s="0" t="s">
        <v>669</v>
      </c>
      <c r="C186" s="0" t="s">
        <v>494</v>
      </c>
      <c r="D186" s="0" t="s">
        <v>416</v>
      </c>
      <c r="E186" s="0" t="s">
        <v>418</v>
      </c>
      <c r="F186" s="0" t="n">
        <v>285012230</v>
      </c>
      <c r="G186" s="0" t="n">
        <v>11.97051366</v>
      </c>
      <c r="H186" s="0" t="n">
        <v>4.8325655790453E-005</v>
      </c>
    </row>
    <row r="187" customFormat="false" ht="15" hidden="false" customHeight="false" outlineLevel="0" collapsed="false">
      <c r="A187" s="0" t="n">
        <v>186</v>
      </c>
      <c r="B187" s="0" t="s">
        <v>670</v>
      </c>
      <c r="C187" s="0" t="s">
        <v>494</v>
      </c>
      <c r="D187" s="0" t="s">
        <v>416</v>
      </c>
      <c r="E187" s="0" t="s">
        <v>417</v>
      </c>
      <c r="F187" s="0" t="n">
        <v>309153400</v>
      </c>
      <c r="G187" s="0" t="n">
        <v>11.945687376</v>
      </c>
      <c r="H187" s="0" t="n">
        <v>4.82254306464687E-005</v>
      </c>
    </row>
    <row r="188" customFormat="false" ht="15" hidden="false" customHeight="false" outlineLevel="0" collapsed="false">
      <c r="A188" s="0" t="n">
        <v>187</v>
      </c>
      <c r="B188" s="0" t="s">
        <v>671</v>
      </c>
      <c r="C188" s="0" t="s">
        <v>494</v>
      </c>
      <c r="D188" s="0" t="s">
        <v>416</v>
      </c>
      <c r="E188" s="0" t="s">
        <v>418</v>
      </c>
      <c r="F188" s="0" t="n">
        <v>322767050</v>
      </c>
      <c r="G188" s="0" t="n">
        <v>11.756554402</v>
      </c>
      <c r="H188" s="0" t="n">
        <v>4.74618898946052E-005</v>
      </c>
    </row>
    <row r="189" customFormat="false" ht="15" hidden="false" customHeight="false" outlineLevel="0" collapsed="false">
      <c r="A189" s="0" t="n">
        <v>188</v>
      </c>
      <c r="B189" s="0" t="s">
        <v>672</v>
      </c>
      <c r="C189" s="0" t="s">
        <v>494</v>
      </c>
      <c r="D189" s="0" t="s">
        <v>416</v>
      </c>
      <c r="E189" s="0" t="s">
        <v>419</v>
      </c>
      <c r="F189" s="0" t="n">
        <v>292828651</v>
      </c>
      <c r="G189" s="0" t="n">
        <v>11.6838631749</v>
      </c>
      <c r="H189" s="0" t="n">
        <v>4.71684312077354E-005</v>
      </c>
    </row>
    <row r="190" customFormat="false" ht="15" hidden="false" customHeight="false" outlineLevel="0" collapsed="false">
      <c r="A190" s="0" t="n">
        <v>189</v>
      </c>
      <c r="B190" s="0" t="s">
        <v>673</v>
      </c>
      <c r="C190" s="0" t="s">
        <v>494</v>
      </c>
      <c r="D190" s="0" t="s">
        <v>416</v>
      </c>
      <c r="E190" s="0" t="s">
        <v>418</v>
      </c>
      <c r="F190" s="0" t="n">
        <v>258027048</v>
      </c>
      <c r="G190" s="0" t="n">
        <v>10.837136016</v>
      </c>
      <c r="H190" s="0" t="n">
        <v>4.37501447087892E-005</v>
      </c>
    </row>
    <row r="191" customFormat="false" ht="15" hidden="false" customHeight="false" outlineLevel="0" collapsed="false">
      <c r="A191" s="0" t="n">
        <v>190</v>
      </c>
      <c r="B191" s="0" t="s">
        <v>674</v>
      </c>
      <c r="C191" s="0" t="s">
        <v>494</v>
      </c>
      <c r="D191" s="0" t="s">
        <v>416</v>
      </c>
      <c r="E191" s="0" t="s">
        <v>419</v>
      </c>
      <c r="F191" s="0" t="n">
        <v>266817708</v>
      </c>
      <c r="G191" s="0" t="n">
        <v>10.6460265492</v>
      </c>
      <c r="H191" s="0" t="n">
        <v>4.29786247412096E-005</v>
      </c>
    </row>
    <row r="192" customFormat="false" ht="15" hidden="false" customHeight="false" outlineLevel="0" collapsed="false">
      <c r="A192" s="0" t="n">
        <v>191</v>
      </c>
      <c r="B192" s="0" t="s">
        <v>675</v>
      </c>
      <c r="C192" s="0" t="s">
        <v>494</v>
      </c>
      <c r="D192" s="0" t="s">
        <v>416</v>
      </c>
      <c r="E192" s="0" t="s">
        <v>418</v>
      </c>
      <c r="F192" s="0" t="n">
        <v>320088965</v>
      </c>
      <c r="G192" s="0" t="n">
        <v>10.215322612</v>
      </c>
      <c r="H192" s="0" t="n">
        <v>4.12398480430742E-005</v>
      </c>
    </row>
    <row r="193" customFormat="false" ht="15" hidden="false" customHeight="false" outlineLevel="0" collapsed="false">
      <c r="A193" s="0" t="n">
        <v>192</v>
      </c>
      <c r="B193" s="0" t="s">
        <v>676</v>
      </c>
      <c r="C193" s="0" t="s">
        <v>494</v>
      </c>
      <c r="D193" s="0" t="s">
        <v>416</v>
      </c>
      <c r="E193" s="0" t="s">
        <v>419</v>
      </c>
      <c r="F193" s="0" t="n">
        <v>253175379</v>
      </c>
      <c r="G193" s="0" t="n">
        <v>10.1016976221</v>
      </c>
      <c r="H193" s="0" t="n">
        <v>4.07811373889567E-005</v>
      </c>
    </row>
    <row r="194" customFormat="false" ht="15" hidden="false" customHeight="false" outlineLevel="0" collapsed="false">
      <c r="A194" s="0" t="n">
        <v>193</v>
      </c>
      <c r="B194" s="0" t="s">
        <v>677</v>
      </c>
      <c r="C194" s="0" t="s">
        <v>494</v>
      </c>
      <c r="D194" s="0" t="s">
        <v>416</v>
      </c>
      <c r="E194" s="0" t="s">
        <v>419</v>
      </c>
      <c r="F194" s="0" t="n">
        <v>238505692</v>
      </c>
      <c r="G194" s="0" t="n">
        <v>9.5163771108</v>
      </c>
      <c r="H194" s="0" t="n">
        <v>3.84181646411209E-005</v>
      </c>
    </row>
    <row r="195" customFormat="false" ht="15" hidden="false" customHeight="false" outlineLevel="0" collapsed="false">
      <c r="A195" s="0" t="n">
        <v>194</v>
      </c>
      <c r="B195" s="0" t="s">
        <v>678</v>
      </c>
      <c r="C195" s="0" t="s">
        <v>494</v>
      </c>
      <c r="D195" s="0" t="s">
        <v>416</v>
      </c>
      <c r="E195" s="0" t="s">
        <v>418</v>
      </c>
      <c r="F195" s="0" t="n">
        <v>344358487</v>
      </c>
      <c r="G195" s="0" t="n">
        <v>9.463056454</v>
      </c>
      <c r="H195" s="0" t="n">
        <v>3.82029060665747E-005</v>
      </c>
    </row>
    <row r="196" customFormat="false" ht="15" hidden="false" customHeight="false" outlineLevel="0" collapsed="false">
      <c r="A196" s="0" t="n">
        <v>195</v>
      </c>
      <c r="B196" s="0" t="s">
        <v>679</v>
      </c>
      <c r="C196" s="0" t="s">
        <v>494</v>
      </c>
      <c r="D196" s="0" t="s">
        <v>416</v>
      </c>
      <c r="E196" s="0" t="s">
        <v>419</v>
      </c>
      <c r="F196" s="0" t="n">
        <v>210235096</v>
      </c>
      <c r="G196" s="0" t="n">
        <v>8.3883803304</v>
      </c>
      <c r="H196" s="0" t="n">
        <v>3.38643764169362E-005</v>
      </c>
    </row>
    <row r="197" customFormat="false" ht="15" hidden="false" customHeight="false" outlineLevel="0" collapsed="false">
      <c r="A197" s="0" t="n">
        <v>196</v>
      </c>
      <c r="B197" s="0" t="s">
        <v>680</v>
      </c>
      <c r="C197" s="0" t="s">
        <v>494</v>
      </c>
      <c r="D197" s="0" t="s">
        <v>416</v>
      </c>
      <c r="E197" s="0" t="s">
        <v>418</v>
      </c>
      <c r="F197" s="0" t="n">
        <v>189826231</v>
      </c>
      <c r="G197" s="0" t="n">
        <v>7.829560702</v>
      </c>
      <c r="H197" s="0" t="n">
        <v>3.16083892656708E-005</v>
      </c>
    </row>
    <row r="198" customFormat="false" ht="15" hidden="false" customHeight="false" outlineLevel="0" collapsed="false">
      <c r="A198" s="0" t="n">
        <v>197</v>
      </c>
      <c r="B198" s="0" t="s">
        <v>681</v>
      </c>
      <c r="C198" s="0" t="s">
        <v>494</v>
      </c>
      <c r="D198" s="0" t="s">
        <v>416</v>
      </c>
      <c r="E198" s="0" t="s">
        <v>418</v>
      </c>
      <c r="F198" s="0" t="n">
        <v>301466516</v>
      </c>
      <c r="G198" s="0" t="n">
        <v>7.661593672</v>
      </c>
      <c r="H198" s="0" t="n">
        <v>3.09302966535678E-005</v>
      </c>
    </row>
    <row r="199" customFormat="false" ht="15" hidden="false" customHeight="false" outlineLevel="0" collapsed="false">
      <c r="A199" s="0" t="n">
        <v>198</v>
      </c>
      <c r="B199" s="0" t="s">
        <v>682</v>
      </c>
      <c r="C199" s="0" t="s">
        <v>494</v>
      </c>
      <c r="D199" s="0" t="s">
        <v>416</v>
      </c>
      <c r="E199" s="0" t="s">
        <v>418</v>
      </c>
      <c r="F199" s="0" t="n">
        <v>285993823</v>
      </c>
      <c r="G199" s="0" t="n">
        <v>7.011740566</v>
      </c>
      <c r="H199" s="0" t="n">
        <v>2.83068020895999E-005</v>
      </c>
    </row>
    <row r="200" customFormat="false" ht="15" hidden="false" customHeight="false" outlineLevel="0" collapsed="false">
      <c r="A200" s="0" t="n">
        <v>199</v>
      </c>
      <c r="B200" s="0" t="s">
        <v>683</v>
      </c>
      <c r="C200" s="0" t="s">
        <v>494</v>
      </c>
      <c r="D200" s="0" t="s">
        <v>416</v>
      </c>
      <c r="E200" s="0" t="s">
        <v>418</v>
      </c>
      <c r="F200" s="0" t="n">
        <v>223941287</v>
      </c>
      <c r="G200" s="0" t="n">
        <v>6.730957882</v>
      </c>
      <c r="H200" s="0" t="n">
        <v>2.71732661592041E-005</v>
      </c>
    </row>
    <row r="201" customFormat="false" ht="15" hidden="false" customHeight="false" outlineLevel="0" collapsed="false">
      <c r="A201" s="0" t="n">
        <v>200</v>
      </c>
      <c r="B201" s="0" t="s">
        <v>684</v>
      </c>
      <c r="C201" s="0" t="s">
        <v>494</v>
      </c>
      <c r="D201" s="0" t="s">
        <v>416</v>
      </c>
      <c r="E201" s="0" t="s">
        <v>418</v>
      </c>
      <c r="F201" s="0" t="n">
        <v>277847913</v>
      </c>
      <c r="G201" s="0" t="n">
        <v>6.669612346</v>
      </c>
      <c r="H201" s="0" t="n">
        <v>2.69256106833223E-005</v>
      </c>
    </row>
    <row r="202" customFormat="false" ht="15" hidden="false" customHeight="false" outlineLevel="0" collapsed="false">
      <c r="A202" s="0" t="n">
        <v>201</v>
      </c>
      <c r="B202" s="0" t="s">
        <v>685</v>
      </c>
      <c r="C202" s="0" t="s">
        <v>494</v>
      </c>
      <c r="D202" s="0" t="s">
        <v>416</v>
      </c>
      <c r="E202" s="0" t="s">
        <v>419</v>
      </c>
      <c r="F202" s="0" t="n">
        <v>141714323</v>
      </c>
      <c r="G202" s="0" t="n">
        <v>5.6544014877</v>
      </c>
      <c r="H202" s="0" t="n">
        <v>2.2827145748031E-005</v>
      </c>
    </row>
    <row r="203" customFormat="false" ht="15" hidden="false" customHeight="false" outlineLevel="0" collapsed="false">
      <c r="A203" s="0" t="n">
        <v>202</v>
      </c>
      <c r="B203" s="0" t="s">
        <v>686</v>
      </c>
      <c r="C203" s="0" t="s">
        <v>494</v>
      </c>
      <c r="D203" s="0" t="s">
        <v>416</v>
      </c>
      <c r="E203" s="0" t="s">
        <v>418</v>
      </c>
      <c r="F203" s="0" t="n">
        <v>247095052</v>
      </c>
      <c r="G203" s="0" t="n">
        <v>5.377992184</v>
      </c>
      <c r="H203" s="0" t="n">
        <v>2.17112654067788E-005</v>
      </c>
    </row>
    <row r="204" customFormat="false" ht="15" hidden="false" customHeight="false" outlineLevel="0" collapsed="false">
      <c r="A204" s="0" t="n">
        <v>203</v>
      </c>
      <c r="B204" s="0" t="s">
        <v>687</v>
      </c>
      <c r="C204" s="0" t="s">
        <v>494</v>
      </c>
      <c r="D204" s="0" t="s">
        <v>416</v>
      </c>
      <c r="E204" s="0" t="s">
        <v>419</v>
      </c>
      <c r="F204" s="0" t="n">
        <v>125032267</v>
      </c>
      <c r="G204" s="0" t="n">
        <v>4.9887874533</v>
      </c>
      <c r="H204" s="0" t="n">
        <v>2.01400234048024E-005</v>
      </c>
    </row>
    <row r="205" customFormat="false" ht="15" hidden="false" customHeight="false" outlineLevel="0" collapsed="false">
      <c r="A205" s="0" t="n">
        <v>204</v>
      </c>
      <c r="B205" s="0" t="s">
        <v>688</v>
      </c>
      <c r="C205" s="0" t="s">
        <v>494</v>
      </c>
      <c r="D205" s="0" t="s">
        <v>416</v>
      </c>
      <c r="E205" s="0" t="s">
        <v>418</v>
      </c>
      <c r="F205" s="0" t="n">
        <v>179126057</v>
      </c>
      <c r="G205" s="0" t="n">
        <v>4.970014978</v>
      </c>
      <c r="H205" s="0" t="n">
        <v>2.00642378365762E-005</v>
      </c>
    </row>
    <row r="206" customFormat="false" ht="15" hidden="false" customHeight="false" outlineLevel="0" collapsed="false">
      <c r="A206" s="0" t="n">
        <v>205</v>
      </c>
      <c r="B206" s="0" t="s">
        <v>689</v>
      </c>
      <c r="C206" s="0" t="s">
        <v>494</v>
      </c>
      <c r="D206" s="0" t="s">
        <v>416</v>
      </c>
      <c r="E206" s="0" t="s">
        <v>419</v>
      </c>
      <c r="F206" s="0" t="n">
        <v>124329149</v>
      </c>
      <c r="G206" s="0" t="n">
        <v>4.9607330451</v>
      </c>
      <c r="H206" s="0" t="n">
        <v>2.00267661367698E-005</v>
      </c>
    </row>
    <row r="207" customFormat="false" ht="15" hidden="false" customHeight="false" outlineLevel="0" collapsed="false">
      <c r="A207" s="0" t="n">
        <v>206</v>
      </c>
      <c r="B207" s="0" t="s">
        <v>690</v>
      </c>
      <c r="C207" s="0" t="s">
        <v>494</v>
      </c>
      <c r="D207" s="0" t="s">
        <v>416</v>
      </c>
      <c r="E207" s="0" t="s">
        <v>419</v>
      </c>
      <c r="F207" s="0" t="n">
        <v>123621802</v>
      </c>
      <c r="G207" s="0" t="n">
        <v>4.9325098998</v>
      </c>
      <c r="H207" s="0" t="n">
        <v>1.9912827667308E-005</v>
      </c>
    </row>
    <row r="208" customFormat="false" ht="15" hidden="false" customHeight="false" outlineLevel="0" collapsed="false">
      <c r="A208" s="0" t="n">
        <v>207</v>
      </c>
      <c r="B208" s="0" t="s">
        <v>691</v>
      </c>
      <c r="C208" s="0" t="s">
        <v>494</v>
      </c>
      <c r="D208" s="0" t="s">
        <v>416</v>
      </c>
      <c r="E208" s="0" t="s">
        <v>419</v>
      </c>
      <c r="F208" s="0" t="n">
        <v>121202090</v>
      </c>
      <c r="G208" s="0" t="n">
        <v>4.835963391</v>
      </c>
      <c r="H208" s="0" t="n">
        <v>1.95230638288832E-005</v>
      </c>
    </row>
    <row r="209" customFormat="false" ht="15" hidden="false" customHeight="false" outlineLevel="0" collapsed="false">
      <c r="A209" s="0" t="n">
        <v>208</v>
      </c>
      <c r="B209" s="0" t="s">
        <v>692</v>
      </c>
      <c r="C209" s="0" t="s">
        <v>494</v>
      </c>
      <c r="D209" s="0" t="s">
        <v>416</v>
      </c>
      <c r="E209" s="0" t="s">
        <v>419</v>
      </c>
      <c r="F209" s="0" t="n">
        <v>120627975</v>
      </c>
      <c r="G209" s="0" t="n">
        <v>4.8130562025</v>
      </c>
      <c r="H209" s="0" t="n">
        <v>1.9430586184396E-005</v>
      </c>
    </row>
    <row r="210" customFormat="false" ht="15" hidden="false" customHeight="false" outlineLevel="0" collapsed="false">
      <c r="A210" s="0" t="n">
        <v>209</v>
      </c>
      <c r="B210" s="0" t="s">
        <v>693</v>
      </c>
      <c r="C210" s="0" t="s">
        <v>494</v>
      </c>
      <c r="D210" s="0" t="s">
        <v>416</v>
      </c>
      <c r="E210" s="0" t="s">
        <v>419</v>
      </c>
      <c r="F210" s="0" t="n">
        <v>119424863</v>
      </c>
      <c r="G210" s="0" t="n">
        <v>4.7650520337</v>
      </c>
      <c r="H210" s="0" t="n">
        <v>1.92367905793096E-005</v>
      </c>
    </row>
    <row r="211" customFormat="false" ht="15" hidden="false" customHeight="false" outlineLevel="0" collapsed="false">
      <c r="A211" s="0" t="n">
        <v>210</v>
      </c>
      <c r="B211" s="0" t="s">
        <v>694</v>
      </c>
      <c r="C211" s="0" t="s">
        <v>494</v>
      </c>
      <c r="D211" s="0" t="s">
        <v>416</v>
      </c>
      <c r="E211" s="0" t="s">
        <v>419</v>
      </c>
      <c r="F211" s="0" t="n">
        <v>119253296</v>
      </c>
      <c r="G211" s="0" t="n">
        <v>4.7582065104</v>
      </c>
      <c r="H211" s="0" t="n">
        <v>1.92091548059336E-005</v>
      </c>
    </row>
    <row r="212" customFormat="false" ht="15" hidden="false" customHeight="false" outlineLevel="0" collapsed="false">
      <c r="A212" s="0" t="n">
        <v>211</v>
      </c>
      <c r="B212" s="0" t="s">
        <v>695</v>
      </c>
      <c r="C212" s="0" t="s">
        <v>494</v>
      </c>
      <c r="D212" s="0" t="s">
        <v>416</v>
      </c>
      <c r="E212" s="0" t="s">
        <v>419</v>
      </c>
      <c r="F212" s="0" t="n">
        <v>117396114</v>
      </c>
      <c r="G212" s="0" t="n">
        <v>4.6841049486</v>
      </c>
      <c r="H212" s="0" t="n">
        <v>1.89100025163332E-005</v>
      </c>
    </row>
    <row r="213" customFormat="false" ht="15" hidden="false" customHeight="false" outlineLevel="0" collapsed="false">
      <c r="A213" s="0" t="n">
        <v>212</v>
      </c>
      <c r="B213" s="0" t="s">
        <v>696</v>
      </c>
      <c r="C213" s="0" t="s">
        <v>494</v>
      </c>
      <c r="D213" s="0" t="s">
        <v>416</v>
      </c>
      <c r="E213" s="0" t="s">
        <v>419</v>
      </c>
      <c r="F213" s="0" t="n">
        <v>117015312</v>
      </c>
      <c r="G213" s="0" t="n">
        <v>4.6689109488</v>
      </c>
      <c r="H213" s="0" t="n">
        <v>1.8848663460611E-005</v>
      </c>
    </row>
    <row r="214" customFormat="false" ht="15" hidden="false" customHeight="false" outlineLevel="0" collapsed="false">
      <c r="A214" s="0" t="n">
        <v>213</v>
      </c>
      <c r="B214" s="0" t="s">
        <v>697</v>
      </c>
      <c r="C214" s="0" t="s">
        <v>494</v>
      </c>
      <c r="D214" s="0" t="s">
        <v>416</v>
      </c>
      <c r="E214" s="0" t="s">
        <v>419</v>
      </c>
      <c r="F214" s="0" t="n">
        <v>116694065</v>
      </c>
      <c r="G214" s="0" t="n">
        <v>4.6560931935</v>
      </c>
      <c r="H214" s="0" t="n">
        <v>1.87969174413316E-005</v>
      </c>
    </row>
    <row r="215" customFormat="false" ht="15" hidden="false" customHeight="false" outlineLevel="0" collapsed="false">
      <c r="A215" s="0" t="n">
        <v>214</v>
      </c>
      <c r="B215" s="0" t="s">
        <v>698</v>
      </c>
      <c r="C215" s="0" t="s">
        <v>494</v>
      </c>
      <c r="D215" s="0" t="s">
        <v>416</v>
      </c>
      <c r="E215" s="0" t="s">
        <v>419</v>
      </c>
      <c r="F215" s="0" t="n">
        <v>115203681</v>
      </c>
      <c r="G215" s="0" t="n">
        <v>4.5966268719</v>
      </c>
      <c r="H215" s="0" t="n">
        <v>1.85568484626403E-005</v>
      </c>
    </row>
    <row r="216" customFormat="false" ht="15" hidden="false" customHeight="false" outlineLevel="0" collapsed="false">
      <c r="A216" s="0" t="n">
        <v>215</v>
      </c>
      <c r="B216" s="0" t="s">
        <v>699</v>
      </c>
      <c r="C216" s="0" t="s">
        <v>494</v>
      </c>
      <c r="D216" s="0" t="s">
        <v>416</v>
      </c>
      <c r="E216" s="0" t="s">
        <v>417</v>
      </c>
      <c r="F216" s="0" t="n">
        <v>116562210</v>
      </c>
      <c r="G216" s="0" t="n">
        <v>4.5039637944</v>
      </c>
      <c r="H216" s="0" t="n">
        <v>1.81827622609168E-005</v>
      </c>
    </row>
    <row r="217" customFormat="false" ht="15" hidden="false" customHeight="false" outlineLevel="0" collapsed="false">
      <c r="A217" s="0" t="n">
        <v>216</v>
      </c>
      <c r="B217" s="0" t="s">
        <v>700</v>
      </c>
      <c r="C217" s="0" t="s">
        <v>494</v>
      </c>
      <c r="D217" s="0" t="s">
        <v>416</v>
      </c>
      <c r="E217" s="0" t="s">
        <v>417</v>
      </c>
      <c r="F217" s="0" t="n">
        <v>115688688</v>
      </c>
      <c r="G217" s="0" t="n">
        <v>4.47021090432</v>
      </c>
      <c r="H217" s="0" t="n">
        <v>1.80464998920437E-005</v>
      </c>
    </row>
    <row r="218" customFormat="false" ht="15" hidden="false" customHeight="false" outlineLevel="0" collapsed="false">
      <c r="A218" s="0" t="n">
        <v>217</v>
      </c>
      <c r="B218" s="0" t="s">
        <v>701</v>
      </c>
      <c r="C218" s="0" t="s">
        <v>494</v>
      </c>
      <c r="D218" s="0" t="s">
        <v>416</v>
      </c>
      <c r="E218" s="0" t="s">
        <v>419</v>
      </c>
      <c r="F218" s="0" t="n">
        <v>106358223</v>
      </c>
      <c r="G218" s="0" t="n">
        <v>4.2436930977</v>
      </c>
      <c r="H218" s="0" t="n">
        <v>1.71320344092713E-005</v>
      </c>
    </row>
    <row r="219" customFormat="false" ht="15" hidden="false" customHeight="false" outlineLevel="0" collapsed="false">
      <c r="A219" s="0" t="n">
        <v>218</v>
      </c>
      <c r="B219" s="0" t="s">
        <v>702</v>
      </c>
      <c r="C219" s="0" t="s">
        <v>494</v>
      </c>
      <c r="D219" s="0" t="s">
        <v>416</v>
      </c>
      <c r="E219" s="0" t="s">
        <v>418</v>
      </c>
      <c r="F219" s="0" t="n">
        <v>210870444</v>
      </c>
      <c r="G219" s="0" t="n">
        <v>4.219904554</v>
      </c>
      <c r="H219" s="0" t="n">
        <v>1.7035998682881E-005</v>
      </c>
    </row>
    <row r="220" customFormat="false" ht="15" hidden="false" customHeight="false" outlineLevel="0" collapsed="false">
      <c r="A220" s="0" t="n">
        <v>219</v>
      </c>
      <c r="B220" s="0" t="s">
        <v>703</v>
      </c>
      <c r="C220" s="0" t="s">
        <v>494</v>
      </c>
      <c r="D220" s="0" t="s">
        <v>416</v>
      </c>
      <c r="E220" s="0" t="s">
        <v>419</v>
      </c>
      <c r="F220" s="0" t="n">
        <v>105527909</v>
      </c>
      <c r="G220" s="0" t="n">
        <v>4.2105635691</v>
      </c>
      <c r="H220" s="0" t="n">
        <v>1.69982885867362E-005</v>
      </c>
    </row>
    <row r="221" customFormat="false" ht="15" hidden="false" customHeight="false" outlineLevel="0" collapsed="false">
      <c r="A221" s="0" t="n">
        <v>220</v>
      </c>
      <c r="B221" s="0" t="s">
        <v>704</v>
      </c>
      <c r="C221" s="0" t="s">
        <v>494</v>
      </c>
      <c r="D221" s="0" t="s">
        <v>416</v>
      </c>
      <c r="E221" s="0" t="s">
        <v>419</v>
      </c>
      <c r="F221" s="0" t="n">
        <v>105304359</v>
      </c>
      <c r="G221" s="0" t="n">
        <v>4.2016439241</v>
      </c>
      <c r="H221" s="0" t="n">
        <v>1.69622794641299E-005</v>
      </c>
    </row>
    <row r="222" customFormat="false" ht="15" hidden="false" customHeight="false" outlineLevel="0" collapsed="false">
      <c r="A222" s="0" t="n">
        <v>221</v>
      </c>
      <c r="B222" s="0" t="s">
        <v>705</v>
      </c>
      <c r="C222" s="0" t="s">
        <v>494</v>
      </c>
      <c r="D222" s="0" t="s">
        <v>416</v>
      </c>
      <c r="E222" s="0" t="s">
        <v>419</v>
      </c>
      <c r="F222" s="0" t="n">
        <v>100390309</v>
      </c>
      <c r="G222" s="0" t="n">
        <v>4.0055733291</v>
      </c>
      <c r="H222" s="0" t="n">
        <v>1.61707311351504E-005</v>
      </c>
    </row>
    <row r="223" customFormat="false" ht="15" hidden="false" customHeight="false" outlineLevel="0" collapsed="false">
      <c r="A223" s="0" t="n">
        <v>222</v>
      </c>
      <c r="B223" s="0" t="s">
        <v>706</v>
      </c>
      <c r="C223" s="0" t="s">
        <v>494</v>
      </c>
      <c r="D223" s="0" t="s">
        <v>416</v>
      </c>
      <c r="E223" s="0" t="s">
        <v>419</v>
      </c>
      <c r="F223" s="0" t="n">
        <v>96577444</v>
      </c>
      <c r="G223" s="0" t="n">
        <v>3.8534400156</v>
      </c>
      <c r="H223" s="0" t="n">
        <v>1.55565601520765E-005</v>
      </c>
    </row>
    <row r="224" customFormat="false" ht="15" hidden="false" customHeight="false" outlineLevel="0" collapsed="false">
      <c r="A224" s="0" t="n">
        <v>223</v>
      </c>
      <c r="B224" s="0" t="s">
        <v>707</v>
      </c>
      <c r="C224" s="0" t="s">
        <v>494</v>
      </c>
      <c r="D224" s="0" t="s">
        <v>416</v>
      </c>
      <c r="E224" s="0" t="s">
        <v>417</v>
      </c>
      <c r="F224" s="0" t="n">
        <v>98044285</v>
      </c>
      <c r="G224" s="0" t="n">
        <v>3.7884311724</v>
      </c>
      <c r="H224" s="0" t="n">
        <v>1.52941156932129E-005</v>
      </c>
    </row>
    <row r="225" customFormat="false" ht="15" hidden="false" customHeight="false" outlineLevel="0" collapsed="false">
      <c r="A225" s="0" t="n">
        <v>224</v>
      </c>
      <c r="B225" s="0" t="s">
        <v>708</v>
      </c>
      <c r="C225" s="0" t="s">
        <v>494</v>
      </c>
      <c r="D225" s="0" t="s">
        <v>416</v>
      </c>
      <c r="E225" s="0" t="s">
        <v>419</v>
      </c>
      <c r="F225" s="0" t="n">
        <v>91685574</v>
      </c>
      <c r="G225" s="0" t="n">
        <v>3.6582544026</v>
      </c>
      <c r="H225" s="0" t="n">
        <v>1.47685845466014E-005</v>
      </c>
    </row>
    <row r="226" customFormat="false" ht="15" hidden="false" customHeight="false" outlineLevel="0" collapsed="false">
      <c r="A226" s="0" t="n">
        <v>225</v>
      </c>
      <c r="B226" s="0" t="s">
        <v>709</v>
      </c>
      <c r="C226" s="0" t="s">
        <v>494</v>
      </c>
      <c r="D226" s="0" t="s">
        <v>416</v>
      </c>
      <c r="E226" s="0" t="s">
        <v>419</v>
      </c>
      <c r="F226" s="0" t="n">
        <v>85541540</v>
      </c>
      <c r="G226" s="0" t="n">
        <v>3.413107446</v>
      </c>
      <c r="H226" s="0" t="n">
        <v>1.37789121082067E-005</v>
      </c>
    </row>
    <row r="227" customFormat="false" ht="15" hidden="false" customHeight="false" outlineLevel="0" collapsed="false">
      <c r="A227" s="0" t="n">
        <v>226</v>
      </c>
      <c r="B227" s="0" t="s">
        <v>710</v>
      </c>
      <c r="C227" s="0" t="s">
        <v>494</v>
      </c>
      <c r="D227" s="0" t="s">
        <v>416</v>
      </c>
      <c r="E227" s="0" t="s">
        <v>419</v>
      </c>
      <c r="F227" s="0" t="n">
        <v>84210560</v>
      </c>
      <c r="G227" s="0" t="n">
        <v>3.360001344</v>
      </c>
      <c r="H227" s="0" t="n">
        <v>1.35645197037939E-005</v>
      </c>
    </row>
    <row r="228" customFormat="false" ht="15" hidden="false" customHeight="false" outlineLevel="0" collapsed="false">
      <c r="A228" s="0" t="n">
        <v>227</v>
      </c>
      <c r="B228" s="0" t="s">
        <v>711</v>
      </c>
      <c r="C228" s="0" t="s">
        <v>494</v>
      </c>
      <c r="D228" s="0" t="s">
        <v>416</v>
      </c>
      <c r="E228" s="0" t="s">
        <v>419</v>
      </c>
      <c r="F228" s="0" t="n">
        <v>83558006</v>
      </c>
      <c r="G228" s="0" t="n">
        <v>3.3339644394</v>
      </c>
      <c r="H228" s="0" t="n">
        <v>1.34594072144482E-005</v>
      </c>
    </row>
    <row r="229" customFormat="false" ht="15" hidden="false" customHeight="false" outlineLevel="0" collapsed="false">
      <c r="A229" s="0" t="n">
        <v>228</v>
      </c>
      <c r="B229" s="0" t="s">
        <v>712</v>
      </c>
      <c r="C229" s="0" t="s">
        <v>494</v>
      </c>
      <c r="D229" s="0" t="s">
        <v>416</v>
      </c>
      <c r="E229" s="0" t="s">
        <v>419</v>
      </c>
      <c r="F229" s="0" t="n">
        <v>70791709</v>
      </c>
      <c r="G229" s="0" t="n">
        <v>2.8245891891</v>
      </c>
      <c r="H229" s="0" t="n">
        <v>1.14030298764875E-005</v>
      </c>
    </row>
    <row r="230" customFormat="false" ht="15" hidden="false" customHeight="false" outlineLevel="0" collapsed="false">
      <c r="A230" s="0" t="n">
        <v>229</v>
      </c>
      <c r="B230" s="0" t="s">
        <v>713</v>
      </c>
      <c r="C230" s="0" t="s">
        <v>494</v>
      </c>
      <c r="D230" s="0" t="s">
        <v>416</v>
      </c>
      <c r="E230" s="0" t="s">
        <v>419</v>
      </c>
      <c r="F230" s="0" t="n">
        <v>68973377</v>
      </c>
      <c r="G230" s="0" t="n">
        <v>2.7520377423</v>
      </c>
      <c r="H230" s="0" t="n">
        <v>1.1110135490771E-005</v>
      </c>
    </row>
    <row r="231" customFormat="false" ht="15" hidden="false" customHeight="false" outlineLevel="0" collapsed="false">
      <c r="A231" s="0" t="n">
        <v>230</v>
      </c>
      <c r="B231" s="0" t="s">
        <v>714</v>
      </c>
      <c r="C231" s="0" t="s">
        <v>494</v>
      </c>
      <c r="D231" s="0" t="s">
        <v>416</v>
      </c>
      <c r="E231" s="0" t="s">
        <v>419</v>
      </c>
      <c r="F231" s="0" t="n">
        <v>64037573</v>
      </c>
      <c r="G231" s="0" t="n">
        <v>2.5550991627</v>
      </c>
      <c r="H231" s="0" t="n">
        <v>1.03150830577737E-005</v>
      </c>
    </row>
    <row r="232" customFormat="false" ht="15" hidden="false" customHeight="false" outlineLevel="0" collapsed="false">
      <c r="A232" s="0" t="n">
        <v>231</v>
      </c>
      <c r="B232" s="0" t="s">
        <v>715</v>
      </c>
      <c r="C232" s="0" t="s">
        <v>494</v>
      </c>
      <c r="D232" s="0" t="s">
        <v>416</v>
      </c>
      <c r="E232" s="0" t="s">
        <v>419</v>
      </c>
      <c r="F232" s="0" t="n">
        <v>63874605</v>
      </c>
      <c r="G232" s="0" t="n">
        <v>2.5485967395</v>
      </c>
      <c r="H232" s="0" t="n">
        <v>1.02888323993398E-005</v>
      </c>
    </row>
    <row r="233" customFormat="false" ht="15" hidden="false" customHeight="false" outlineLevel="0" collapsed="false">
      <c r="A233" s="0" t="n">
        <v>232</v>
      </c>
      <c r="B233" s="0" t="s">
        <v>716</v>
      </c>
      <c r="C233" s="0" t="s">
        <v>494</v>
      </c>
      <c r="D233" s="0" t="s">
        <v>416</v>
      </c>
      <c r="E233" s="0" t="s">
        <v>418</v>
      </c>
      <c r="F233" s="0" t="n">
        <v>179485178</v>
      </c>
      <c r="G233" s="0" t="n">
        <v>2.538377476</v>
      </c>
      <c r="H233" s="0" t="n">
        <v>1.0247576641704E-005</v>
      </c>
    </row>
    <row r="234" customFormat="false" ht="15" hidden="false" customHeight="false" outlineLevel="0" collapsed="false">
      <c r="A234" s="0" t="n">
        <v>233</v>
      </c>
      <c r="B234" s="0" t="s">
        <v>717</v>
      </c>
      <c r="C234" s="0" t="s">
        <v>494</v>
      </c>
      <c r="D234" s="0" t="s">
        <v>416</v>
      </c>
      <c r="E234" s="0" t="s">
        <v>418</v>
      </c>
      <c r="F234" s="0" t="n">
        <v>167723217</v>
      </c>
      <c r="G234" s="0" t="n">
        <v>2.537841052</v>
      </c>
      <c r="H234" s="0" t="n">
        <v>1.02454110669995E-005</v>
      </c>
    </row>
    <row r="235" customFormat="false" ht="15" hidden="false" customHeight="false" outlineLevel="0" collapsed="false">
      <c r="A235" s="0" t="n">
        <v>234</v>
      </c>
      <c r="B235" s="0" t="s">
        <v>718</v>
      </c>
      <c r="C235" s="0" t="s">
        <v>494</v>
      </c>
      <c r="D235" s="0" t="s">
        <v>416</v>
      </c>
      <c r="E235" s="0" t="s">
        <v>417</v>
      </c>
      <c r="F235" s="0" t="n">
        <v>62793646</v>
      </c>
      <c r="G235" s="0" t="n">
        <v>2.42634648144</v>
      </c>
      <c r="H235" s="0" t="n">
        <v>9.79530103894023E-006</v>
      </c>
    </row>
    <row r="236" customFormat="false" ht="15" hidden="false" customHeight="false" outlineLevel="0" collapsed="false">
      <c r="A236" s="0" t="n">
        <v>235</v>
      </c>
      <c r="B236" s="0" t="s">
        <v>719</v>
      </c>
      <c r="C236" s="0" t="s">
        <v>494</v>
      </c>
      <c r="D236" s="0" t="s">
        <v>416</v>
      </c>
      <c r="E236" s="0" t="s">
        <v>418</v>
      </c>
      <c r="F236" s="0" t="n">
        <v>174378212</v>
      </c>
      <c r="G236" s="0" t="n">
        <v>2.323884904</v>
      </c>
      <c r="H236" s="0" t="n">
        <v>9.38165772640153E-006</v>
      </c>
    </row>
    <row r="237" customFormat="false" ht="15" hidden="false" customHeight="false" outlineLevel="0" collapsed="false">
      <c r="A237" s="0" t="n">
        <v>236</v>
      </c>
      <c r="B237" s="0" t="s">
        <v>720</v>
      </c>
      <c r="C237" s="0" t="s">
        <v>494</v>
      </c>
      <c r="D237" s="0" t="s">
        <v>416</v>
      </c>
      <c r="E237" s="0" t="s">
        <v>419</v>
      </c>
      <c r="F237" s="0" t="n">
        <v>56450944</v>
      </c>
      <c r="G237" s="0" t="n">
        <v>2.2523926656</v>
      </c>
      <c r="H237" s="0" t="n">
        <v>9.09303942624017E-006</v>
      </c>
    </row>
    <row r="238" customFormat="false" ht="15" hidden="false" customHeight="false" outlineLevel="0" collapsed="false">
      <c r="A238" s="0" t="n">
        <v>237</v>
      </c>
      <c r="B238" s="0" t="s">
        <v>721</v>
      </c>
      <c r="C238" s="0" t="s">
        <v>494</v>
      </c>
      <c r="D238" s="0" t="s">
        <v>416</v>
      </c>
      <c r="E238" s="0" t="s">
        <v>419</v>
      </c>
      <c r="F238" s="0" t="n">
        <v>55924623</v>
      </c>
      <c r="G238" s="0" t="n">
        <v>2.2313924577</v>
      </c>
      <c r="H238" s="0" t="n">
        <v>9.00826037269843E-006</v>
      </c>
    </row>
    <row r="239" customFormat="false" ht="15" hidden="false" customHeight="false" outlineLevel="0" collapsed="false">
      <c r="A239" s="0" t="n">
        <v>238</v>
      </c>
      <c r="B239" s="0" t="s">
        <v>722</v>
      </c>
      <c r="C239" s="0" t="s">
        <v>494</v>
      </c>
      <c r="D239" s="0" t="s">
        <v>416</v>
      </c>
      <c r="E239" s="0" t="s">
        <v>419</v>
      </c>
      <c r="F239" s="0" t="n">
        <v>54306663</v>
      </c>
      <c r="G239" s="0" t="n">
        <v>2.1668358537</v>
      </c>
      <c r="H239" s="0" t="n">
        <v>8.74764162963401E-006</v>
      </c>
    </row>
    <row r="240" customFormat="false" ht="15" hidden="false" customHeight="false" outlineLevel="0" collapsed="false">
      <c r="A240" s="0" t="n">
        <v>239</v>
      </c>
      <c r="B240" s="0" t="s">
        <v>723</v>
      </c>
      <c r="C240" s="0" t="s">
        <v>494</v>
      </c>
      <c r="D240" s="0" t="s">
        <v>416</v>
      </c>
      <c r="E240" s="0" t="s">
        <v>419</v>
      </c>
      <c r="F240" s="0" t="n">
        <v>53991649</v>
      </c>
      <c r="G240" s="0" t="n">
        <v>2.1542667951</v>
      </c>
      <c r="H240" s="0" t="n">
        <v>8.69689961331241E-006</v>
      </c>
    </row>
    <row r="241" customFormat="false" ht="15" hidden="false" customHeight="false" outlineLevel="0" collapsed="false">
      <c r="A241" s="0" t="n">
        <v>240</v>
      </c>
      <c r="B241" s="0" t="s">
        <v>724</v>
      </c>
      <c r="C241" s="0" t="s">
        <v>494</v>
      </c>
      <c r="D241" s="0" t="s">
        <v>416</v>
      </c>
      <c r="E241" s="0" t="s">
        <v>419</v>
      </c>
      <c r="F241" s="0" t="n">
        <v>53238445</v>
      </c>
      <c r="G241" s="0" t="n">
        <v>2.1242139555</v>
      </c>
      <c r="H241" s="0" t="n">
        <v>8.57557456216709E-006</v>
      </c>
    </row>
    <row r="242" customFormat="false" ht="15" hidden="false" customHeight="false" outlineLevel="0" collapsed="false">
      <c r="A242" s="0" t="n">
        <v>241</v>
      </c>
      <c r="B242" s="0" t="s">
        <v>725</v>
      </c>
      <c r="C242" s="0" t="s">
        <v>494</v>
      </c>
      <c r="D242" s="0" t="s">
        <v>416</v>
      </c>
      <c r="E242" s="0" t="s">
        <v>419</v>
      </c>
      <c r="F242" s="0" t="n">
        <v>53210293</v>
      </c>
      <c r="G242" s="0" t="n">
        <v>2.1230906907</v>
      </c>
      <c r="H242" s="0" t="n">
        <v>8.57103987722139E-006</v>
      </c>
    </row>
    <row r="243" customFormat="false" ht="15" hidden="false" customHeight="false" outlineLevel="0" collapsed="false">
      <c r="A243" s="0" t="n">
        <v>242</v>
      </c>
      <c r="B243" s="0" t="s">
        <v>726</v>
      </c>
      <c r="C243" s="0" t="s">
        <v>494</v>
      </c>
      <c r="D243" s="0" t="s">
        <v>416</v>
      </c>
      <c r="E243" s="0" t="s">
        <v>418</v>
      </c>
      <c r="F243" s="0" t="n">
        <v>168732153</v>
      </c>
      <c r="G243" s="0" t="n">
        <v>2.086750426</v>
      </c>
      <c r="H243" s="0" t="n">
        <v>8.42433212740323E-006</v>
      </c>
    </row>
    <row r="244" customFormat="false" ht="15" hidden="false" customHeight="false" outlineLevel="0" collapsed="false">
      <c r="A244" s="0" t="n">
        <v>243</v>
      </c>
      <c r="B244" s="0" t="s">
        <v>727</v>
      </c>
      <c r="C244" s="0" t="s">
        <v>494</v>
      </c>
      <c r="D244" s="0" t="s">
        <v>416</v>
      </c>
      <c r="E244" s="0" t="s">
        <v>419</v>
      </c>
      <c r="F244" s="0" t="n">
        <v>51674306</v>
      </c>
      <c r="G244" s="0" t="n">
        <v>2.0618048094</v>
      </c>
      <c r="H244" s="0" t="n">
        <v>8.32362523081278E-006</v>
      </c>
    </row>
    <row r="245" customFormat="false" ht="15" hidden="false" customHeight="false" outlineLevel="0" collapsed="false">
      <c r="A245" s="0" t="n">
        <v>244</v>
      </c>
      <c r="B245" s="0" t="s">
        <v>728</v>
      </c>
      <c r="C245" s="0" t="s">
        <v>494</v>
      </c>
      <c r="D245" s="0" t="s">
        <v>416</v>
      </c>
      <c r="E245" s="0" t="s">
        <v>419</v>
      </c>
      <c r="F245" s="0" t="n">
        <v>49772607</v>
      </c>
      <c r="G245" s="0" t="n">
        <v>1.9859270193</v>
      </c>
      <c r="H245" s="0" t="n">
        <v>8.01730220486229E-006</v>
      </c>
    </row>
    <row r="246" customFormat="false" ht="15" hidden="false" customHeight="false" outlineLevel="0" collapsed="false">
      <c r="A246" s="0" t="n">
        <v>245</v>
      </c>
      <c r="B246" s="0" t="s">
        <v>729</v>
      </c>
      <c r="C246" s="0" t="s">
        <v>494</v>
      </c>
      <c r="D246" s="0" t="s">
        <v>416</v>
      </c>
      <c r="E246" s="0" t="s">
        <v>419</v>
      </c>
      <c r="F246" s="0" t="n">
        <v>49156176</v>
      </c>
      <c r="G246" s="0" t="n">
        <v>1.9613314224</v>
      </c>
      <c r="H246" s="0" t="n">
        <v>7.91800835803917E-006</v>
      </c>
    </row>
    <row r="247" customFormat="false" ht="15" hidden="false" customHeight="false" outlineLevel="0" collapsed="false">
      <c r="A247" s="0" t="n">
        <v>246</v>
      </c>
      <c r="B247" s="0" t="s">
        <v>730</v>
      </c>
      <c r="C247" s="0" t="s">
        <v>494</v>
      </c>
      <c r="D247" s="0" t="s">
        <v>416</v>
      </c>
      <c r="E247" s="0" t="s">
        <v>419</v>
      </c>
      <c r="F247" s="0" t="n">
        <v>48894908</v>
      </c>
      <c r="G247" s="0" t="n">
        <v>1.9509068292</v>
      </c>
      <c r="H247" s="0" t="n">
        <v>7.87592367253214E-006</v>
      </c>
    </row>
    <row r="248" customFormat="false" ht="15" hidden="false" customHeight="false" outlineLevel="0" collapsed="false">
      <c r="A248" s="0" t="n">
        <v>247</v>
      </c>
      <c r="B248" s="0" t="s">
        <v>731</v>
      </c>
      <c r="C248" s="0" t="s">
        <v>494</v>
      </c>
      <c r="D248" s="0" t="s">
        <v>416</v>
      </c>
      <c r="E248" s="0" t="s">
        <v>419</v>
      </c>
      <c r="F248" s="0" t="n">
        <v>48242849</v>
      </c>
      <c r="G248" s="0" t="n">
        <v>1.9248896751</v>
      </c>
      <c r="H248" s="0" t="n">
        <v>7.770890917097E-006</v>
      </c>
    </row>
    <row r="249" customFormat="false" ht="15" hidden="false" customHeight="false" outlineLevel="0" collapsed="false">
      <c r="A249" s="0" t="n">
        <v>248</v>
      </c>
      <c r="B249" s="0" t="s">
        <v>732</v>
      </c>
      <c r="C249" s="0" t="s">
        <v>494</v>
      </c>
      <c r="D249" s="0" t="s">
        <v>416</v>
      </c>
      <c r="E249" s="0" t="s">
        <v>419</v>
      </c>
      <c r="F249" s="0" t="n">
        <v>47405622</v>
      </c>
      <c r="G249" s="0" t="n">
        <v>1.8914843178</v>
      </c>
      <c r="H249" s="0" t="n">
        <v>7.63603155815142E-006</v>
      </c>
    </row>
    <row r="250" customFormat="false" ht="15" hidden="false" customHeight="false" outlineLevel="0" collapsed="false">
      <c r="A250" s="0" t="n">
        <v>249</v>
      </c>
      <c r="B250" s="0" t="s">
        <v>733</v>
      </c>
      <c r="C250" s="0" t="s">
        <v>494</v>
      </c>
      <c r="D250" s="0" t="s">
        <v>416</v>
      </c>
      <c r="E250" s="0" t="s">
        <v>419</v>
      </c>
      <c r="F250" s="0" t="n">
        <v>47290854</v>
      </c>
      <c r="G250" s="0" t="n">
        <v>1.8869050746</v>
      </c>
      <c r="H250" s="0" t="n">
        <v>7.61754488857738E-006</v>
      </c>
    </row>
    <row r="251" customFormat="false" ht="15" hidden="false" customHeight="false" outlineLevel="0" collapsed="false">
      <c r="A251" s="0" t="n">
        <v>250</v>
      </c>
      <c r="B251" s="0" t="s">
        <v>734</v>
      </c>
      <c r="C251" s="0" t="s">
        <v>494</v>
      </c>
      <c r="D251" s="0" t="s">
        <v>416</v>
      </c>
      <c r="E251" s="0" t="s">
        <v>419</v>
      </c>
      <c r="F251" s="0" t="n">
        <v>47052410</v>
      </c>
      <c r="G251" s="0" t="n">
        <v>1.877391159</v>
      </c>
      <c r="H251" s="0" t="n">
        <v>7.57913666119768E-006</v>
      </c>
    </row>
    <row r="252" customFormat="false" ht="15" hidden="false" customHeight="false" outlineLevel="0" collapsed="false">
      <c r="A252" s="0" t="n">
        <v>251</v>
      </c>
      <c r="B252" s="0" t="s">
        <v>735</v>
      </c>
      <c r="C252" s="0" t="s">
        <v>494</v>
      </c>
      <c r="D252" s="0" t="s">
        <v>416</v>
      </c>
      <c r="E252" s="0" t="s">
        <v>418</v>
      </c>
      <c r="F252" s="0" t="n">
        <v>163470790</v>
      </c>
      <c r="G252" s="0" t="n">
        <v>1.86577318</v>
      </c>
      <c r="H252" s="0" t="n">
        <v>7.5322342082135E-006</v>
      </c>
    </row>
    <row r="253" customFormat="false" ht="15" hidden="false" customHeight="false" outlineLevel="0" collapsed="false">
      <c r="A253" s="0" t="n">
        <v>252</v>
      </c>
      <c r="B253" s="0" t="s">
        <v>736</v>
      </c>
      <c r="C253" s="0" t="s">
        <v>494</v>
      </c>
      <c r="D253" s="0" t="s">
        <v>416</v>
      </c>
      <c r="E253" s="0" t="s">
        <v>419</v>
      </c>
      <c r="F253" s="0" t="n">
        <v>46144677</v>
      </c>
      <c r="G253" s="0" t="n">
        <v>1.8411726123</v>
      </c>
      <c r="H253" s="0" t="n">
        <v>7.43292029398336E-006</v>
      </c>
    </row>
    <row r="254" customFormat="false" ht="15" hidden="false" customHeight="false" outlineLevel="0" collapsed="false">
      <c r="A254" s="0" t="n">
        <v>253</v>
      </c>
      <c r="B254" s="0" t="s">
        <v>737</v>
      </c>
      <c r="C254" s="0" t="s">
        <v>494</v>
      </c>
      <c r="D254" s="0" t="s">
        <v>416</v>
      </c>
      <c r="E254" s="0" t="s">
        <v>419</v>
      </c>
      <c r="F254" s="0" t="n">
        <v>45985248</v>
      </c>
      <c r="G254" s="0" t="n">
        <v>1.8348113952</v>
      </c>
      <c r="H254" s="0" t="n">
        <v>7.40723969273981E-006</v>
      </c>
    </row>
    <row r="255" customFormat="false" ht="15" hidden="false" customHeight="false" outlineLevel="0" collapsed="false">
      <c r="A255" s="0" t="n">
        <v>254</v>
      </c>
      <c r="B255" s="0" t="s">
        <v>738</v>
      </c>
      <c r="C255" s="0" t="s">
        <v>494</v>
      </c>
      <c r="D255" s="0" t="s">
        <v>416</v>
      </c>
      <c r="E255" s="0" t="s">
        <v>418</v>
      </c>
      <c r="F255" s="0" t="n">
        <v>162599182</v>
      </c>
      <c r="G255" s="0" t="n">
        <v>1.829165644</v>
      </c>
      <c r="H255" s="0" t="n">
        <v>7.38444746870339E-006</v>
      </c>
    </row>
    <row r="256" customFormat="false" ht="15" hidden="false" customHeight="false" outlineLevel="0" collapsed="false">
      <c r="A256" s="0" t="n">
        <v>255</v>
      </c>
      <c r="B256" s="0" t="s">
        <v>739</v>
      </c>
      <c r="C256" s="0" t="s">
        <v>494</v>
      </c>
      <c r="D256" s="0" t="s">
        <v>416</v>
      </c>
      <c r="E256" s="0" t="s">
        <v>417</v>
      </c>
      <c r="F256" s="0" t="n">
        <v>47169811</v>
      </c>
      <c r="G256" s="0" t="n">
        <v>1.82264149704</v>
      </c>
      <c r="H256" s="0" t="n">
        <v>7.35810911019428E-006</v>
      </c>
    </row>
    <row r="257" customFormat="false" ht="15" hidden="false" customHeight="false" outlineLevel="0" collapsed="false">
      <c r="A257" s="0" t="n">
        <v>256</v>
      </c>
      <c r="B257" s="0" t="s">
        <v>740</v>
      </c>
      <c r="C257" s="0" t="s">
        <v>494</v>
      </c>
      <c r="D257" s="0" t="s">
        <v>416</v>
      </c>
      <c r="E257" s="0" t="s">
        <v>419</v>
      </c>
      <c r="F257" s="0" t="n">
        <v>45231416</v>
      </c>
      <c r="G257" s="0" t="n">
        <v>1.8047334984</v>
      </c>
      <c r="H257" s="0" t="n">
        <v>7.28581348422926E-006</v>
      </c>
    </row>
    <row r="258" customFormat="false" ht="15" hidden="false" customHeight="false" outlineLevel="0" collapsed="false">
      <c r="A258" s="0" t="n">
        <v>257</v>
      </c>
      <c r="B258" s="0" t="s">
        <v>741</v>
      </c>
      <c r="C258" s="0" t="s">
        <v>494</v>
      </c>
      <c r="D258" s="0" t="s">
        <v>416</v>
      </c>
      <c r="E258" s="0" t="s">
        <v>419</v>
      </c>
      <c r="F258" s="0" t="n">
        <v>45224932</v>
      </c>
      <c r="G258" s="0" t="n">
        <v>1.8044747868</v>
      </c>
      <c r="H258" s="0" t="n">
        <v>7.28476905054114E-006</v>
      </c>
    </row>
    <row r="259" customFormat="false" ht="15" hidden="false" customHeight="false" outlineLevel="0" collapsed="false">
      <c r="A259" s="0" t="n">
        <v>258</v>
      </c>
      <c r="B259" s="0" t="s">
        <v>742</v>
      </c>
      <c r="C259" s="0" t="s">
        <v>494</v>
      </c>
      <c r="D259" s="0" t="s">
        <v>416</v>
      </c>
      <c r="E259" s="0" t="s">
        <v>419</v>
      </c>
      <c r="F259" s="0" t="n">
        <v>43389523</v>
      </c>
      <c r="G259" s="0" t="n">
        <v>1.7312419677</v>
      </c>
      <c r="H259" s="0" t="n">
        <v>6.98912392545207E-006</v>
      </c>
    </row>
    <row r="260" customFormat="false" ht="15" hidden="false" customHeight="false" outlineLevel="0" collapsed="false">
      <c r="A260" s="0" t="n">
        <v>259</v>
      </c>
      <c r="B260" s="0" t="s">
        <v>743</v>
      </c>
      <c r="C260" s="0" t="s">
        <v>494</v>
      </c>
      <c r="D260" s="0" t="s">
        <v>416</v>
      </c>
      <c r="E260" s="0" t="s">
        <v>419</v>
      </c>
      <c r="F260" s="0" t="n">
        <v>42992001</v>
      </c>
      <c r="G260" s="0" t="n">
        <v>1.7153808399</v>
      </c>
      <c r="H260" s="0" t="n">
        <v>6.9250916354199E-006</v>
      </c>
    </row>
    <row r="261" customFormat="false" ht="15" hidden="false" customHeight="false" outlineLevel="0" collapsed="false">
      <c r="A261" s="0" t="n">
        <v>260</v>
      </c>
      <c r="B261" s="0" t="s">
        <v>744</v>
      </c>
      <c r="C261" s="0" t="s">
        <v>494</v>
      </c>
      <c r="D261" s="0" t="s">
        <v>416</v>
      </c>
      <c r="E261" s="0" t="s">
        <v>419</v>
      </c>
      <c r="F261" s="0" t="n">
        <v>42987986</v>
      </c>
      <c r="G261" s="0" t="n">
        <v>1.7152206414</v>
      </c>
      <c r="H261" s="0" t="n">
        <v>6.92444490481259E-006</v>
      </c>
    </row>
    <row r="262" customFormat="false" ht="15" hidden="false" customHeight="false" outlineLevel="0" collapsed="false">
      <c r="A262" s="0" t="n">
        <v>261</v>
      </c>
      <c r="B262" s="0" t="s">
        <v>745</v>
      </c>
      <c r="C262" s="0" t="s">
        <v>494</v>
      </c>
      <c r="D262" s="0" t="s">
        <v>416</v>
      </c>
      <c r="E262" s="0" t="s">
        <v>417</v>
      </c>
      <c r="F262" s="0" t="n">
        <v>44133735</v>
      </c>
      <c r="G262" s="0" t="n">
        <v>1.7053275204</v>
      </c>
      <c r="H262" s="0" t="n">
        <v>6.88450580330712E-006</v>
      </c>
    </row>
    <row r="263" customFormat="false" ht="15" hidden="false" customHeight="false" outlineLevel="0" collapsed="false">
      <c r="A263" s="0" t="n">
        <v>262</v>
      </c>
      <c r="B263" s="0" t="s">
        <v>746</v>
      </c>
      <c r="C263" s="0" t="s">
        <v>494</v>
      </c>
      <c r="D263" s="0" t="s">
        <v>416</v>
      </c>
      <c r="E263" s="0" t="s">
        <v>419</v>
      </c>
      <c r="F263" s="0" t="n">
        <v>42575163</v>
      </c>
      <c r="G263" s="0" t="n">
        <v>1.6987490037</v>
      </c>
      <c r="H263" s="0" t="n">
        <v>6.85794795101392E-006</v>
      </c>
    </row>
    <row r="264" customFormat="false" ht="15" hidden="false" customHeight="false" outlineLevel="0" collapsed="false">
      <c r="A264" s="0" t="n">
        <v>263</v>
      </c>
      <c r="B264" s="0" t="s">
        <v>747</v>
      </c>
      <c r="C264" s="0" t="s">
        <v>494</v>
      </c>
      <c r="D264" s="0" t="s">
        <v>416</v>
      </c>
      <c r="E264" s="0" t="s">
        <v>419</v>
      </c>
      <c r="F264" s="0" t="n">
        <v>41808552</v>
      </c>
      <c r="G264" s="0" t="n">
        <v>1.6681612248</v>
      </c>
      <c r="H264" s="0" t="n">
        <v>6.73446331898387E-006</v>
      </c>
    </row>
    <row r="265" customFormat="false" ht="15" hidden="false" customHeight="false" outlineLevel="0" collapsed="false">
      <c r="A265" s="0" t="n">
        <v>264</v>
      </c>
      <c r="B265" s="0" t="s">
        <v>748</v>
      </c>
      <c r="C265" s="0" t="s">
        <v>494</v>
      </c>
      <c r="D265" s="0" t="s">
        <v>416</v>
      </c>
      <c r="E265" s="0" t="s">
        <v>419</v>
      </c>
      <c r="F265" s="0" t="n">
        <v>41791910</v>
      </c>
      <c r="G265" s="0" t="n">
        <v>1.667497209</v>
      </c>
      <c r="H265" s="0" t="n">
        <v>6.73178264880532E-006</v>
      </c>
    </row>
    <row r="266" customFormat="false" ht="15" hidden="false" customHeight="false" outlineLevel="0" collapsed="false">
      <c r="A266" s="0" t="n">
        <v>265</v>
      </c>
      <c r="B266" s="0" t="s">
        <v>749</v>
      </c>
      <c r="C266" s="0" t="s">
        <v>494</v>
      </c>
      <c r="D266" s="0" t="s">
        <v>416</v>
      </c>
      <c r="E266" s="0" t="s">
        <v>419</v>
      </c>
      <c r="F266" s="0" t="n">
        <v>41671994</v>
      </c>
      <c r="G266" s="0" t="n">
        <v>1.6627125606</v>
      </c>
      <c r="H266" s="0" t="n">
        <v>6.71246674656218E-006</v>
      </c>
    </row>
    <row r="267" customFormat="false" ht="15" hidden="false" customHeight="false" outlineLevel="0" collapsed="false">
      <c r="A267" s="0" t="n">
        <v>266</v>
      </c>
      <c r="B267" s="0" t="s">
        <v>750</v>
      </c>
      <c r="C267" s="0" t="s">
        <v>494</v>
      </c>
      <c r="D267" s="0" t="s">
        <v>416</v>
      </c>
      <c r="E267" s="0" t="s">
        <v>419</v>
      </c>
      <c r="F267" s="0" t="n">
        <v>41656098</v>
      </c>
      <c r="G267" s="0" t="n">
        <v>1.6620783102</v>
      </c>
      <c r="H267" s="0" t="n">
        <v>6.7099062410245E-006</v>
      </c>
    </row>
    <row r="268" customFormat="false" ht="15" hidden="false" customHeight="false" outlineLevel="0" collapsed="false">
      <c r="A268" s="0" t="n">
        <v>267</v>
      </c>
      <c r="B268" s="0" t="s">
        <v>751</v>
      </c>
      <c r="C268" s="0" t="s">
        <v>494</v>
      </c>
      <c r="D268" s="0" t="s">
        <v>416</v>
      </c>
      <c r="E268" s="0" t="s">
        <v>419</v>
      </c>
      <c r="F268" s="0" t="n">
        <v>41307070</v>
      </c>
      <c r="G268" s="0" t="n">
        <v>1.648152093</v>
      </c>
      <c r="H268" s="0" t="n">
        <v>6.65368529696266E-006</v>
      </c>
    </row>
    <row r="269" customFormat="false" ht="15" hidden="false" customHeight="false" outlineLevel="0" collapsed="false">
      <c r="A269" s="0" t="n">
        <v>268</v>
      </c>
      <c r="B269" s="0" t="s">
        <v>752</v>
      </c>
      <c r="C269" s="0" t="s">
        <v>494</v>
      </c>
      <c r="D269" s="0" t="s">
        <v>416</v>
      </c>
      <c r="E269" s="0" t="s">
        <v>419</v>
      </c>
      <c r="F269" s="0" t="n">
        <v>40482208</v>
      </c>
      <c r="G269" s="0" t="n">
        <v>1.6152400992</v>
      </c>
      <c r="H269" s="0" t="n">
        <v>6.52081767499327E-006</v>
      </c>
    </row>
    <row r="270" customFormat="false" ht="15" hidden="false" customHeight="false" outlineLevel="0" collapsed="false">
      <c r="A270" s="0" t="n">
        <v>269</v>
      </c>
      <c r="B270" s="0" t="s">
        <v>753</v>
      </c>
      <c r="C270" s="0" t="s">
        <v>494</v>
      </c>
      <c r="D270" s="0" t="s">
        <v>416</v>
      </c>
      <c r="E270" s="0" t="s">
        <v>419</v>
      </c>
      <c r="F270" s="0" t="n">
        <v>38156754</v>
      </c>
      <c r="G270" s="0" t="n">
        <v>1.5224544846</v>
      </c>
      <c r="H270" s="0" t="n">
        <v>6.14623678391184E-006</v>
      </c>
    </row>
    <row r="271" customFormat="false" ht="15" hidden="false" customHeight="false" outlineLevel="0" collapsed="false">
      <c r="A271" s="0" t="n">
        <v>270</v>
      </c>
      <c r="B271" s="0" t="s">
        <v>754</v>
      </c>
      <c r="C271" s="0" t="s">
        <v>494</v>
      </c>
      <c r="D271" s="0" t="s">
        <v>416</v>
      </c>
      <c r="E271" s="0" t="s">
        <v>419</v>
      </c>
      <c r="F271" s="0" t="n">
        <v>37471987</v>
      </c>
      <c r="G271" s="0" t="n">
        <v>1.4951322813</v>
      </c>
      <c r="H271" s="0" t="n">
        <v>6.03593546939727E-006</v>
      </c>
    </row>
    <row r="272" customFormat="false" ht="15" hidden="false" customHeight="false" outlineLevel="0" collapsed="false">
      <c r="A272" s="0" t="n">
        <v>271</v>
      </c>
      <c r="B272" s="0" t="s">
        <v>755</v>
      </c>
      <c r="C272" s="0" t="s">
        <v>494</v>
      </c>
      <c r="D272" s="0" t="s">
        <v>416</v>
      </c>
      <c r="E272" s="0" t="s">
        <v>419</v>
      </c>
      <c r="F272" s="0" t="n">
        <v>37013939</v>
      </c>
      <c r="G272" s="0" t="n">
        <v>1.4768561661</v>
      </c>
      <c r="H272" s="0" t="n">
        <v>5.96215373559473E-006</v>
      </c>
    </row>
    <row r="273" customFormat="false" ht="15" hidden="false" customHeight="false" outlineLevel="0" collapsed="false">
      <c r="A273" s="0" t="n">
        <v>272</v>
      </c>
      <c r="B273" s="0" t="s">
        <v>756</v>
      </c>
      <c r="C273" s="0" t="s">
        <v>494</v>
      </c>
      <c r="D273" s="0" t="s">
        <v>416</v>
      </c>
      <c r="E273" s="0" t="s">
        <v>417</v>
      </c>
      <c r="F273" s="0" t="n">
        <v>37101959</v>
      </c>
      <c r="G273" s="0" t="n">
        <v>1.43361969576</v>
      </c>
      <c r="H273" s="0" t="n">
        <v>5.78760560486356E-006</v>
      </c>
    </row>
    <row r="274" customFormat="false" ht="15" hidden="false" customHeight="false" outlineLevel="0" collapsed="false">
      <c r="A274" s="0" t="n">
        <v>273</v>
      </c>
      <c r="B274" s="0" t="s">
        <v>757</v>
      </c>
      <c r="C274" s="0" t="s">
        <v>494</v>
      </c>
      <c r="D274" s="0" t="s">
        <v>416</v>
      </c>
      <c r="E274" s="0" t="s">
        <v>419</v>
      </c>
      <c r="F274" s="0" t="n">
        <v>35863426</v>
      </c>
      <c r="G274" s="0" t="n">
        <v>1.4309506974</v>
      </c>
      <c r="H274" s="0" t="n">
        <v>5.77683070416054E-006</v>
      </c>
    </row>
    <row r="275" customFormat="false" ht="15" hidden="false" customHeight="false" outlineLevel="0" collapsed="false">
      <c r="A275" s="0" t="n">
        <v>274</v>
      </c>
      <c r="B275" s="0" t="s">
        <v>758</v>
      </c>
      <c r="C275" s="0" t="s">
        <v>494</v>
      </c>
      <c r="D275" s="0" t="s">
        <v>416</v>
      </c>
      <c r="E275" s="0" t="s">
        <v>417</v>
      </c>
      <c r="F275" s="0" t="n">
        <v>36585482</v>
      </c>
      <c r="G275" s="0" t="n">
        <v>1.41366302448</v>
      </c>
      <c r="H275" s="0" t="n">
        <v>5.7070393689949E-006</v>
      </c>
    </row>
    <row r="276" customFormat="false" ht="15" hidden="false" customHeight="false" outlineLevel="0" collapsed="false">
      <c r="A276" s="0" t="n">
        <v>275</v>
      </c>
      <c r="B276" s="0" t="s">
        <v>759</v>
      </c>
      <c r="C276" s="0" t="s">
        <v>494</v>
      </c>
      <c r="D276" s="0" t="s">
        <v>416</v>
      </c>
      <c r="E276" s="0" t="s">
        <v>419</v>
      </c>
      <c r="F276" s="0" t="n">
        <v>34719827</v>
      </c>
      <c r="G276" s="0" t="n">
        <v>1.3853210973</v>
      </c>
      <c r="H276" s="0" t="n">
        <v>5.59262137021549E-006</v>
      </c>
    </row>
    <row r="277" customFormat="false" ht="15" hidden="false" customHeight="false" outlineLevel="0" collapsed="false">
      <c r="A277" s="0" t="n">
        <v>276</v>
      </c>
      <c r="B277" s="0" t="s">
        <v>760</v>
      </c>
      <c r="C277" s="0" t="s">
        <v>494</v>
      </c>
      <c r="D277" s="0" t="s">
        <v>416</v>
      </c>
      <c r="E277" s="0" t="s">
        <v>419</v>
      </c>
      <c r="F277" s="0" t="n">
        <v>34107580</v>
      </c>
      <c r="G277" s="0" t="n">
        <v>1.360892442</v>
      </c>
      <c r="H277" s="0" t="n">
        <v>5.49400147628427E-006</v>
      </c>
    </row>
    <row r="278" customFormat="false" ht="15" hidden="false" customHeight="false" outlineLevel="0" collapsed="false">
      <c r="A278" s="0" t="n">
        <v>277</v>
      </c>
      <c r="B278" s="0" t="s">
        <v>761</v>
      </c>
      <c r="C278" s="0" t="s">
        <v>494</v>
      </c>
      <c r="D278" s="0" t="s">
        <v>416</v>
      </c>
      <c r="E278" s="0" t="s">
        <v>419</v>
      </c>
      <c r="F278" s="0" t="n">
        <v>34100264</v>
      </c>
      <c r="G278" s="0" t="n">
        <v>1.3606005336</v>
      </c>
      <c r="H278" s="0" t="n">
        <v>5.49282302519509E-006</v>
      </c>
    </row>
    <row r="279" customFormat="false" ht="15" hidden="false" customHeight="false" outlineLevel="0" collapsed="false">
      <c r="A279" s="0" t="n">
        <v>278</v>
      </c>
      <c r="B279" s="0" t="s">
        <v>762</v>
      </c>
      <c r="C279" s="0" t="s">
        <v>494</v>
      </c>
      <c r="D279" s="0" t="s">
        <v>416</v>
      </c>
      <c r="E279" s="0" t="s">
        <v>419</v>
      </c>
      <c r="F279" s="0" t="n">
        <v>32874530</v>
      </c>
      <c r="G279" s="0" t="n">
        <v>1.311693747</v>
      </c>
      <c r="H279" s="0" t="n">
        <v>5.2953834998599E-006</v>
      </c>
    </row>
    <row r="280" customFormat="false" ht="15" hidden="false" customHeight="false" outlineLevel="0" collapsed="false">
      <c r="A280" s="0" t="n">
        <v>279</v>
      </c>
      <c r="B280" s="0" t="s">
        <v>763</v>
      </c>
      <c r="C280" s="0" t="s">
        <v>494</v>
      </c>
      <c r="D280" s="0" t="s">
        <v>416</v>
      </c>
      <c r="E280" s="0" t="s">
        <v>417</v>
      </c>
      <c r="F280" s="0" t="n">
        <v>33305442</v>
      </c>
      <c r="G280" s="0" t="n">
        <v>1.28692227888</v>
      </c>
      <c r="H280" s="0" t="n">
        <v>5.19537965075262E-006</v>
      </c>
    </row>
    <row r="281" customFormat="false" ht="15" hidden="false" customHeight="false" outlineLevel="0" collapsed="false">
      <c r="A281" s="0" t="n">
        <v>280</v>
      </c>
      <c r="B281" s="0" t="s">
        <v>764</v>
      </c>
      <c r="C281" s="0" t="s">
        <v>494</v>
      </c>
      <c r="D281" s="0" t="s">
        <v>416</v>
      </c>
      <c r="E281" s="0" t="s">
        <v>419</v>
      </c>
      <c r="F281" s="0" t="n">
        <v>32142447</v>
      </c>
      <c r="G281" s="0" t="n">
        <v>1.2824836353</v>
      </c>
      <c r="H281" s="0" t="n">
        <v>5.17746058997411E-006</v>
      </c>
    </row>
    <row r="282" customFormat="false" ht="15" hidden="false" customHeight="false" outlineLevel="0" collapsed="false">
      <c r="A282" s="0" t="n">
        <v>281</v>
      </c>
      <c r="B282" s="0" t="s">
        <v>765</v>
      </c>
      <c r="C282" s="0" t="s">
        <v>494</v>
      </c>
      <c r="D282" s="0" t="s">
        <v>416</v>
      </c>
      <c r="E282" s="0" t="s">
        <v>419</v>
      </c>
      <c r="F282" s="0" t="n">
        <v>31878602</v>
      </c>
      <c r="G282" s="0" t="n">
        <v>1.2719562198</v>
      </c>
      <c r="H282" s="0" t="n">
        <v>5.1349608048967E-006</v>
      </c>
    </row>
    <row r="283" customFormat="false" ht="15" hidden="false" customHeight="false" outlineLevel="0" collapsed="false">
      <c r="A283" s="0" t="n">
        <v>282</v>
      </c>
      <c r="B283" s="0" t="s">
        <v>766</v>
      </c>
      <c r="C283" s="0" t="s">
        <v>494</v>
      </c>
      <c r="D283" s="0" t="s">
        <v>416</v>
      </c>
      <c r="E283" s="0" t="s">
        <v>419</v>
      </c>
      <c r="F283" s="0" t="n">
        <v>31796188</v>
      </c>
      <c r="G283" s="0" t="n">
        <v>1.2686679012</v>
      </c>
      <c r="H283" s="0" t="n">
        <v>5.1216856725752E-006</v>
      </c>
    </row>
    <row r="284" customFormat="false" ht="15" hidden="false" customHeight="false" outlineLevel="0" collapsed="false">
      <c r="A284" s="0" t="n">
        <v>283</v>
      </c>
      <c r="B284" s="0" t="s">
        <v>767</v>
      </c>
      <c r="C284" s="0" t="s">
        <v>494</v>
      </c>
      <c r="D284" s="0" t="s">
        <v>416</v>
      </c>
      <c r="E284" s="0" t="s">
        <v>419</v>
      </c>
      <c r="F284" s="0" t="n">
        <v>31240787</v>
      </c>
      <c r="G284" s="0" t="n">
        <v>1.2465074013</v>
      </c>
      <c r="H284" s="0" t="n">
        <v>5.0322224531404E-006</v>
      </c>
    </row>
    <row r="285" customFormat="false" ht="15" hidden="false" customHeight="false" outlineLevel="0" collapsed="false">
      <c r="A285" s="0" t="n">
        <v>284</v>
      </c>
      <c r="B285" s="0" t="s">
        <v>768</v>
      </c>
      <c r="C285" s="0" t="s">
        <v>494</v>
      </c>
      <c r="D285" s="0" t="s">
        <v>416</v>
      </c>
      <c r="E285" s="0" t="s">
        <v>419</v>
      </c>
      <c r="F285" s="0" t="n">
        <v>31146432</v>
      </c>
      <c r="G285" s="0" t="n">
        <v>1.2427426368</v>
      </c>
      <c r="H285" s="0" t="n">
        <v>5.01702388117209E-006</v>
      </c>
    </row>
    <row r="286" customFormat="false" ht="15" hidden="false" customHeight="false" outlineLevel="0" collapsed="false">
      <c r="A286" s="0" t="n">
        <v>285</v>
      </c>
      <c r="B286" s="0" t="s">
        <v>769</v>
      </c>
      <c r="C286" s="0" t="s">
        <v>494</v>
      </c>
      <c r="D286" s="0" t="s">
        <v>416</v>
      </c>
      <c r="E286" s="0" t="s">
        <v>419</v>
      </c>
      <c r="F286" s="0" t="n">
        <v>30906391</v>
      </c>
      <c r="G286" s="0" t="n">
        <v>1.2331650009</v>
      </c>
      <c r="H286" s="0" t="n">
        <v>4.97835841125694E-006</v>
      </c>
    </row>
    <row r="287" customFormat="false" ht="15" hidden="false" customHeight="false" outlineLevel="0" collapsed="false">
      <c r="A287" s="0" t="n">
        <v>286</v>
      </c>
      <c r="B287" s="0" t="s">
        <v>770</v>
      </c>
      <c r="C287" s="0" t="s">
        <v>494</v>
      </c>
      <c r="D287" s="0" t="s">
        <v>416</v>
      </c>
      <c r="E287" s="0" t="s">
        <v>419</v>
      </c>
      <c r="F287" s="0" t="n">
        <v>30666021</v>
      </c>
      <c r="G287" s="0" t="n">
        <v>1.2235742379</v>
      </c>
      <c r="H287" s="0" t="n">
        <v>4.93963994648006E-006</v>
      </c>
    </row>
    <row r="288" customFormat="false" ht="15" hidden="false" customHeight="false" outlineLevel="0" collapsed="false">
      <c r="A288" s="0" t="n">
        <v>287</v>
      </c>
      <c r="B288" s="0" t="s">
        <v>771</v>
      </c>
      <c r="C288" s="0" t="s">
        <v>494</v>
      </c>
      <c r="D288" s="0" t="s">
        <v>416</v>
      </c>
      <c r="E288" s="0" t="s">
        <v>419</v>
      </c>
      <c r="F288" s="0" t="n">
        <v>30457499</v>
      </c>
      <c r="G288" s="0" t="n">
        <v>1.2152542101</v>
      </c>
      <c r="H288" s="0" t="n">
        <v>4.90605151318055E-006</v>
      </c>
    </row>
    <row r="289" customFormat="false" ht="15" hidden="false" customHeight="false" outlineLevel="0" collapsed="false">
      <c r="A289" s="0" t="n">
        <v>288</v>
      </c>
      <c r="B289" s="0" t="s">
        <v>772</v>
      </c>
      <c r="C289" s="0" t="s">
        <v>494</v>
      </c>
      <c r="D289" s="0" t="s">
        <v>416</v>
      </c>
      <c r="E289" s="0" t="s">
        <v>417</v>
      </c>
      <c r="F289" s="0" t="n">
        <v>30861171</v>
      </c>
      <c r="G289" s="0" t="n">
        <v>1.19247564744</v>
      </c>
      <c r="H289" s="0" t="n">
        <v>4.81409313864674E-006</v>
      </c>
    </row>
    <row r="290" customFormat="false" ht="15" hidden="false" customHeight="false" outlineLevel="0" collapsed="false">
      <c r="A290" s="0" t="n">
        <v>289</v>
      </c>
      <c r="B290" s="0" t="s">
        <v>773</v>
      </c>
      <c r="C290" s="0" t="s">
        <v>494</v>
      </c>
      <c r="D290" s="0" t="s">
        <v>416</v>
      </c>
      <c r="E290" s="0" t="s">
        <v>417</v>
      </c>
      <c r="F290" s="0" t="n">
        <v>30141978</v>
      </c>
      <c r="G290" s="0" t="n">
        <v>1.16468602992</v>
      </c>
      <c r="H290" s="0" t="n">
        <v>4.70190484589975E-006</v>
      </c>
    </row>
    <row r="291" customFormat="false" ht="15" hidden="false" customHeight="false" outlineLevel="0" collapsed="false">
      <c r="A291" s="0" t="n">
        <v>290</v>
      </c>
      <c r="B291" s="0" t="s">
        <v>774</v>
      </c>
      <c r="C291" s="0" t="s">
        <v>494</v>
      </c>
      <c r="D291" s="0" t="s">
        <v>416</v>
      </c>
      <c r="E291" s="0" t="s">
        <v>419</v>
      </c>
      <c r="F291" s="0" t="n">
        <v>29170177</v>
      </c>
      <c r="G291" s="0" t="n">
        <v>1.1638900623</v>
      </c>
      <c r="H291" s="0" t="n">
        <v>4.6986914785943E-006</v>
      </c>
    </row>
    <row r="292" customFormat="false" ht="15" hidden="false" customHeight="false" outlineLevel="0" collapsed="false">
      <c r="A292" s="0" t="n">
        <v>291</v>
      </c>
      <c r="B292" s="0" t="s">
        <v>775</v>
      </c>
      <c r="C292" s="0" t="s">
        <v>494</v>
      </c>
      <c r="D292" s="0" t="s">
        <v>416</v>
      </c>
      <c r="E292" s="0" t="s">
        <v>419</v>
      </c>
      <c r="F292" s="0" t="n">
        <v>28890766</v>
      </c>
      <c r="G292" s="0" t="n">
        <v>1.1527415634</v>
      </c>
      <c r="H292" s="0" t="n">
        <v>4.65368434391955E-006</v>
      </c>
    </row>
    <row r="293" customFormat="false" ht="15" hidden="false" customHeight="false" outlineLevel="0" collapsed="false">
      <c r="A293" s="0" t="n">
        <v>292</v>
      </c>
      <c r="B293" s="0" t="s">
        <v>776</v>
      </c>
      <c r="C293" s="0" t="s">
        <v>494</v>
      </c>
      <c r="D293" s="0" t="s">
        <v>416</v>
      </c>
      <c r="E293" s="0" t="s">
        <v>419</v>
      </c>
      <c r="F293" s="0" t="n">
        <v>28850067</v>
      </c>
      <c r="G293" s="0" t="n">
        <v>1.1511176733</v>
      </c>
      <c r="H293" s="0" t="n">
        <v>4.64712860569117E-006</v>
      </c>
    </row>
    <row r="294" customFormat="false" ht="15" hidden="false" customHeight="false" outlineLevel="0" collapsed="false">
      <c r="A294" s="0" t="n">
        <v>293</v>
      </c>
      <c r="B294" s="0" t="s">
        <v>777</v>
      </c>
      <c r="C294" s="0" t="s">
        <v>494</v>
      </c>
      <c r="D294" s="0" t="s">
        <v>416</v>
      </c>
      <c r="E294" s="0" t="s">
        <v>417</v>
      </c>
      <c r="F294" s="0" t="n">
        <v>29694467</v>
      </c>
      <c r="G294" s="0" t="n">
        <v>1.14739420488</v>
      </c>
      <c r="H294" s="0" t="n">
        <v>4.6320967483856E-006</v>
      </c>
    </row>
    <row r="295" customFormat="false" ht="15" hidden="false" customHeight="false" outlineLevel="0" collapsed="false">
      <c r="A295" s="0" t="n">
        <v>294</v>
      </c>
      <c r="B295" s="0" t="s">
        <v>778</v>
      </c>
      <c r="C295" s="0" t="s">
        <v>494</v>
      </c>
      <c r="D295" s="0" t="s">
        <v>416</v>
      </c>
      <c r="E295" s="0" t="s">
        <v>419</v>
      </c>
      <c r="F295" s="0" t="n">
        <v>27940007</v>
      </c>
      <c r="G295" s="0" t="n">
        <v>1.1148062793</v>
      </c>
      <c r="H295" s="0" t="n">
        <v>4.50053740855824E-006</v>
      </c>
    </row>
    <row r="296" customFormat="false" ht="15" hidden="false" customHeight="false" outlineLevel="0" collapsed="false">
      <c r="A296" s="0" t="n">
        <v>295</v>
      </c>
      <c r="B296" s="0" t="s">
        <v>779</v>
      </c>
      <c r="C296" s="0" t="s">
        <v>494</v>
      </c>
      <c r="D296" s="0" t="s">
        <v>416</v>
      </c>
      <c r="E296" s="0" t="s">
        <v>419</v>
      </c>
      <c r="F296" s="0" t="n">
        <v>27421880</v>
      </c>
      <c r="G296" s="0" t="n">
        <v>1.094133012</v>
      </c>
      <c r="H296" s="0" t="n">
        <v>4.41707823312267E-006</v>
      </c>
    </row>
    <row r="297" customFormat="false" ht="15" hidden="false" customHeight="false" outlineLevel="0" collapsed="false">
      <c r="A297" s="0" t="n">
        <v>296</v>
      </c>
      <c r="B297" s="0" t="s">
        <v>780</v>
      </c>
      <c r="C297" s="0" t="s">
        <v>494</v>
      </c>
      <c r="D297" s="0" t="s">
        <v>416</v>
      </c>
      <c r="E297" s="0" t="s">
        <v>419</v>
      </c>
      <c r="F297" s="0" t="n">
        <v>27380003</v>
      </c>
      <c r="G297" s="0" t="n">
        <v>1.0924621197</v>
      </c>
      <c r="H297" s="0" t="n">
        <v>4.41033274429519E-006</v>
      </c>
    </row>
    <row r="298" customFormat="false" ht="15" hidden="false" customHeight="false" outlineLevel="0" collapsed="false">
      <c r="A298" s="0" t="n">
        <v>297</v>
      </c>
      <c r="B298" s="0" t="s">
        <v>781</v>
      </c>
      <c r="C298" s="0" t="s">
        <v>494</v>
      </c>
      <c r="D298" s="0" t="s">
        <v>416</v>
      </c>
      <c r="E298" s="0" t="s">
        <v>419</v>
      </c>
      <c r="F298" s="0" t="n">
        <v>27287478</v>
      </c>
      <c r="G298" s="0" t="n">
        <v>1.0887703722</v>
      </c>
      <c r="H298" s="0" t="n">
        <v>4.39542894617779E-006</v>
      </c>
    </row>
    <row r="299" customFormat="false" ht="15" hidden="false" customHeight="false" outlineLevel="0" collapsed="false">
      <c r="A299" s="0" t="n">
        <v>298</v>
      </c>
      <c r="B299" s="0" t="s">
        <v>782</v>
      </c>
      <c r="C299" s="0" t="s">
        <v>494</v>
      </c>
      <c r="D299" s="0" t="s">
        <v>416</v>
      </c>
      <c r="E299" s="0" t="s">
        <v>419</v>
      </c>
      <c r="F299" s="0" t="n">
        <v>27041314</v>
      </c>
      <c r="G299" s="0" t="n">
        <v>1.0789484286</v>
      </c>
      <c r="H299" s="0" t="n">
        <v>4.35577719195166E-006</v>
      </c>
    </row>
    <row r="300" customFormat="false" ht="15" hidden="false" customHeight="false" outlineLevel="0" collapsed="false">
      <c r="A300" s="0" t="n">
        <v>299</v>
      </c>
      <c r="B300" s="0" t="s">
        <v>783</v>
      </c>
      <c r="C300" s="0" t="s">
        <v>494</v>
      </c>
      <c r="D300" s="0" t="s">
        <v>416</v>
      </c>
      <c r="E300" s="0" t="s">
        <v>419</v>
      </c>
      <c r="F300" s="0" t="n">
        <v>26549750</v>
      </c>
      <c r="G300" s="0" t="n">
        <v>1.059335025</v>
      </c>
      <c r="H300" s="0" t="n">
        <v>4.27659674755519E-006</v>
      </c>
    </row>
    <row r="301" customFormat="false" ht="15" hidden="false" customHeight="false" outlineLevel="0" collapsed="false">
      <c r="A301" s="0" t="n">
        <v>300</v>
      </c>
      <c r="B301" s="0" t="s">
        <v>784</v>
      </c>
      <c r="C301" s="0" t="s">
        <v>494</v>
      </c>
      <c r="D301" s="0" t="s">
        <v>416</v>
      </c>
      <c r="E301" s="0" t="s">
        <v>419</v>
      </c>
      <c r="F301" s="0" t="n">
        <v>26167747</v>
      </c>
      <c r="G301" s="0" t="n">
        <v>1.0440931053</v>
      </c>
      <c r="H301" s="0" t="n">
        <v>4.21506423642584E-006</v>
      </c>
    </row>
    <row r="302" customFormat="false" ht="15" hidden="false" customHeight="false" outlineLevel="0" collapsed="false">
      <c r="A302" s="0" t="n">
        <v>301</v>
      </c>
      <c r="B302" s="0" t="s">
        <v>785</v>
      </c>
      <c r="C302" s="0" t="s">
        <v>494</v>
      </c>
      <c r="D302" s="0" t="s">
        <v>416</v>
      </c>
      <c r="E302" s="0" t="s">
        <v>419</v>
      </c>
      <c r="F302" s="0" t="n">
        <v>26156657</v>
      </c>
      <c r="G302" s="0" t="n">
        <v>1.0436506143</v>
      </c>
      <c r="H302" s="0" t="n">
        <v>4.21327787467365E-006</v>
      </c>
    </row>
    <row r="303" customFormat="false" ht="15" hidden="false" customHeight="false" outlineLevel="0" collapsed="false">
      <c r="A303" s="0" t="n">
        <v>302</v>
      </c>
      <c r="B303" s="0" t="s">
        <v>786</v>
      </c>
      <c r="C303" s="0" t="s">
        <v>494</v>
      </c>
      <c r="D303" s="0" t="s">
        <v>416</v>
      </c>
      <c r="E303" s="0" t="s">
        <v>419</v>
      </c>
      <c r="F303" s="0" t="n">
        <v>25950429</v>
      </c>
      <c r="G303" s="0" t="n">
        <v>1.0354221171</v>
      </c>
      <c r="H303" s="0" t="n">
        <v>4.18005895569871E-006</v>
      </c>
    </row>
    <row r="304" customFormat="false" ht="15" hidden="false" customHeight="false" outlineLevel="0" collapsed="false">
      <c r="A304" s="0" t="n">
        <v>303</v>
      </c>
      <c r="B304" s="0" t="s">
        <v>787</v>
      </c>
      <c r="C304" s="0" t="s">
        <v>494</v>
      </c>
      <c r="D304" s="0" t="s">
        <v>416</v>
      </c>
      <c r="E304" s="0" t="s">
        <v>419</v>
      </c>
      <c r="F304" s="0" t="n">
        <v>25828384</v>
      </c>
      <c r="G304" s="0" t="n">
        <v>1.0305525216</v>
      </c>
      <c r="H304" s="0" t="n">
        <v>4.16040011710116E-006</v>
      </c>
    </row>
    <row r="305" customFormat="false" ht="15" hidden="false" customHeight="false" outlineLevel="0" collapsed="false">
      <c r="A305" s="0" t="n">
        <v>304</v>
      </c>
      <c r="B305" s="0" t="s">
        <v>788</v>
      </c>
      <c r="C305" s="0" t="s">
        <v>494</v>
      </c>
      <c r="D305" s="0" t="s">
        <v>416</v>
      </c>
      <c r="E305" s="0" t="s">
        <v>419</v>
      </c>
      <c r="F305" s="0" t="n">
        <v>24268136</v>
      </c>
      <c r="G305" s="0" t="n">
        <v>0.9682986264</v>
      </c>
      <c r="H305" s="0" t="n">
        <v>3.90907754260688E-006</v>
      </c>
    </row>
    <row r="306" customFormat="false" ht="15" hidden="false" customHeight="false" outlineLevel="0" collapsed="false">
      <c r="A306" s="0" t="n">
        <v>305</v>
      </c>
      <c r="B306" s="0" t="s">
        <v>789</v>
      </c>
      <c r="C306" s="0" t="s">
        <v>494</v>
      </c>
      <c r="D306" s="0" t="s">
        <v>416</v>
      </c>
      <c r="E306" s="0" t="s">
        <v>417</v>
      </c>
      <c r="F306" s="0" t="n">
        <v>24966325</v>
      </c>
      <c r="G306" s="0" t="n">
        <v>0.964698798</v>
      </c>
      <c r="H306" s="0" t="n">
        <v>3.89454482721101E-006</v>
      </c>
    </row>
    <row r="307" customFormat="false" ht="15" hidden="false" customHeight="false" outlineLevel="0" collapsed="false">
      <c r="A307" s="0" t="n">
        <v>306</v>
      </c>
      <c r="B307" s="0" t="s">
        <v>790</v>
      </c>
      <c r="C307" s="0" t="s">
        <v>494</v>
      </c>
      <c r="D307" s="0" t="s">
        <v>416</v>
      </c>
      <c r="E307" s="0" t="s">
        <v>419</v>
      </c>
      <c r="F307" s="0" t="n">
        <v>24152783</v>
      </c>
      <c r="G307" s="0" t="n">
        <v>0.9636960417</v>
      </c>
      <c r="H307" s="0" t="n">
        <v>3.89049664204771E-006</v>
      </c>
    </row>
    <row r="308" customFormat="false" ht="15" hidden="false" customHeight="false" outlineLevel="0" collapsed="false">
      <c r="A308" s="0" t="n">
        <v>307</v>
      </c>
      <c r="B308" s="0" t="s">
        <v>791</v>
      </c>
      <c r="C308" s="0" t="s">
        <v>494</v>
      </c>
      <c r="D308" s="0" t="s">
        <v>416</v>
      </c>
      <c r="E308" s="0" t="s">
        <v>419</v>
      </c>
      <c r="F308" s="0" t="n">
        <v>22969426</v>
      </c>
      <c r="G308" s="0" t="n">
        <v>0.9164800974</v>
      </c>
      <c r="H308" s="0" t="n">
        <v>3.69988314484353E-006</v>
      </c>
    </row>
    <row r="309" customFormat="false" ht="15" hidden="false" customHeight="false" outlineLevel="0" collapsed="false">
      <c r="A309" s="0" t="n">
        <v>308</v>
      </c>
      <c r="B309" s="0" t="s">
        <v>792</v>
      </c>
      <c r="C309" s="0" t="s">
        <v>494</v>
      </c>
      <c r="D309" s="0" t="s">
        <v>416</v>
      </c>
      <c r="E309" s="0" t="s">
        <v>419</v>
      </c>
      <c r="F309" s="0" t="n">
        <v>22701305</v>
      </c>
      <c r="G309" s="0" t="n">
        <v>0.9057820695</v>
      </c>
      <c r="H309" s="0" t="n">
        <v>3.65669458764238E-006</v>
      </c>
    </row>
    <row r="310" customFormat="false" ht="15" hidden="false" customHeight="false" outlineLevel="0" collapsed="false">
      <c r="A310" s="0" t="n">
        <v>309</v>
      </c>
      <c r="B310" s="0" t="s">
        <v>793</v>
      </c>
      <c r="C310" s="0" t="s">
        <v>494</v>
      </c>
      <c r="D310" s="0" t="s">
        <v>416</v>
      </c>
      <c r="E310" s="0" t="s">
        <v>419</v>
      </c>
      <c r="F310" s="0" t="n">
        <v>22657024</v>
      </c>
      <c r="G310" s="0" t="n">
        <v>0.9040152576</v>
      </c>
      <c r="H310" s="0" t="n">
        <v>3.64956186584355E-006</v>
      </c>
    </row>
    <row r="311" customFormat="false" ht="15" hidden="false" customHeight="false" outlineLevel="0" collapsed="false">
      <c r="A311" s="0" t="n">
        <v>310</v>
      </c>
      <c r="B311" s="0" t="s">
        <v>794</v>
      </c>
      <c r="C311" s="0" t="s">
        <v>494</v>
      </c>
      <c r="D311" s="0" t="s">
        <v>416</v>
      </c>
      <c r="E311" s="0" t="s">
        <v>419</v>
      </c>
      <c r="F311" s="0" t="n">
        <v>22059575</v>
      </c>
      <c r="G311" s="0" t="n">
        <v>0.8801770425</v>
      </c>
      <c r="H311" s="0" t="n">
        <v>3.55332561313947E-006</v>
      </c>
    </row>
    <row r="312" customFormat="false" ht="15" hidden="false" customHeight="false" outlineLevel="0" collapsed="false">
      <c r="A312" s="0" t="n">
        <v>311</v>
      </c>
      <c r="B312" s="0" t="s">
        <v>795</v>
      </c>
      <c r="C312" s="0" t="s">
        <v>494</v>
      </c>
      <c r="D312" s="0" t="s">
        <v>416</v>
      </c>
      <c r="E312" s="0" t="s">
        <v>418</v>
      </c>
      <c r="F312" s="0" t="n">
        <v>139408462</v>
      </c>
      <c r="G312" s="0" t="n">
        <v>0.855155404000001</v>
      </c>
      <c r="H312" s="0" t="n">
        <v>3.45231181174307E-006</v>
      </c>
    </row>
    <row r="313" customFormat="false" ht="15" hidden="false" customHeight="false" outlineLevel="0" collapsed="false">
      <c r="A313" s="0" t="n">
        <v>312</v>
      </c>
      <c r="B313" s="0" t="s">
        <v>796</v>
      </c>
      <c r="C313" s="0" t="s">
        <v>494</v>
      </c>
      <c r="D313" s="0" t="s">
        <v>416</v>
      </c>
      <c r="E313" s="0" t="s">
        <v>419</v>
      </c>
      <c r="F313" s="0" t="n">
        <v>21300850</v>
      </c>
      <c r="G313" s="0" t="n">
        <v>0.849903915</v>
      </c>
      <c r="H313" s="0" t="n">
        <v>3.43111124700462E-006</v>
      </c>
    </row>
    <row r="314" customFormat="false" ht="15" hidden="false" customHeight="false" outlineLevel="0" collapsed="false">
      <c r="A314" s="0" t="n">
        <v>313</v>
      </c>
      <c r="B314" s="0" t="s">
        <v>797</v>
      </c>
      <c r="C314" s="0" t="s">
        <v>494</v>
      </c>
      <c r="D314" s="0" t="s">
        <v>416</v>
      </c>
      <c r="E314" s="0" t="s">
        <v>419</v>
      </c>
      <c r="F314" s="0" t="n">
        <v>21190398</v>
      </c>
      <c r="G314" s="0" t="n">
        <v>0.8454968802</v>
      </c>
      <c r="H314" s="0" t="n">
        <v>3.41331979269861E-006</v>
      </c>
    </row>
    <row r="315" customFormat="false" ht="15" hidden="false" customHeight="false" outlineLevel="0" collapsed="false">
      <c r="A315" s="0" t="n">
        <v>314</v>
      </c>
      <c r="B315" s="0" t="s">
        <v>798</v>
      </c>
      <c r="C315" s="0" t="s">
        <v>494</v>
      </c>
      <c r="D315" s="0" t="s">
        <v>416</v>
      </c>
      <c r="E315" s="0" t="s">
        <v>419</v>
      </c>
      <c r="F315" s="0" t="n">
        <v>20136696</v>
      </c>
      <c r="G315" s="0" t="n">
        <v>0.8034541704</v>
      </c>
      <c r="H315" s="0" t="n">
        <v>3.24359094229164E-006</v>
      </c>
    </row>
    <row r="316" customFormat="false" ht="15" hidden="false" customHeight="false" outlineLevel="0" collapsed="false">
      <c r="A316" s="0" t="n">
        <v>315</v>
      </c>
      <c r="B316" s="0" t="s">
        <v>799</v>
      </c>
      <c r="C316" s="0" t="s">
        <v>494</v>
      </c>
      <c r="D316" s="0" t="s">
        <v>416</v>
      </c>
      <c r="E316" s="0" t="s">
        <v>419</v>
      </c>
      <c r="F316" s="0" t="n">
        <v>19983148</v>
      </c>
      <c r="G316" s="0" t="n">
        <v>0.7973276052</v>
      </c>
      <c r="H316" s="0" t="n">
        <v>3.21885764433616E-006</v>
      </c>
    </row>
    <row r="317" customFormat="false" ht="15" hidden="false" customHeight="false" outlineLevel="0" collapsed="false">
      <c r="A317" s="0" t="n">
        <v>316</v>
      </c>
      <c r="B317" s="0" t="s">
        <v>800</v>
      </c>
      <c r="C317" s="0" t="s">
        <v>494</v>
      </c>
      <c r="D317" s="0" t="s">
        <v>416</v>
      </c>
      <c r="E317" s="0" t="s">
        <v>419</v>
      </c>
      <c r="F317" s="0" t="n">
        <v>19682000</v>
      </c>
      <c r="G317" s="0" t="n">
        <v>0.7853118</v>
      </c>
      <c r="H317" s="0" t="n">
        <v>3.17034914397993E-006</v>
      </c>
    </row>
    <row r="318" customFormat="false" ht="15" hidden="false" customHeight="false" outlineLevel="0" collapsed="false">
      <c r="A318" s="0" t="n">
        <v>317</v>
      </c>
      <c r="B318" s="0" t="s">
        <v>801</v>
      </c>
      <c r="C318" s="0" t="s">
        <v>494</v>
      </c>
      <c r="D318" s="0" t="s">
        <v>416</v>
      </c>
      <c r="E318" s="0" t="s">
        <v>419</v>
      </c>
      <c r="F318" s="0" t="n">
        <v>19616086</v>
      </c>
      <c r="G318" s="0" t="n">
        <v>0.7826818314</v>
      </c>
      <c r="H318" s="0" t="n">
        <v>3.15973180867477E-006</v>
      </c>
    </row>
    <row r="319" customFormat="false" ht="15" hidden="false" customHeight="false" outlineLevel="0" collapsed="false">
      <c r="A319" s="0" t="n">
        <v>318</v>
      </c>
      <c r="B319" s="0" t="s">
        <v>802</v>
      </c>
      <c r="C319" s="0" t="s">
        <v>494</v>
      </c>
      <c r="D319" s="0" t="s">
        <v>416</v>
      </c>
      <c r="E319" s="0" t="s">
        <v>419</v>
      </c>
      <c r="F319" s="0" t="n">
        <v>19525636</v>
      </c>
      <c r="G319" s="0" t="n">
        <v>0.7790728764</v>
      </c>
      <c r="H319" s="0" t="n">
        <v>3.14516224866699E-006</v>
      </c>
    </row>
    <row r="320" customFormat="false" ht="15" hidden="false" customHeight="false" outlineLevel="0" collapsed="false">
      <c r="A320" s="0" t="n">
        <v>319</v>
      </c>
      <c r="B320" s="0" t="s">
        <v>803</v>
      </c>
      <c r="C320" s="0" t="s">
        <v>494</v>
      </c>
      <c r="D320" s="0" t="s">
        <v>416</v>
      </c>
      <c r="E320" s="0" t="s">
        <v>417</v>
      </c>
      <c r="F320" s="0" t="n">
        <v>19591498</v>
      </c>
      <c r="G320" s="0" t="n">
        <v>0.75701548272</v>
      </c>
      <c r="H320" s="0" t="n">
        <v>3.05611527500403E-006</v>
      </c>
    </row>
    <row r="321" customFormat="false" ht="15" hidden="false" customHeight="false" outlineLevel="0" collapsed="false">
      <c r="A321" s="0" t="n">
        <v>320</v>
      </c>
      <c r="B321" s="0" t="s">
        <v>804</v>
      </c>
      <c r="C321" s="0" t="s">
        <v>494</v>
      </c>
      <c r="D321" s="0" t="s">
        <v>416</v>
      </c>
      <c r="E321" s="0" t="s">
        <v>419</v>
      </c>
      <c r="F321" s="0" t="n">
        <v>18586660</v>
      </c>
      <c r="G321" s="0" t="n">
        <v>0.741607734</v>
      </c>
      <c r="H321" s="0" t="n">
        <v>2.99391330253257E-006</v>
      </c>
    </row>
    <row r="322" customFormat="false" ht="15" hidden="false" customHeight="false" outlineLevel="0" collapsed="false">
      <c r="A322" s="0" t="n">
        <v>321</v>
      </c>
      <c r="B322" s="0" t="s">
        <v>805</v>
      </c>
      <c r="C322" s="0" t="s">
        <v>494</v>
      </c>
      <c r="D322" s="0" t="s">
        <v>416</v>
      </c>
      <c r="E322" s="0" t="s">
        <v>419</v>
      </c>
      <c r="F322" s="0" t="n">
        <v>18360168</v>
      </c>
      <c r="G322" s="0" t="n">
        <v>0.7325707032</v>
      </c>
      <c r="H322" s="0" t="n">
        <v>2.95743028666435E-006</v>
      </c>
    </row>
    <row r="323" customFormat="false" ht="15" hidden="false" customHeight="false" outlineLevel="0" collapsed="false">
      <c r="A323" s="0" t="n">
        <v>322</v>
      </c>
      <c r="B323" s="0" t="s">
        <v>806</v>
      </c>
      <c r="C323" s="0" t="s">
        <v>494</v>
      </c>
      <c r="D323" s="0" t="s">
        <v>416</v>
      </c>
      <c r="E323" s="0" t="s">
        <v>419</v>
      </c>
      <c r="F323" s="0" t="n">
        <v>17858690</v>
      </c>
      <c r="G323" s="0" t="n">
        <v>0.712561731</v>
      </c>
      <c r="H323" s="0" t="n">
        <v>2.87665290895757E-006</v>
      </c>
    </row>
    <row r="324" customFormat="false" ht="15" hidden="false" customHeight="false" outlineLevel="0" collapsed="false">
      <c r="A324" s="0" t="n">
        <v>323</v>
      </c>
      <c r="B324" s="0" t="s">
        <v>807</v>
      </c>
      <c r="C324" s="0" t="s">
        <v>494</v>
      </c>
      <c r="D324" s="0" t="s">
        <v>416</v>
      </c>
      <c r="E324" s="0" t="s">
        <v>419</v>
      </c>
      <c r="F324" s="0" t="n">
        <v>17833295</v>
      </c>
      <c r="G324" s="0" t="n">
        <v>0.7115484705</v>
      </c>
      <c r="H324" s="0" t="n">
        <v>2.87256231773151E-006</v>
      </c>
    </row>
    <row r="325" customFormat="false" ht="15" hidden="false" customHeight="false" outlineLevel="0" collapsed="false">
      <c r="A325" s="0" t="n">
        <v>324</v>
      </c>
      <c r="B325" s="0" t="s">
        <v>808</v>
      </c>
      <c r="C325" s="0" t="s">
        <v>494</v>
      </c>
      <c r="D325" s="0" t="s">
        <v>416</v>
      </c>
      <c r="E325" s="0" t="s">
        <v>419</v>
      </c>
      <c r="F325" s="0" t="n">
        <v>17167582</v>
      </c>
      <c r="G325" s="0" t="n">
        <v>0.6849865218</v>
      </c>
      <c r="H325" s="0" t="n">
        <v>2.7653301949957E-006</v>
      </c>
    </row>
    <row r="326" customFormat="false" ht="15" hidden="false" customHeight="false" outlineLevel="0" collapsed="false">
      <c r="A326" s="0" t="n">
        <v>325</v>
      </c>
      <c r="B326" s="0" t="s">
        <v>809</v>
      </c>
      <c r="C326" s="0" t="s">
        <v>494</v>
      </c>
      <c r="D326" s="0" t="s">
        <v>416</v>
      </c>
      <c r="E326" s="0" t="s">
        <v>417</v>
      </c>
      <c r="F326" s="0" t="n">
        <v>17467093</v>
      </c>
      <c r="G326" s="0" t="n">
        <v>0.67492847352</v>
      </c>
      <c r="H326" s="0" t="n">
        <v>2.72472527252464E-006</v>
      </c>
    </row>
    <row r="327" customFormat="false" ht="15" hidden="false" customHeight="false" outlineLevel="0" collapsed="false">
      <c r="A327" s="0" t="n">
        <v>326</v>
      </c>
      <c r="B327" s="0" t="s">
        <v>810</v>
      </c>
      <c r="C327" s="0" t="s">
        <v>494</v>
      </c>
      <c r="D327" s="0" t="s">
        <v>416</v>
      </c>
      <c r="E327" s="0" t="s">
        <v>417</v>
      </c>
      <c r="F327" s="0" t="n">
        <v>17339995</v>
      </c>
      <c r="G327" s="0" t="n">
        <v>0.6700174068</v>
      </c>
      <c r="H327" s="0" t="n">
        <v>2.70489901221405E-006</v>
      </c>
    </row>
    <row r="328" customFormat="false" ht="15" hidden="false" customHeight="false" outlineLevel="0" collapsed="false">
      <c r="A328" s="0" t="n">
        <v>327</v>
      </c>
      <c r="B328" s="0" t="s">
        <v>811</v>
      </c>
      <c r="C328" s="0" t="s">
        <v>494</v>
      </c>
      <c r="D328" s="0" t="s">
        <v>416</v>
      </c>
      <c r="E328" s="0" t="s">
        <v>419</v>
      </c>
      <c r="F328" s="0" t="n">
        <v>16436055</v>
      </c>
      <c r="G328" s="0" t="n">
        <v>0.6557985945</v>
      </c>
      <c r="H328" s="0" t="n">
        <v>2.64749684481542E-006</v>
      </c>
    </row>
    <row r="329" customFormat="false" ht="15" hidden="false" customHeight="false" outlineLevel="0" collapsed="false">
      <c r="A329" s="0" t="n">
        <v>328</v>
      </c>
      <c r="B329" s="0" t="s">
        <v>812</v>
      </c>
      <c r="C329" s="0" t="s">
        <v>494</v>
      </c>
      <c r="D329" s="0" t="s">
        <v>416</v>
      </c>
      <c r="E329" s="0" t="s">
        <v>419</v>
      </c>
      <c r="F329" s="0" t="n">
        <v>16108657</v>
      </c>
      <c r="G329" s="0" t="n">
        <v>0.6427354143</v>
      </c>
      <c r="H329" s="0" t="n">
        <v>2.5947600310241E-006</v>
      </c>
    </row>
    <row r="330" customFormat="false" ht="15" hidden="false" customHeight="false" outlineLevel="0" collapsed="false">
      <c r="A330" s="0" t="n">
        <v>329</v>
      </c>
      <c r="B330" s="0" t="s">
        <v>813</v>
      </c>
      <c r="C330" s="0" t="s">
        <v>494</v>
      </c>
      <c r="D330" s="0" t="s">
        <v>416</v>
      </c>
      <c r="E330" s="0" t="s">
        <v>417</v>
      </c>
      <c r="F330" s="0" t="n">
        <v>16496218</v>
      </c>
      <c r="G330" s="0" t="n">
        <v>0.63741386352</v>
      </c>
      <c r="H330" s="0" t="n">
        <v>2.57327662282876E-006</v>
      </c>
    </row>
    <row r="331" customFormat="false" ht="15" hidden="false" customHeight="false" outlineLevel="0" collapsed="false">
      <c r="A331" s="0" t="n">
        <v>330</v>
      </c>
      <c r="B331" s="0" t="s">
        <v>814</v>
      </c>
      <c r="C331" s="0" t="s">
        <v>494</v>
      </c>
      <c r="D331" s="0" t="s">
        <v>416</v>
      </c>
      <c r="E331" s="0" t="s">
        <v>419</v>
      </c>
      <c r="F331" s="0" t="n">
        <v>15809919</v>
      </c>
      <c r="G331" s="0" t="n">
        <v>0.6308157681</v>
      </c>
      <c r="H331" s="0" t="n">
        <v>2.54663973011087E-006</v>
      </c>
    </row>
    <row r="332" customFormat="false" ht="15" hidden="false" customHeight="false" outlineLevel="0" collapsed="false">
      <c r="A332" s="0" t="n">
        <v>331</v>
      </c>
      <c r="B332" s="0" t="s">
        <v>815</v>
      </c>
      <c r="C332" s="0" t="s">
        <v>494</v>
      </c>
      <c r="D332" s="0" t="s">
        <v>416</v>
      </c>
      <c r="E332" s="0" t="s">
        <v>419</v>
      </c>
      <c r="F332" s="0" t="n">
        <v>15699313</v>
      </c>
      <c r="G332" s="0" t="n">
        <v>0.6264025887</v>
      </c>
      <c r="H332" s="0" t="n">
        <v>2.52882346969937E-006</v>
      </c>
    </row>
    <row r="333" customFormat="false" ht="15" hidden="false" customHeight="false" outlineLevel="0" collapsed="false">
      <c r="A333" s="0" t="n">
        <v>332</v>
      </c>
      <c r="B333" s="0" t="s">
        <v>816</v>
      </c>
      <c r="C333" s="0" t="s">
        <v>494</v>
      </c>
      <c r="D333" s="0" t="s">
        <v>416</v>
      </c>
      <c r="E333" s="0" t="s">
        <v>419</v>
      </c>
      <c r="F333" s="0" t="n">
        <v>15396913</v>
      </c>
      <c r="G333" s="0" t="n">
        <v>0.6143368287</v>
      </c>
      <c r="H333" s="0" t="n">
        <v>2.48011329892712E-006</v>
      </c>
    </row>
    <row r="334" customFormat="false" ht="15" hidden="false" customHeight="false" outlineLevel="0" collapsed="false">
      <c r="A334" s="0" t="n">
        <v>333</v>
      </c>
      <c r="B334" s="0" t="s">
        <v>817</v>
      </c>
      <c r="C334" s="0" t="s">
        <v>494</v>
      </c>
      <c r="D334" s="0" t="s">
        <v>416</v>
      </c>
      <c r="E334" s="0" t="s">
        <v>419</v>
      </c>
      <c r="F334" s="0" t="n">
        <v>15315002</v>
      </c>
      <c r="G334" s="0" t="n">
        <v>0.6110685798</v>
      </c>
      <c r="H334" s="0" t="n">
        <v>2.46691918914495E-006</v>
      </c>
    </row>
    <row r="335" customFormat="false" ht="15" hidden="false" customHeight="false" outlineLevel="0" collapsed="false">
      <c r="A335" s="0" t="n">
        <v>334</v>
      </c>
      <c r="B335" s="0" t="s">
        <v>818</v>
      </c>
      <c r="C335" s="0" t="s">
        <v>494</v>
      </c>
      <c r="D335" s="0" t="s">
        <v>416</v>
      </c>
      <c r="E335" s="0" t="s">
        <v>417</v>
      </c>
      <c r="F335" s="0" t="n">
        <v>15445860</v>
      </c>
      <c r="G335" s="0" t="n">
        <v>0.5968280304</v>
      </c>
      <c r="H335" s="0" t="n">
        <v>2.40942926781677E-006</v>
      </c>
    </row>
    <row r="336" customFormat="false" ht="15" hidden="false" customHeight="false" outlineLevel="0" collapsed="false">
      <c r="A336" s="0" t="n">
        <v>335</v>
      </c>
      <c r="B336" s="0" t="s">
        <v>819</v>
      </c>
      <c r="C336" s="0" t="s">
        <v>494</v>
      </c>
      <c r="D336" s="0" t="s">
        <v>416</v>
      </c>
      <c r="E336" s="0" t="s">
        <v>419</v>
      </c>
      <c r="F336" s="0" t="n">
        <v>14855159</v>
      </c>
      <c r="G336" s="0" t="n">
        <v>0.5927208441</v>
      </c>
      <c r="H336" s="0" t="n">
        <v>2.39284831924275E-006</v>
      </c>
    </row>
    <row r="337" customFormat="false" ht="15" hidden="false" customHeight="false" outlineLevel="0" collapsed="false">
      <c r="A337" s="0" t="n">
        <v>336</v>
      </c>
      <c r="B337" s="0" t="s">
        <v>820</v>
      </c>
      <c r="C337" s="0" t="s">
        <v>494</v>
      </c>
      <c r="D337" s="0" t="s">
        <v>416</v>
      </c>
      <c r="E337" s="0" t="s">
        <v>419</v>
      </c>
      <c r="F337" s="0" t="n">
        <v>14718361</v>
      </c>
      <c r="G337" s="0" t="n">
        <v>0.5872626039</v>
      </c>
      <c r="H337" s="0" t="n">
        <v>2.37081308795537E-006</v>
      </c>
    </row>
    <row r="338" customFormat="false" ht="15" hidden="false" customHeight="false" outlineLevel="0" collapsed="false">
      <c r="A338" s="0" t="n">
        <v>337</v>
      </c>
      <c r="B338" s="0" t="s">
        <v>821</v>
      </c>
      <c r="C338" s="0" t="s">
        <v>494</v>
      </c>
      <c r="D338" s="0" t="s">
        <v>416</v>
      </c>
      <c r="E338" s="0" t="s">
        <v>419</v>
      </c>
      <c r="F338" s="0" t="n">
        <v>14712001</v>
      </c>
      <c r="G338" s="0" t="n">
        <v>0.5870088399</v>
      </c>
      <c r="H338" s="0" t="n">
        <v>2.36978862801453E-006</v>
      </c>
    </row>
    <row r="339" customFormat="false" ht="15" hidden="false" customHeight="false" outlineLevel="0" collapsed="false">
      <c r="A339" s="0" t="n">
        <v>338</v>
      </c>
      <c r="B339" s="0" t="s">
        <v>822</v>
      </c>
      <c r="C339" s="0" t="s">
        <v>494</v>
      </c>
      <c r="D339" s="0" t="s">
        <v>416</v>
      </c>
      <c r="E339" s="0" t="s">
        <v>419</v>
      </c>
      <c r="F339" s="0" t="n">
        <v>14329540</v>
      </c>
      <c r="G339" s="0" t="n">
        <v>0.571748646</v>
      </c>
      <c r="H339" s="0" t="n">
        <v>2.30818234288315E-006</v>
      </c>
    </row>
    <row r="340" customFormat="false" ht="15" hidden="false" customHeight="false" outlineLevel="0" collapsed="false">
      <c r="A340" s="0" t="n">
        <v>339</v>
      </c>
      <c r="B340" s="0" t="s">
        <v>823</v>
      </c>
      <c r="C340" s="0" t="s">
        <v>494</v>
      </c>
      <c r="D340" s="0" t="s">
        <v>416</v>
      </c>
      <c r="E340" s="0" t="s">
        <v>419</v>
      </c>
      <c r="F340" s="0" t="n">
        <v>14097596</v>
      </c>
      <c r="G340" s="0" t="n">
        <v>0.5624940804</v>
      </c>
      <c r="H340" s="0" t="n">
        <v>2.27082112644929E-006</v>
      </c>
    </row>
    <row r="341" customFormat="false" ht="15" hidden="false" customHeight="false" outlineLevel="0" collapsed="false">
      <c r="A341" s="0" t="n">
        <v>340</v>
      </c>
      <c r="B341" s="0" t="s">
        <v>824</v>
      </c>
      <c r="C341" s="0" t="s">
        <v>494</v>
      </c>
      <c r="D341" s="0" t="s">
        <v>416</v>
      </c>
      <c r="E341" s="0" t="s">
        <v>417</v>
      </c>
      <c r="F341" s="0" t="n">
        <v>14185169</v>
      </c>
      <c r="G341" s="0" t="n">
        <v>0.54811493016</v>
      </c>
      <c r="H341" s="0" t="n">
        <v>2.21277166551601E-006</v>
      </c>
    </row>
    <row r="342" customFormat="false" ht="15" hidden="false" customHeight="false" outlineLevel="0" collapsed="false">
      <c r="A342" s="0" t="n">
        <v>341</v>
      </c>
      <c r="B342" s="0" t="s">
        <v>825</v>
      </c>
      <c r="C342" s="0" t="s">
        <v>494</v>
      </c>
      <c r="D342" s="0" t="s">
        <v>416</v>
      </c>
      <c r="E342" s="0" t="s">
        <v>417</v>
      </c>
      <c r="F342" s="0" t="n">
        <v>13759228</v>
      </c>
      <c r="G342" s="0" t="n">
        <v>0.53165656992</v>
      </c>
      <c r="H342" s="0" t="n">
        <v>2.14632831359108E-006</v>
      </c>
    </row>
    <row r="343" customFormat="false" ht="15" hidden="false" customHeight="false" outlineLevel="0" collapsed="false">
      <c r="A343" s="0" t="n">
        <v>342</v>
      </c>
      <c r="B343" s="0" t="s">
        <v>826</v>
      </c>
      <c r="C343" s="0" t="s">
        <v>494</v>
      </c>
      <c r="D343" s="0" t="s">
        <v>416</v>
      </c>
      <c r="E343" s="0" t="s">
        <v>417</v>
      </c>
      <c r="F343" s="0" t="n">
        <v>13203698</v>
      </c>
      <c r="G343" s="0" t="n">
        <v>0.51019089072</v>
      </c>
      <c r="H343" s="0" t="n">
        <v>2.0596701254973E-006</v>
      </c>
    </row>
    <row r="344" customFormat="false" ht="15" hidden="false" customHeight="false" outlineLevel="0" collapsed="false">
      <c r="A344" s="0" t="n">
        <v>343</v>
      </c>
      <c r="B344" s="0" t="s">
        <v>827</v>
      </c>
      <c r="C344" s="0" t="s">
        <v>494</v>
      </c>
      <c r="D344" s="0" t="s">
        <v>416</v>
      </c>
      <c r="E344" s="0" t="s">
        <v>418</v>
      </c>
      <c r="F344" s="0" t="n">
        <v>131183021</v>
      </c>
      <c r="G344" s="0" t="n">
        <v>0.509686882000001</v>
      </c>
      <c r="H344" s="0" t="n">
        <v>2.05763541315246E-006</v>
      </c>
    </row>
    <row r="345" customFormat="false" ht="15" hidden="false" customHeight="false" outlineLevel="0" collapsed="false">
      <c r="A345" s="0" t="n">
        <v>344</v>
      </c>
      <c r="B345" s="0" t="s">
        <v>828</v>
      </c>
      <c r="C345" s="0" t="s">
        <v>494</v>
      </c>
      <c r="D345" s="0" t="s">
        <v>416</v>
      </c>
      <c r="E345" s="0" t="s">
        <v>417</v>
      </c>
      <c r="F345" s="0" t="n">
        <v>13125866</v>
      </c>
      <c r="G345" s="0" t="n">
        <v>0.50718346224</v>
      </c>
      <c r="H345" s="0" t="n">
        <v>2.04752896283153E-006</v>
      </c>
    </row>
    <row r="346" customFormat="false" ht="15" hidden="false" customHeight="false" outlineLevel="0" collapsed="false">
      <c r="A346" s="0" t="n">
        <v>345</v>
      </c>
      <c r="B346" s="0" t="s">
        <v>829</v>
      </c>
      <c r="C346" s="0" t="s">
        <v>494</v>
      </c>
      <c r="D346" s="0" t="s">
        <v>416</v>
      </c>
      <c r="E346" s="0" t="s">
        <v>419</v>
      </c>
      <c r="F346" s="0" t="n">
        <v>12339097</v>
      </c>
      <c r="G346" s="0" t="n">
        <v>0.4923299703</v>
      </c>
      <c r="H346" s="0" t="n">
        <v>1.98756455702852E-006</v>
      </c>
    </row>
    <row r="347" customFormat="false" ht="15" hidden="false" customHeight="false" outlineLevel="0" collapsed="false">
      <c r="A347" s="0" t="n">
        <v>346</v>
      </c>
      <c r="B347" s="0" t="s">
        <v>830</v>
      </c>
      <c r="C347" s="0" t="s">
        <v>494</v>
      </c>
      <c r="D347" s="0" t="s">
        <v>416</v>
      </c>
      <c r="E347" s="0" t="s">
        <v>419</v>
      </c>
      <c r="F347" s="0" t="n">
        <v>12021595</v>
      </c>
      <c r="G347" s="0" t="n">
        <v>0.4796616405</v>
      </c>
      <c r="H347" s="0" t="n">
        <v>1.93642177713258E-006</v>
      </c>
    </row>
    <row r="348" customFormat="false" ht="15" hidden="false" customHeight="false" outlineLevel="0" collapsed="false">
      <c r="A348" s="0" t="n">
        <v>347</v>
      </c>
      <c r="B348" s="0" t="s">
        <v>831</v>
      </c>
      <c r="C348" s="0" t="s">
        <v>494</v>
      </c>
      <c r="D348" s="0" t="s">
        <v>416</v>
      </c>
      <c r="E348" s="0" t="s">
        <v>419</v>
      </c>
      <c r="F348" s="0" t="n">
        <v>12007096</v>
      </c>
      <c r="G348" s="0" t="n">
        <v>0.4790831304</v>
      </c>
      <c r="H348" s="0" t="n">
        <v>1.93408629840895E-006</v>
      </c>
    </row>
    <row r="349" customFormat="false" ht="15" hidden="false" customHeight="false" outlineLevel="0" collapsed="false">
      <c r="A349" s="0" t="n">
        <v>348</v>
      </c>
      <c r="B349" s="0" t="s">
        <v>832</v>
      </c>
      <c r="C349" s="0" t="s">
        <v>494</v>
      </c>
      <c r="D349" s="0" t="s">
        <v>416</v>
      </c>
      <c r="E349" s="0" t="s">
        <v>419</v>
      </c>
      <c r="F349" s="0" t="n">
        <v>11713888</v>
      </c>
      <c r="G349" s="0" t="n">
        <v>0.4673841312</v>
      </c>
      <c r="H349" s="0" t="n">
        <v>1.8868567621927E-006</v>
      </c>
    </row>
    <row r="350" customFormat="false" ht="15" hidden="false" customHeight="false" outlineLevel="0" collapsed="false">
      <c r="A350" s="0" t="n">
        <v>349</v>
      </c>
      <c r="B350" s="0" t="s">
        <v>833</v>
      </c>
      <c r="C350" s="0" t="s">
        <v>494</v>
      </c>
      <c r="D350" s="0" t="s">
        <v>416</v>
      </c>
      <c r="E350" s="0" t="s">
        <v>419</v>
      </c>
      <c r="F350" s="0" t="n">
        <v>11574163</v>
      </c>
      <c r="G350" s="0" t="n">
        <v>0.4618091037</v>
      </c>
      <c r="H350" s="0" t="n">
        <v>1.86435005382249E-006</v>
      </c>
    </row>
    <row r="351" customFormat="false" ht="15" hidden="false" customHeight="false" outlineLevel="0" collapsed="false">
      <c r="A351" s="0" t="n">
        <v>350</v>
      </c>
      <c r="B351" s="0" t="s">
        <v>834</v>
      </c>
      <c r="C351" s="0" t="s">
        <v>494</v>
      </c>
      <c r="D351" s="0" t="s">
        <v>416</v>
      </c>
      <c r="E351" s="0" t="s">
        <v>419</v>
      </c>
      <c r="F351" s="0" t="n">
        <v>10928956</v>
      </c>
      <c r="G351" s="0" t="n">
        <v>0.4360653444</v>
      </c>
      <c r="H351" s="0" t="n">
        <v>1.76042100900286E-006</v>
      </c>
    </row>
    <row r="352" customFormat="false" ht="15" hidden="false" customHeight="false" outlineLevel="0" collapsed="false">
      <c r="A352" s="0" t="n">
        <v>351</v>
      </c>
      <c r="B352" s="0" t="s">
        <v>835</v>
      </c>
      <c r="C352" s="0" t="s">
        <v>494</v>
      </c>
      <c r="D352" s="0" t="s">
        <v>416</v>
      </c>
      <c r="E352" s="0" t="s">
        <v>419</v>
      </c>
      <c r="F352" s="0" t="n">
        <v>10066923</v>
      </c>
      <c r="G352" s="0" t="n">
        <v>0.4016702277</v>
      </c>
      <c r="H352" s="0" t="n">
        <v>1.62156593413077E-006</v>
      </c>
    </row>
    <row r="353" customFormat="false" ht="15" hidden="false" customHeight="false" outlineLevel="0" collapsed="false">
      <c r="A353" s="0" t="n">
        <v>352</v>
      </c>
      <c r="B353" s="0" t="s">
        <v>836</v>
      </c>
      <c r="C353" s="0" t="s">
        <v>494</v>
      </c>
      <c r="D353" s="0" t="s">
        <v>416</v>
      </c>
      <c r="E353" s="0" t="s">
        <v>419</v>
      </c>
      <c r="F353" s="0" t="n">
        <v>9957269</v>
      </c>
      <c r="G353" s="0" t="n">
        <v>0.3972950331</v>
      </c>
      <c r="H353" s="0" t="n">
        <v>1.60390302055319E-006</v>
      </c>
    </row>
    <row r="354" customFormat="false" ht="15" hidden="false" customHeight="false" outlineLevel="0" collapsed="false">
      <c r="A354" s="0" t="n">
        <v>353</v>
      </c>
      <c r="B354" s="0" t="s">
        <v>837</v>
      </c>
      <c r="C354" s="0" t="s">
        <v>494</v>
      </c>
      <c r="D354" s="0" t="s">
        <v>416</v>
      </c>
      <c r="E354" s="0" t="s">
        <v>419</v>
      </c>
      <c r="F354" s="0" t="n">
        <v>9793338</v>
      </c>
      <c r="G354" s="0" t="n">
        <v>0.3907541862</v>
      </c>
      <c r="H354" s="0" t="n">
        <v>1.5774972434207E-006</v>
      </c>
    </row>
    <row r="355" customFormat="false" ht="15" hidden="false" customHeight="false" outlineLevel="0" collapsed="false">
      <c r="A355" s="0" t="n">
        <v>354</v>
      </c>
      <c r="B355" s="0" t="s">
        <v>838</v>
      </c>
      <c r="C355" s="0" t="s">
        <v>494</v>
      </c>
      <c r="D355" s="0" t="s">
        <v>416</v>
      </c>
      <c r="E355" s="0" t="s">
        <v>419</v>
      </c>
      <c r="F355" s="0" t="n">
        <v>9737593</v>
      </c>
      <c r="G355" s="0" t="n">
        <v>0.3885299607</v>
      </c>
      <c r="H355" s="0" t="n">
        <v>1.56851791647063E-006</v>
      </c>
    </row>
    <row r="356" customFormat="false" ht="15" hidden="false" customHeight="false" outlineLevel="0" collapsed="false">
      <c r="A356" s="0" t="n">
        <v>355</v>
      </c>
      <c r="B356" s="0" t="s">
        <v>839</v>
      </c>
      <c r="C356" s="0" t="s">
        <v>494</v>
      </c>
      <c r="D356" s="0" t="s">
        <v>416</v>
      </c>
      <c r="E356" s="0" t="s">
        <v>419</v>
      </c>
      <c r="F356" s="0" t="n">
        <v>9611560</v>
      </c>
      <c r="G356" s="0" t="n">
        <v>0.383501244</v>
      </c>
      <c r="H356" s="0" t="n">
        <v>1.54821669638816E-006</v>
      </c>
    </row>
    <row r="357" customFormat="false" ht="15" hidden="false" customHeight="false" outlineLevel="0" collapsed="false">
      <c r="A357" s="0" t="n">
        <v>356</v>
      </c>
      <c r="B357" s="0" t="s">
        <v>840</v>
      </c>
      <c r="C357" s="0" t="s">
        <v>494</v>
      </c>
      <c r="D357" s="0" t="s">
        <v>416</v>
      </c>
      <c r="E357" s="0" t="s">
        <v>417</v>
      </c>
      <c r="F357" s="0" t="n">
        <v>9901965</v>
      </c>
      <c r="G357" s="0" t="n">
        <v>0.3826119276</v>
      </c>
      <c r="H357" s="0" t="n">
        <v>1.54462647466035E-006</v>
      </c>
    </row>
    <row r="358" customFormat="false" ht="15" hidden="false" customHeight="false" outlineLevel="0" collapsed="false">
      <c r="A358" s="0" t="n">
        <v>357</v>
      </c>
      <c r="B358" s="0" t="s">
        <v>841</v>
      </c>
      <c r="C358" s="0" t="s">
        <v>494</v>
      </c>
      <c r="D358" s="0" t="s">
        <v>416</v>
      </c>
      <c r="E358" s="0" t="s">
        <v>419</v>
      </c>
      <c r="F358" s="0" t="n">
        <v>9487924</v>
      </c>
      <c r="G358" s="0" t="n">
        <v>0.3785681676</v>
      </c>
      <c r="H358" s="0" t="n">
        <v>1.52830158172679E-006</v>
      </c>
    </row>
    <row r="359" customFormat="false" ht="15" hidden="false" customHeight="false" outlineLevel="0" collapsed="false">
      <c r="A359" s="0" t="n">
        <v>358</v>
      </c>
      <c r="B359" s="0" t="s">
        <v>842</v>
      </c>
      <c r="C359" s="0" t="s">
        <v>494</v>
      </c>
      <c r="D359" s="0" t="s">
        <v>416</v>
      </c>
      <c r="E359" s="0" t="s">
        <v>419</v>
      </c>
      <c r="F359" s="0" t="n">
        <v>9118330</v>
      </c>
      <c r="G359" s="0" t="n">
        <v>0.363821367</v>
      </c>
      <c r="H359" s="0" t="n">
        <v>1.46876789503234E-006</v>
      </c>
    </row>
    <row r="360" customFormat="false" ht="15" hidden="false" customHeight="false" outlineLevel="0" collapsed="false">
      <c r="A360" s="0" t="n">
        <v>359</v>
      </c>
      <c r="B360" s="0" t="s">
        <v>843</v>
      </c>
      <c r="C360" s="0" t="s">
        <v>494</v>
      </c>
      <c r="D360" s="0" t="s">
        <v>416</v>
      </c>
      <c r="E360" s="0" t="s">
        <v>419</v>
      </c>
      <c r="F360" s="0" t="n">
        <v>9101378</v>
      </c>
      <c r="G360" s="0" t="n">
        <v>0.3631449822</v>
      </c>
      <c r="H360" s="0" t="n">
        <v>1.46603729048561E-006</v>
      </c>
    </row>
    <row r="361" customFormat="false" ht="15" hidden="false" customHeight="false" outlineLevel="0" collapsed="false">
      <c r="A361" s="0" t="n">
        <v>360</v>
      </c>
      <c r="B361" s="0" t="s">
        <v>844</v>
      </c>
      <c r="C361" s="0" t="s">
        <v>494</v>
      </c>
      <c r="D361" s="0" t="s">
        <v>416</v>
      </c>
      <c r="E361" s="0" t="s">
        <v>419</v>
      </c>
      <c r="F361" s="0" t="n">
        <v>9024806</v>
      </c>
      <c r="G361" s="0" t="n">
        <v>0.3600897594</v>
      </c>
      <c r="H361" s="0" t="n">
        <v>1.45370317938649E-006</v>
      </c>
    </row>
    <row r="362" customFormat="false" ht="15" hidden="false" customHeight="false" outlineLevel="0" collapsed="false">
      <c r="A362" s="0" t="n">
        <v>361</v>
      </c>
      <c r="B362" s="0" t="s">
        <v>845</v>
      </c>
      <c r="C362" s="0" t="s">
        <v>494</v>
      </c>
      <c r="D362" s="0" t="s">
        <v>416</v>
      </c>
      <c r="E362" s="0" t="s">
        <v>418</v>
      </c>
      <c r="F362" s="0" t="n">
        <v>127424131</v>
      </c>
      <c r="G362" s="0" t="n">
        <v>0.351813502</v>
      </c>
      <c r="H362" s="0" t="n">
        <v>1.42029144972262E-006</v>
      </c>
    </row>
    <row r="363" customFormat="false" ht="15" hidden="false" customHeight="false" outlineLevel="0" collapsed="false">
      <c r="A363" s="0" t="n">
        <v>362</v>
      </c>
      <c r="B363" s="0" t="s">
        <v>846</v>
      </c>
      <c r="C363" s="0" t="s">
        <v>494</v>
      </c>
      <c r="D363" s="0" t="s">
        <v>416</v>
      </c>
      <c r="E363" s="0" t="s">
        <v>419</v>
      </c>
      <c r="F363" s="0" t="n">
        <v>8764342</v>
      </c>
      <c r="G363" s="0" t="n">
        <v>0.3496972458</v>
      </c>
      <c r="H363" s="0" t="n">
        <v>1.41174800107953E-006</v>
      </c>
    </row>
    <row r="364" customFormat="false" ht="15" hidden="false" customHeight="false" outlineLevel="0" collapsed="false">
      <c r="A364" s="0" t="n">
        <v>363</v>
      </c>
      <c r="B364" s="0" t="s">
        <v>847</v>
      </c>
      <c r="C364" s="0" t="s">
        <v>494</v>
      </c>
      <c r="D364" s="0" t="s">
        <v>416</v>
      </c>
      <c r="E364" s="0" t="s">
        <v>419</v>
      </c>
      <c r="F364" s="0" t="n">
        <v>8737089</v>
      </c>
      <c r="G364" s="0" t="n">
        <v>0.3486098511</v>
      </c>
      <c r="H364" s="0" t="n">
        <v>1.40735812580157E-006</v>
      </c>
    </row>
    <row r="365" customFormat="false" ht="15" hidden="false" customHeight="false" outlineLevel="0" collapsed="false">
      <c r="A365" s="0" t="n">
        <v>364</v>
      </c>
      <c r="B365" s="0" t="s">
        <v>848</v>
      </c>
      <c r="C365" s="0" t="s">
        <v>494</v>
      </c>
      <c r="D365" s="0" t="s">
        <v>416</v>
      </c>
      <c r="E365" s="0" t="s">
        <v>419</v>
      </c>
      <c r="F365" s="0" t="n">
        <v>8644300</v>
      </c>
      <c r="G365" s="0" t="n">
        <v>0.34490757</v>
      </c>
      <c r="H365" s="0" t="n">
        <v>1.3924118029319E-006</v>
      </c>
    </row>
    <row r="366" customFormat="false" ht="15" hidden="false" customHeight="false" outlineLevel="0" collapsed="false">
      <c r="A366" s="0" t="n">
        <v>365</v>
      </c>
      <c r="B366" s="0" t="s">
        <v>849</v>
      </c>
      <c r="C366" s="0" t="s">
        <v>494</v>
      </c>
      <c r="D366" s="0" t="s">
        <v>416</v>
      </c>
      <c r="E366" s="0" t="s">
        <v>419</v>
      </c>
      <c r="F366" s="0" t="n">
        <v>8590368</v>
      </c>
      <c r="G366" s="0" t="n">
        <v>0.3427556832</v>
      </c>
      <c r="H366" s="0" t="n">
        <v>1.38372451149642E-006</v>
      </c>
    </row>
    <row r="367" customFormat="false" ht="15" hidden="false" customHeight="false" outlineLevel="0" collapsed="false">
      <c r="A367" s="0" t="n">
        <v>366</v>
      </c>
      <c r="B367" s="0" t="s">
        <v>850</v>
      </c>
      <c r="C367" s="0" t="s">
        <v>494</v>
      </c>
      <c r="D367" s="0" t="s">
        <v>416</v>
      </c>
      <c r="E367" s="0" t="s">
        <v>419</v>
      </c>
      <c r="F367" s="0" t="n">
        <v>8547328</v>
      </c>
      <c r="G367" s="0" t="n">
        <v>0.3410383872</v>
      </c>
      <c r="H367" s="0" t="n">
        <v>1.37679168824894E-006</v>
      </c>
    </row>
    <row r="368" customFormat="false" ht="15" hidden="false" customHeight="false" outlineLevel="0" collapsed="false">
      <c r="A368" s="0" t="n">
        <v>367</v>
      </c>
      <c r="B368" s="0" t="s">
        <v>851</v>
      </c>
      <c r="C368" s="0" t="s">
        <v>494</v>
      </c>
      <c r="D368" s="0" t="s">
        <v>416</v>
      </c>
      <c r="E368" s="0" t="s">
        <v>419</v>
      </c>
      <c r="F368" s="0" t="n">
        <v>8509449</v>
      </c>
      <c r="G368" s="0" t="n">
        <v>0.3395270151</v>
      </c>
      <c r="H368" s="0" t="n">
        <v>1.37069019169245E-006</v>
      </c>
    </row>
    <row r="369" customFormat="false" ht="15" hidden="false" customHeight="false" outlineLevel="0" collapsed="false">
      <c r="A369" s="0" t="n">
        <v>368</v>
      </c>
      <c r="B369" s="0" t="s">
        <v>852</v>
      </c>
      <c r="C369" s="0" t="s">
        <v>494</v>
      </c>
      <c r="D369" s="0" t="s">
        <v>416</v>
      </c>
      <c r="E369" s="0" t="s">
        <v>417</v>
      </c>
      <c r="F369" s="0" t="n">
        <v>8057865</v>
      </c>
      <c r="G369" s="0" t="n">
        <v>0.3113559036</v>
      </c>
      <c r="H369" s="0" t="n">
        <v>1.25696178568991E-006</v>
      </c>
    </row>
    <row r="370" customFormat="false" ht="15" hidden="false" customHeight="false" outlineLevel="0" collapsed="false">
      <c r="A370" s="0" t="n">
        <v>369</v>
      </c>
      <c r="B370" s="0" t="s">
        <v>853</v>
      </c>
      <c r="C370" s="0" t="s">
        <v>494</v>
      </c>
      <c r="D370" s="0" t="s">
        <v>416</v>
      </c>
      <c r="E370" s="0" t="s">
        <v>419</v>
      </c>
      <c r="F370" s="0" t="n">
        <v>7510772</v>
      </c>
      <c r="G370" s="0" t="n">
        <v>0.2996798028</v>
      </c>
      <c r="H370" s="0" t="n">
        <v>1.20982469163847E-006</v>
      </c>
    </row>
    <row r="371" customFormat="false" ht="15" hidden="false" customHeight="false" outlineLevel="0" collapsed="false">
      <c r="A371" s="0" t="n">
        <v>370</v>
      </c>
      <c r="B371" s="0" t="s">
        <v>854</v>
      </c>
      <c r="C371" s="0" t="s">
        <v>494</v>
      </c>
      <c r="D371" s="0" t="s">
        <v>416</v>
      </c>
      <c r="E371" s="0" t="s">
        <v>419</v>
      </c>
      <c r="F371" s="0" t="n">
        <v>7186175</v>
      </c>
      <c r="G371" s="0" t="n">
        <v>0.2867283825</v>
      </c>
      <c r="H371" s="0" t="n">
        <v>1.15753905902551E-006</v>
      </c>
    </row>
    <row r="372" customFormat="false" ht="15" hidden="false" customHeight="false" outlineLevel="0" collapsed="false">
      <c r="A372" s="0" t="n">
        <v>371</v>
      </c>
      <c r="B372" s="0" t="s">
        <v>855</v>
      </c>
      <c r="C372" s="0" t="s">
        <v>494</v>
      </c>
      <c r="D372" s="0" t="s">
        <v>416</v>
      </c>
      <c r="E372" s="0" t="s">
        <v>419</v>
      </c>
      <c r="F372" s="0" t="n">
        <v>7021603</v>
      </c>
      <c r="G372" s="0" t="n">
        <v>0.2801619597</v>
      </c>
      <c r="H372" s="0" t="n">
        <v>1.13103003050589E-006</v>
      </c>
    </row>
    <row r="373" customFormat="false" ht="15" hidden="false" customHeight="false" outlineLevel="0" collapsed="false">
      <c r="A373" s="0" t="n">
        <v>372</v>
      </c>
      <c r="B373" s="0" t="s">
        <v>856</v>
      </c>
      <c r="C373" s="0" t="s">
        <v>494</v>
      </c>
      <c r="D373" s="0" t="s">
        <v>416</v>
      </c>
      <c r="E373" s="0" t="s">
        <v>419</v>
      </c>
      <c r="F373" s="0" t="n">
        <v>6467412</v>
      </c>
      <c r="G373" s="0" t="n">
        <v>0.2580497388</v>
      </c>
      <c r="H373" s="0" t="n">
        <v>1.04176171618563E-006</v>
      </c>
    </row>
    <row r="374" customFormat="false" ht="15" hidden="false" customHeight="false" outlineLevel="0" collapsed="false">
      <c r="A374" s="0" t="n">
        <v>373</v>
      </c>
      <c r="B374" s="0" t="s">
        <v>857</v>
      </c>
      <c r="C374" s="0" t="s">
        <v>494</v>
      </c>
      <c r="D374" s="0" t="s">
        <v>416</v>
      </c>
      <c r="E374" s="0" t="s">
        <v>418</v>
      </c>
      <c r="F374" s="0" t="n">
        <v>125159354</v>
      </c>
      <c r="G374" s="0" t="n">
        <v>0.256692868</v>
      </c>
      <c r="H374" s="0" t="n">
        <v>1.03628395031063E-006</v>
      </c>
    </row>
    <row r="375" customFormat="false" ht="15" hidden="false" customHeight="false" outlineLevel="0" collapsed="false">
      <c r="A375" s="0" t="n">
        <v>374</v>
      </c>
      <c r="B375" s="0" t="s">
        <v>858</v>
      </c>
      <c r="C375" s="0" t="s">
        <v>494</v>
      </c>
      <c r="D375" s="0" t="s">
        <v>416</v>
      </c>
      <c r="E375" s="0" t="s">
        <v>419</v>
      </c>
      <c r="F375" s="0" t="n">
        <v>6412060</v>
      </c>
      <c r="G375" s="0" t="n">
        <v>0.255841194</v>
      </c>
      <c r="H375" s="0" t="n">
        <v>1.03284569312814E-006</v>
      </c>
    </row>
    <row r="376" customFormat="false" ht="15" hidden="false" customHeight="false" outlineLevel="0" collapsed="false">
      <c r="A376" s="0" t="n">
        <v>375</v>
      </c>
      <c r="B376" s="0" t="s">
        <v>859</v>
      </c>
      <c r="C376" s="0" t="s">
        <v>494</v>
      </c>
      <c r="D376" s="0" t="s">
        <v>416</v>
      </c>
      <c r="E376" s="0" t="s">
        <v>419</v>
      </c>
      <c r="F376" s="0" t="n">
        <v>6139633</v>
      </c>
      <c r="G376" s="0" t="n">
        <v>0.2449713567</v>
      </c>
      <c r="H376" s="0" t="n">
        <v>9.88963531445023E-007</v>
      </c>
    </row>
    <row r="377" customFormat="false" ht="15" hidden="false" customHeight="false" outlineLevel="0" collapsed="false">
      <c r="A377" s="0" t="n">
        <v>376</v>
      </c>
      <c r="B377" s="0" t="s">
        <v>860</v>
      </c>
      <c r="C377" s="0" t="s">
        <v>494</v>
      </c>
      <c r="D377" s="0" t="s">
        <v>416</v>
      </c>
      <c r="E377" s="0" t="s">
        <v>419</v>
      </c>
      <c r="F377" s="0" t="n">
        <v>6071735</v>
      </c>
      <c r="G377" s="0" t="n">
        <v>0.2422622265</v>
      </c>
      <c r="H377" s="0" t="n">
        <v>9.78026616183467E-007</v>
      </c>
    </row>
    <row r="378" customFormat="false" ht="15" hidden="false" customHeight="false" outlineLevel="0" collapsed="false">
      <c r="A378" s="0" t="n">
        <v>377</v>
      </c>
      <c r="B378" s="0" t="s">
        <v>861</v>
      </c>
      <c r="C378" s="0" t="s">
        <v>494</v>
      </c>
      <c r="D378" s="0" t="s">
        <v>416</v>
      </c>
      <c r="E378" s="0" t="s">
        <v>419</v>
      </c>
      <c r="F378" s="0" t="n">
        <v>6016542</v>
      </c>
      <c r="G378" s="0" t="n">
        <v>0.2400600258</v>
      </c>
      <c r="H378" s="0" t="n">
        <v>9.69136204624495E-007</v>
      </c>
    </row>
    <row r="379" customFormat="false" ht="15" hidden="false" customHeight="false" outlineLevel="0" collapsed="false">
      <c r="A379" s="0" t="n">
        <v>378</v>
      </c>
      <c r="B379" s="0" t="s">
        <v>862</v>
      </c>
      <c r="C379" s="0" t="s">
        <v>494</v>
      </c>
      <c r="D379" s="0" t="s">
        <v>416</v>
      </c>
      <c r="E379" s="0" t="s">
        <v>419</v>
      </c>
      <c r="F379" s="0" t="n">
        <v>5994010</v>
      </c>
      <c r="G379" s="0" t="n">
        <v>0.239160999</v>
      </c>
      <c r="H379" s="0" t="n">
        <v>9.65506781450419E-007</v>
      </c>
    </row>
    <row r="380" customFormat="false" ht="15" hidden="false" customHeight="false" outlineLevel="0" collapsed="false">
      <c r="A380" s="0" t="n">
        <v>379</v>
      </c>
      <c r="B380" s="0" t="s">
        <v>863</v>
      </c>
      <c r="C380" s="0" t="s">
        <v>494</v>
      </c>
      <c r="D380" s="0" t="s">
        <v>416</v>
      </c>
      <c r="E380" s="0" t="s">
        <v>419</v>
      </c>
      <c r="F380" s="0" t="n">
        <v>5928630</v>
      </c>
      <c r="G380" s="0" t="n">
        <v>0.236552337</v>
      </c>
      <c r="H380" s="0" t="n">
        <v>9.54975462121418E-007</v>
      </c>
    </row>
    <row r="381" customFormat="false" ht="15" hidden="false" customHeight="false" outlineLevel="0" collapsed="false">
      <c r="A381" s="0" t="n">
        <v>380</v>
      </c>
      <c r="B381" s="0" t="s">
        <v>864</v>
      </c>
      <c r="C381" s="0" t="s">
        <v>494</v>
      </c>
      <c r="D381" s="0" t="s">
        <v>416</v>
      </c>
      <c r="E381" s="0" t="s">
        <v>417</v>
      </c>
      <c r="F381" s="0" t="n">
        <v>6009953</v>
      </c>
      <c r="G381" s="0" t="n">
        <v>0.23222458392</v>
      </c>
      <c r="H381" s="0" t="n">
        <v>9.37504072703183E-007</v>
      </c>
    </row>
    <row r="382" customFormat="false" ht="15" hidden="false" customHeight="false" outlineLevel="0" collapsed="false">
      <c r="A382" s="0" t="n">
        <v>381</v>
      </c>
      <c r="B382" s="0" t="s">
        <v>865</v>
      </c>
      <c r="C382" s="0" t="s">
        <v>494</v>
      </c>
      <c r="D382" s="0" t="s">
        <v>416</v>
      </c>
      <c r="E382" s="0" t="s">
        <v>417</v>
      </c>
      <c r="F382" s="0" t="n">
        <v>5886015</v>
      </c>
      <c r="G382" s="0" t="n">
        <v>0.2274356196</v>
      </c>
      <c r="H382" s="0" t="n">
        <v>9.18170746841453E-007</v>
      </c>
    </row>
    <row r="383" customFormat="false" ht="15" hidden="false" customHeight="false" outlineLevel="0" collapsed="false">
      <c r="A383" s="0" t="n">
        <v>382</v>
      </c>
      <c r="B383" s="0" t="s">
        <v>866</v>
      </c>
      <c r="C383" s="0" t="s">
        <v>494</v>
      </c>
      <c r="D383" s="0" t="s">
        <v>416</v>
      </c>
      <c r="E383" s="0" t="s">
        <v>419</v>
      </c>
      <c r="F383" s="0" t="n">
        <v>5680472</v>
      </c>
      <c r="G383" s="0" t="n">
        <v>0.2266508328</v>
      </c>
      <c r="H383" s="0" t="n">
        <v>9.15002517152829E-007</v>
      </c>
    </row>
    <row r="384" customFormat="false" ht="15" hidden="false" customHeight="false" outlineLevel="0" collapsed="false">
      <c r="A384" s="0" t="n">
        <v>383</v>
      </c>
      <c r="B384" s="0" t="s">
        <v>867</v>
      </c>
      <c r="C384" s="0" t="s">
        <v>494</v>
      </c>
      <c r="D384" s="0" t="s">
        <v>416</v>
      </c>
      <c r="E384" s="0" t="s">
        <v>417</v>
      </c>
      <c r="F384" s="0" t="n">
        <v>5852162</v>
      </c>
      <c r="G384" s="0" t="n">
        <v>0.22612753968</v>
      </c>
      <c r="H384" s="0" t="n">
        <v>9.12889952570146E-007</v>
      </c>
    </row>
    <row r="385" customFormat="false" ht="15" hidden="false" customHeight="false" outlineLevel="0" collapsed="false">
      <c r="A385" s="0" t="n">
        <v>384</v>
      </c>
      <c r="B385" s="0" t="s">
        <v>868</v>
      </c>
      <c r="C385" s="0" t="s">
        <v>494</v>
      </c>
      <c r="D385" s="0" t="s">
        <v>416</v>
      </c>
      <c r="E385" s="0" t="s">
        <v>419</v>
      </c>
      <c r="F385" s="0" t="n">
        <v>5656055</v>
      </c>
      <c r="G385" s="0" t="n">
        <v>0.2256765945</v>
      </c>
      <c r="H385" s="0" t="n">
        <v>9.11069460804462E-007</v>
      </c>
    </row>
    <row r="386" customFormat="false" ht="15" hidden="false" customHeight="false" outlineLevel="0" collapsed="false">
      <c r="A386" s="0" t="n">
        <v>385</v>
      </c>
      <c r="B386" s="0" t="s">
        <v>869</v>
      </c>
      <c r="C386" s="0" t="s">
        <v>494</v>
      </c>
      <c r="D386" s="0" t="s">
        <v>416</v>
      </c>
      <c r="E386" s="0" t="s">
        <v>419</v>
      </c>
      <c r="F386" s="0" t="n">
        <v>5483519</v>
      </c>
      <c r="G386" s="0" t="n">
        <v>0.2187924081</v>
      </c>
      <c r="H386" s="0" t="n">
        <v>8.83277602258292E-007</v>
      </c>
    </row>
    <row r="387" customFormat="false" ht="15" hidden="false" customHeight="false" outlineLevel="0" collapsed="false">
      <c r="A387" s="0" t="n">
        <v>386</v>
      </c>
      <c r="B387" s="0" t="s">
        <v>870</v>
      </c>
      <c r="C387" s="0" t="s">
        <v>494</v>
      </c>
      <c r="D387" s="0" t="s">
        <v>416</v>
      </c>
      <c r="E387" s="0" t="s">
        <v>419</v>
      </c>
      <c r="F387" s="0" t="n">
        <v>5421346</v>
      </c>
      <c r="G387" s="0" t="n">
        <v>0.2163117054</v>
      </c>
      <c r="H387" s="0" t="n">
        <v>8.73262862022103E-007</v>
      </c>
    </row>
    <row r="388" customFormat="false" ht="15" hidden="false" customHeight="false" outlineLevel="0" collapsed="false">
      <c r="A388" s="0" t="n">
        <v>387</v>
      </c>
      <c r="B388" s="0" t="s">
        <v>871</v>
      </c>
      <c r="C388" s="0" t="s">
        <v>494</v>
      </c>
      <c r="D388" s="0" t="s">
        <v>416</v>
      </c>
      <c r="E388" s="0" t="s">
        <v>419</v>
      </c>
      <c r="F388" s="0" t="n">
        <v>5364034</v>
      </c>
      <c r="G388" s="0" t="n">
        <v>0.2140249566</v>
      </c>
      <c r="H388" s="0" t="n">
        <v>8.6403112489479E-007</v>
      </c>
    </row>
    <row r="389" customFormat="false" ht="15" hidden="false" customHeight="false" outlineLevel="0" collapsed="false">
      <c r="A389" s="0" t="n">
        <v>388</v>
      </c>
      <c r="B389" s="0" t="s">
        <v>872</v>
      </c>
      <c r="C389" s="0" t="s">
        <v>494</v>
      </c>
      <c r="D389" s="0" t="s">
        <v>416</v>
      </c>
      <c r="E389" s="0" t="s">
        <v>419</v>
      </c>
      <c r="F389" s="0" t="n">
        <v>5231345</v>
      </c>
      <c r="G389" s="0" t="n">
        <v>0.2087306655</v>
      </c>
      <c r="H389" s="0" t="n">
        <v>8.42657765603785E-007</v>
      </c>
    </row>
    <row r="390" customFormat="false" ht="15" hidden="false" customHeight="false" outlineLevel="0" collapsed="false">
      <c r="A390" s="0" t="n">
        <v>389</v>
      </c>
      <c r="B390" s="0" t="s">
        <v>873</v>
      </c>
      <c r="C390" s="0" t="s">
        <v>494</v>
      </c>
      <c r="D390" s="0" t="s">
        <v>416</v>
      </c>
      <c r="E390" s="0" t="s">
        <v>417</v>
      </c>
      <c r="F390" s="0" t="n">
        <v>5316914</v>
      </c>
      <c r="G390" s="0" t="n">
        <v>0.20544555696</v>
      </c>
      <c r="H390" s="0" t="n">
        <v>8.29395592480103E-007</v>
      </c>
    </row>
    <row r="391" customFormat="false" ht="15" hidden="false" customHeight="false" outlineLevel="0" collapsed="false">
      <c r="A391" s="0" t="n">
        <v>390</v>
      </c>
      <c r="B391" s="0" t="s">
        <v>874</v>
      </c>
      <c r="C391" s="0" t="s">
        <v>494</v>
      </c>
      <c r="D391" s="0" t="s">
        <v>416</v>
      </c>
      <c r="E391" s="0" t="s">
        <v>419</v>
      </c>
      <c r="F391" s="0" t="n">
        <v>5113341</v>
      </c>
      <c r="G391" s="0" t="n">
        <v>0.2040223059</v>
      </c>
      <c r="H391" s="0" t="n">
        <v>8.23649845657326E-007</v>
      </c>
    </row>
    <row r="392" customFormat="false" ht="15" hidden="false" customHeight="false" outlineLevel="0" collapsed="false">
      <c r="A392" s="0" t="n">
        <v>391</v>
      </c>
      <c r="B392" s="0" t="s">
        <v>875</v>
      </c>
      <c r="C392" s="0" t="s">
        <v>494</v>
      </c>
      <c r="D392" s="0" t="s">
        <v>416</v>
      </c>
      <c r="E392" s="0" t="s">
        <v>419</v>
      </c>
      <c r="F392" s="0" t="n">
        <v>5043714</v>
      </c>
      <c r="G392" s="0" t="n">
        <v>0.2012441886</v>
      </c>
      <c r="H392" s="0" t="n">
        <v>8.12434425484179E-007</v>
      </c>
    </row>
    <row r="393" customFormat="false" ht="15" hidden="false" customHeight="false" outlineLevel="0" collapsed="false">
      <c r="A393" s="0" t="n">
        <v>392</v>
      </c>
      <c r="B393" s="0" t="s">
        <v>876</v>
      </c>
      <c r="C393" s="0" t="s">
        <v>494</v>
      </c>
      <c r="D393" s="0" t="s">
        <v>416</v>
      </c>
      <c r="E393" s="0" t="s">
        <v>419</v>
      </c>
      <c r="F393" s="0" t="n">
        <v>4937170</v>
      </c>
      <c r="G393" s="0" t="n">
        <v>0.196993083</v>
      </c>
      <c r="H393" s="0" t="n">
        <v>7.95272466374525E-007</v>
      </c>
    </row>
    <row r="394" customFormat="false" ht="15" hidden="false" customHeight="false" outlineLevel="0" collapsed="false">
      <c r="A394" s="0" t="n">
        <v>393</v>
      </c>
      <c r="B394" s="0" t="s">
        <v>877</v>
      </c>
      <c r="C394" s="0" t="s">
        <v>494</v>
      </c>
      <c r="D394" s="0" t="s">
        <v>416</v>
      </c>
      <c r="E394" s="0" t="s">
        <v>419</v>
      </c>
      <c r="F394" s="0" t="n">
        <v>4639431</v>
      </c>
      <c r="G394" s="0" t="n">
        <v>0.1851132969</v>
      </c>
      <c r="H394" s="0" t="n">
        <v>7.47313082989735E-007</v>
      </c>
    </row>
    <row r="395" customFormat="false" ht="15" hidden="false" customHeight="false" outlineLevel="0" collapsed="false">
      <c r="A395" s="0" t="n">
        <v>394</v>
      </c>
      <c r="B395" s="0" t="s">
        <v>878</v>
      </c>
      <c r="C395" s="0" t="s">
        <v>494</v>
      </c>
      <c r="D395" s="0" t="s">
        <v>416</v>
      </c>
      <c r="E395" s="0" t="s">
        <v>419</v>
      </c>
      <c r="F395" s="0" t="n">
        <v>4354929</v>
      </c>
      <c r="G395" s="0" t="n">
        <v>0.1737616671</v>
      </c>
      <c r="H395" s="0" t="n">
        <v>7.0148589712648E-007</v>
      </c>
    </row>
    <row r="396" customFormat="false" ht="15" hidden="false" customHeight="false" outlineLevel="0" collapsed="false">
      <c r="A396" s="0" t="n">
        <v>395</v>
      </c>
      <c r="B396" s="0" t="s">
        <v>879</v>
      </c>
      <c r="C396" s="0" t="s">
        <v>494</v>
      </c>
      <c r="D396" s="0" t="s">
        <v>416</v>
      </c>
      <c r="E396" s="0" t="s">
        <v>419</v>
      </c>
      <c r="F396" s="0" t="n">
        <v>3837908</v>
      </c>
      <c r="G396" s="0" t="n">
        <v>0.1531325292</v>
      </c>
      <c r="H396" s="0" t="n">
        <v>6.18204874630309E-007</v>
      </c>
    </row>
    <row r="397" customFormat="false" ht="15" hidden="false" customHeight="false" outlineLevel="0" collapsed="false">
      <c r="A397" s="0" t="n">
        <v>396</v>
      </c>
      <c r="B397" s="0" t="s">
        <v>880</v>
      </c>
      <c r="C397" s="0" t="s">
        <v>494</v>
      </c>
      <c r="D397" s="0" t="s">
        <v>416</v>
      </c>
      <c r="E397" s="0" t="s">
        <v>419</v>
      </c>
      <c r="F397" s="0" t="n">
        <v>3790812</v>
      </c>
      <c r="G397" s="0" t="n">
        <v>0.1512533988</v>
      </c>
      <c r="H397" s="0" t="n">
        <v>6.1061871655263E-007</v>
      </c>
    </row>
    <row r="398" customFormat="false" ht="15" hidden="false" customHeight="false" outlineLevel="0" collapsed="false">
      <c r="A398" s="0" t="n">
        <v>397</v>
      </c>
      <c r="B398" s="0" t="s">
        <v>881</v>
      </c>
      <c r="C398" s="0" t="s">
        <v>494</v>
      </c>
      <c r="D398" s="0" t="s">
        <v>416</v>
      </c>
      <c r="E398" s="0" t="s">
        <v>419</v>
      </c>
      <c r="F398" s="0" t="n">
        <v>3596566</v>
      </c>
      <c r="G398" s="0" t="n">
        <v>0.1435029834</v>
      </c>
      <c r="H398" s="0" t="n">
        <v>5.7932984144738E-007</v>
      </c>
    </row>
    <row r="399" customFormat="false" ht="15" hidden="false" customHeight="false" outlineLevel="0" collapsed="false">
      <c r="A399" s="0" t="n">
        <v>398</v>
      </c>
      <c r="B399" s="0" t="s">
        <v>882</v>
      </c>
      <c r="C399" s="0" t="s">
        <v>494</v>
      </c>
      <c r="D399" s="0" t="s">
        <v>416</v>
      </c>
      <c r="E399" s="0" t="s">
        <v>419</v>
      </c>
      <c r="F399" s="0" t="n">
        <v>3595765</v>
      </c>
      <c r="G399" s="0" t="n">
        <v>0.1434710235</v>
      </c>
      <c r="H399" s="0" t="n">
        <v>5.79200817483132E-007</v>
      </c>
    </row>
    <row r="400" customFormat="false" ht="15" hidden="false" customHeight="false" outlineLevel="0" collapsed="false">
      <c r="A400" s="0" t="n">
        <v>399</v>
      </c>
      <c r="B400" s="0" t="s">
        <v>883</v>
      </c>
      <c r="C400" s="0" t="s">
        <v>494</v>
      </c>
      <c r="D400" s="0" t="s">
        <v>416</v>
      </c>
      <c r="E400" s="0" t="s">
        <v>419</v>
      </c>
      <c r="F400" s="0" t="n">
        <v>3278741</v>
      </c>
      <c r="G400" s="0" t="n">
        <v>0.1308217659</v>
      </c>
      <c r="H400" s="0" t="n">
        <v>5.28135033161361E-007</v>
      </c>
    </row>
    <row r="401" customFormat="false" ht="15" hidden="false" customHeight="false" outlineLevel="0" collapsed="false">
      <c r="A401" s="0" t="n">
        <v>400</v>
      </c>
      <c r="B401" s="0" t="s">
        <v>884</v>
      </c>
      <c r="C401" s="0" t="s">
        <v>494</v>
      </c>
      <c r="D401" s="0" t="s">
        <v>416</v>
      </c>
      <c r="E401" s="0" t="s">
        <v>419</v>
      </c>
      <c r="F401" s="0" t="n">
        <v>3125788</v>
      </c>
      <c r="G401" s="0" t="n">
        <v>0.1247189412</v>
      </c>
      <c r="H401" s="0" t="n">
        <v>5.03497576977073E-007</v>
      </c>
    </row>
    <row r="402" customFormat="false" ht="15" hidden="false" customHeight="false" outlineLevel="0" collapsed="false">
      <c r="A402" s="0" t="n">
        <v>401</v>
      </c>
      <c r="B402" s="0" t="s">
        <v>885</v>
      </c>
      <c r="C402" s="0" t="s">
        <v>494</v>
      </c>
      <c r="D402" s="0" t="s">
        <v>416</v>
      </c>
      <c r="E402" s="0" t="s">
        <v>419</v>
      </c>
      <c r="F402" s="0" t="n">
        <v>3052457</v>
      </c>
      <c r="G402" s="0" t="n">
        <v>0.1217930343</v>
      </c>
      <c r="H402" s="0" t="n">
        <v>4.91685521643408E-007</v>
      </c>
    </row>
    <row r="403" customFormat="false" ht="15" hidden="false" customHeight="false" outlineLevel="0" collapsed="false">
      <c r="A403" s="0" t="n">
        <v>402</v>
      </c>
      <c r="B403" s="0" t="s">
        <v>886</v>
      </c>
      <c r="C403" s="0" t="s">
        <v>494</v>
      </c>
      <c r="D403" s="0" t="s">
        <v>416</v>
      </c>
      <c r="E403" s="0" t="s">
        <v>419</v>
      </c>
      <c r="F403" s="0" t="n">
        <v>2739177</v>
      </c>
      <c r="G403" s="0" t="n">
        <v>0.1092931623</v>
      </c>
      <c r="H403" s="0" t="n">
        <v>4.41222815626436E-007</v>
      </c>
    </row>
    <row r="404" customFormat="false" ht="15" hidden="false" customHeight="false" outlineLevel="0" collapsed="false">
      <c r="A404" s="0" t="n">
        <v>403</v>
      </c>
      <c r="B404" s="0" t="s">
        <v>887</v>
      </c>
      <c r="C404" s="0" t="s">
        <v>494</v>
      </c>
      <c r="D404" s="0" t="s">
        <v>416</v>
      </c>
      <c r="E404" s="0" t="s">
        <v>419</v>
      </c>
      <c r="F404" s="0" t="n">
        <v>2738741</v>
      </c>
      <c r="G404" s="0" t="n">
        <v>0.1092757659</v>
      </c>
      <c r="H404" s="0" t="n">
        <v>4.41152585353762E-007</v>
      </c>
    </row>
    <row r="405" customFormat="false" ht="15" hidden="false" customHeight="false" outlineLevel="0" collapsed="false">
      <c r="A405" s="0" t="n">
        <v>404</v>
      </c>
      <c r="B405" s="0" t="s">
        <v>888</v>
      </c>
      <c r="C405" s="0" t="s">
        <v>494</v>
      </c>
      <c r="D405" s="0" t="s">
        <v>416</v>
      </c>
      <c r="E405" s="0" t="s">
        <v>419</v>
      </c>
      <c r="F405" s="0" t="n">
        <v>2641842</v>
      </c>
      <c r="G405" s="0" t="n">
        <v>0.1054094958</v>
      </c>
      <c r="H405" s="0" t="n">
        <v>4.25544229409117E-007</v>
      </c>
    </row>
    <row r="406" customFormat="false" ht="15" hidden="false" customHeight="false" outlineLevel="0" collapsed="false">
      <c r="A406" s="0" t="n">
        <v>405</v>
      </c>
      <c r="B406" s="0" t="s">
        <v>889</v>
      </c>
      <c r="C406" s="0" t="s">
        <v>494</v>
      </c>
      <c r="D406" s="0" t="s">
        <v>416</v>
      </c>
      <c r="E406" s="0" t="s">
        <v>419</v>
      </c>
      <c r="F406" s="0" t="n">
        <v>2366887</v>
      </c>
      <c r="G406" s="0" t="n">
        <v>0.0944387913</v>
      </c>
      <c r="H406" s="0" t="n">
        <v>3.81254861007379E-007</v>
      </c>
    </row>
    <row r="407" customFormat="false" ht="15" hidden="false" customHeight="false" outlineLevel="0" collapsed="false">
      <c r="A407" s="0" t="n">
        <v>406</v>
      </c>
      <c r="B407" s="0" t="s">
        <v>890</v>
      </c>
      <c r="C407" s="0" t="s">
        <v>494</v>
      </c>
      <c r="D407" s="0" t="s">
        <v>416</v>
      </c>
      <c r="E407" s="0" t="s">
        <v>419</v>
      </c>
      <c r="F407" s="0" t="n">
        <v>2026635</v>
      </c>
      <c r="G407" s="0" t="n">
        <v>0.0808627365</v>
      </c>
      <c r="H407" s="0" t="n">
        <v>3.26447542801025E-007</v>
      </c>
    </row>
    <row r="408" customFormat="false" ht="15" hidden="false" customHeight="false" outlineLevel="0" collapsed="false">
      <c r="A408" s="0" t="n">
        <v>407</v>
      </c>
      <c r="B408" s="0" t="s">
        <v>891</v>
      </c>
      <c r="C408" s="0" t="s">
        <v>494</v>
      </c>
      <c r="D408" s="0" t="s">
        <v>416</v>
      </c>
      <c r="E408" s="0" t="s">
        <v>419</v>
      </c>
      <c r="F408" s="0" t="n">
        <v>1978532</v>
      </c>
      <c r="G408" s="0" t="n">
        <v>0.0789434268</v>
      </c>
      <c r="H408" s="0" t="n">
        <v>3.18699178566045E-007</v>
      </c>
    </row>
    <row r="409" customFormat="false" ht="15" hidden="false" customHeight="false" outlineLevel="0" collapsed="false">
      <c r="A409" s="0" t="n">
        <v>408</v>
      </c>
      <c r="B409" s="0" t="s">
        <v>892</v>
      </c>
      <c r="C409" s="0" t="s">
        <v>494</v>
      </c>
      <c r="D409" s="0" t="s">
        <v>416</v>
      </c>
      <c r="E409" s="0" t="s">
        <v>419</v>
      </c>
      <c r="F409" s="0" t="n">
        <v>1975606</v>
      </c>
      <c r="G409" s="0" t="n">
        <v>0.0788266794</v>
      </c>
      <c r="H409" s="0" t="n">
        <v>3.18227862561814E-007</v>
      </c>
    </row>
    <row r="410" customFormat="false" ht="15" hidden="false" customHeight="false" outlineLevel="0" collapsed="false">
      <c r="A410" s="0" t="n">
        <v>409</v>
      </c>
      <c r="B410" s="0" t="s">
        <v>893</v>
      </c>
      <c r="C410" s="0" t="s">
        <v>494</v>
      </c>
      <c r="D410" s="0" t="s">
        <v>416</v>
      </c>
      <c r="E410" s="0" t="s">
        <v>419</v>
      </c>
      <c r="F410" s="0" t="n">
        <v>1959527</v>
      </c>
      <c r="G410" s="0" t="n">
        <v>0.0781851273</v>
      </c>
      <c r="H410" s="0" t="n">
        <v>3.15637879639039E-007</v>
      </c>
    </row>
    <row r="411" customFormat="false" ht="15" hidden="false" customHeight="false" outlineLevel="0" collapsed="false">
      <c r="A411" s="0" t="n">
        <v>410</v>
      </c>
      <c r="B411" s="0" t="s">
        <v>894</v>
      </c>
      <c r="C411" s="0" t="s">
        <v>494</v>
      </c>
      <c r="D411" s="0" t="s">
        <v>416</v>
      </c>
      <c r="E411" s="0" t="s">
        <v>419</v>
      </c>
      <c r="F411" s="0" t="n">
        <v>1910310</v>
      </c>
      <c r="G411" s="0" t="n">
        <v>0.076221369</v>
      </c>
      <c r="H411" s="0" t="n">
        <v>3.07710073835805E-007</v>
      </c>
    </row>
    <row r="412" customFormat="false" ht="15" hidden="false" customHeight="false" outlineLevel="0" collapsed="false">
      <c r="A412" s="0" t="n">
        <v>411</v>
      </c>
      <c r="B412" s="0" t="s">
        <v>895</v>
      </c>
      <c r="C412" s="0" t="s">
        <v>494</v>
      </c>
      <c r="D412" s="0" t="s">
        <v>416</v>
      </c>
      <c r="E412" s="0" t="s">
        <v>419</v>
      </c>
      <c r="F412" s="0" t="n">
        <v>1910167</v>
      </c>
      <c r="G412" s="0" t="n">
        <v>0.0762156633</v>
      </c>
      <c r="H412" s="0" t="n">
        <v>3.07687039594996E-007</v>
      </c>
    </row>
    <row r="413" customFormat="false" ht="15" hidden="false" customHeight="false" outlineLevel="0" collapsed="false">
      <c r="A413" s="0" t="n">
        <v>412</v>
      </c>
      <c r="B413" s="0" t="s">
        <v>896</v>
      </c>
      <c r="C413" s="0" t="s">
        <v>494</v>
      </c>
      <c r="D413" s="0" t="s">
        <v>416</v>
      </c>
      <c r="E413" s="0" t="s">
        <v>418</v>
      </c>
      <c r="F413" s="0" t="n">
        <v>120822793</v>
      </c>
      <c r="G413" s="0" t="n">
        <v>0.0745573060000009</v>
      </c>
      <c r="H413" s="0" t="n">
        <v>3.00992155287305E-007</v>
      </c>
    </row>
    <row r="414" customFormat="false" ht="15" hidden="false" customHeight="false" outlineLevel="0" collapsed="false">
      <c r="A414" s="0" t="n">
        <v>413</v>
      </c>
      <c r="B414" s="0" t="s">
        <v>897</v>
      </c>
      <c r="C414" s="0" t="s">
        <v>494</v>
      </c>
      <c r="D414" s="0" t="s">
        <v>416</v>
      </c>
      <c r="E414" s="0" t="s">
        <v>419</v>
      </c>
      <c r="F414" s="0" t="n">
        <v>1773568</v>
      </c>
      <c r="G414" s="0" t="n">
        <v>0.0707653632</v>
      </c>
      <c r="H414" s="0" t="n">
        <v>2.85683862950422E-007</v>
      </c>
    </row>
    <row r="415" customFormat="false" ht="15" hidden="false" customHeight="false" outlineLevel="0" collapsed="false">
      <c r="A415" s="0" t="n">
        <v>414</v>
      </c>
      <c r="B415" s="0" t="s">
        <v>898</v>
      </c>
      <c r="C415" s="0" t="s">
        <v>494</v>
      </c>
      <c r="D415" s="0" t="s">
        <v>416</v>
      </c>
      <c r="E415" s="0" t="s">
        <v>419</v>
      </c>
      <c r="F415" s="0" t="n">
        <v>1408197</v>
      </c>
      <c r="G415" s="0" t="n">
        <v>0.0561870603</v>
      </c>
      <c r="H415" s="0" t="n">
        <v>2.26830411213551E-007</v>
      </c>
    </row>
    <row r="416" customFormat="false" ht="15" hidden="false" customHeight="false" outlineLevel="0" collapsed="false">
      <c r="A416" s="0" t="n">
        <v>415</v>
      </c>
      <c r="B416" s="0" t="s">
        <v>899</v>
      </c>
      <c r="C416" s="0" t="s">
        <v>494</v>
      </c>
      <c r="D416" s="0" t="s">
        <v>416</v>
      </c>
      <c r="E416" s="0" t="s">
        <v>419</v>
      </c>
      <c r="F416" s="0" t="n">
        <v>1367840</v>
      </c>
      <c r="G416" s="0" t="n">
        <v>0.054576816</v>
      </c>
      <c r="H416" s="0" t="n">
        <v>2.20329761868789E-007</v>
      </c>
    </row>
    <row r="417" customFormat="false" ht="15" hidden="false" customHeight="false" outlineLevel="0" collapsed="false">
      <c r="A417" s="0" t="n">
        <v>416</v>
      </c>
      <c r="B417" s="0" t="s">
        <v>900</v>
      </c>
      <c r="C417" s="0" t="s">
        <v>494</v>
      </c>
      <c r="D417" s="0" t="s">
        <v>416</v>
      </c>
      <c r="E417" s="0" t="s">
        <v>417</v>
      </c>
      <c r="F417" s="0" t="n">
        <v>984319</v>
      </c>
      <c r="G417" s="0" t="n">
        <v>0.03803408616</v>
      </c>
      <c r="H417" s="0" t="n">
        <v>1.53545804990343E-007</v>
      </c>
    </row>
    <row r="418" customFormat="false" ht="15" hidden="false" customHeight="false" outlineLevel="0" collapsed="false">
      <c r="A418" s="0" t="n">
        <v>417</v>
      </c>
      <c r="B418" s="0" t="s">
        <v>901</v>
      </c>
      <c r="C418" s="0" t="s">
        <v>494</v>
      </c>
      <c r="D418" s="0" t="s">
        <v>416</v>
      </c>
      <c r="E418" s="0" t="s">
        <v>419</v>
      </c>
      <c r="F418" s="0" t="n">
        <v>873911</v>
      </c>
      <c r="G418" s="0" t="n">
        <v>0.0348690489</v>
      </c>
      <c r="H418" s="0" t="n">
        <v>1.40768366566642E-007</v>
      </c>
    </row>
    <row r="419" customFormat="false" ht="15" hidden="false" customHeight="false" outlineLevel="0" collapsed="false">
      <c r="A419" s="0" t="n">
        <v>418</v>
      </c>
      <c r="B419" s="0" t="s">
        <v>902</v>
      </c>
      <c r="C419" s="0" t="s">
        <v>494</v>
      </c>
      <c r="D419" s="0" t="s">
        <v>416</v>
      </c>
      <c r="E419" s="0" t="s">
        <v>419</v>
      </c>
      <c r="F419" s="0" t="n">
        <v>673422</v>
      </c>
      <c r="G419" s="0" t="n">
        <v>0.0268695378</v>
      </c>
      <c r="H419" s="0" t="n">
        <v>1.08473877717572E-007</v>
      </c>
    </row>
    <row r="420" customFormat="false" ht="15" hidden="false" customHeight="false" outlineLevel="0" collapsed="false">
      <c r="A420" s="0" t="n">
        <v>419</v>
      </c>
      <c r="B420" s="0" t="s">
        <v>903</v>
      </c>
      <c r="C420" s="0" t="s">
        <v>494</v>
      </c>
      <c r="D420" s="0" t="s">
        <v>416</v>
      </c>
      <c r="E420" s="0" t="s">
        <v>418</v>
      </c>
      <c r="F420" s="0" t="n">
        <v>119098256</v>
      </c>
      <c r="G420" s="0" t="n">
        <v>0.00212675199999968</v>
      </c>
      <c r="H420" s="0" t="n">
        <v>8.58582079456412E-009</v>
      </c>
    </row>
    <row r="421" customFormat="false" ht="15" hidden="false" customHeight="false" outlineLevel="0" collapsed="false">
      <c r="A421" s="0" t="n">
        <v>420</v>
      </c>
      <c r="B421" s="0" t="s">
        <v>904</v>
      </c>
      <c r="C421" s="0" t="s">
        <v>494</v>
      </c>
      <c r="D421" s="0" t="s">
        <v>416</v>
      </c>
      <c r="E421" s="0" t="s">
        <v>418</v>
      </c>
      <c r="F421" s="0" t="n">
        <v>1334369</v>
      </c>
      <c r="G421" s="0" t="n">
        <v>2.77555756156289E-017</v>
      </c>
      <c r="H421" s="0" t="n">
        <v>1.12050863610708E-022</v>
      </c>
    </row>
    <row r="422" customFormat="false" ht="15" hidden="false" customHeight="false" outlineLevel="0" collapsed="false">
      <c r="A422" s="0" t="n">
        <v>421</v>
      </c>
      <c r="B422" s="0" t="s">
        <v>905</v>
      </c>
      <c r="C422" s="0" t="s">
        <v>494</v>
      </c>
      <c r="D422" s="0" t="s">
        <v>416</v>
      </c>
      <c r="E422" s="0" t="s">
        <v>418</v>
      </c>
      <c r="F422" s="0" t="n">
        <v>758841</v>
      </c>
      <c r="G422" s="0" t="n">
        <v>2.08166817117217E-017</v>
      </c>
      <c r="H422" s="0" t="n">
        <v>8.40381477080308E-023</v>
      </c>
    </row>
    <row r="423" customFormat="false" ht="15" hidden="false" customHeight="false" outlineLevel="0" collapsed="false">
      <c r="A423" s="0" t="n">
        <v>422</v>
      </c>
      <c r="B423" s="0" t="s">
        <v>906</v>
      </c>
      <c r="C423" s="0" t="s">
        <v>494</v>
      </c>
      <c r="D423" s="0" t="s">
        <v>416</v>
      </c>
      <c r="E423" s="0" t="s">
        <v>418</v>
      </c>
      <c r="F423" s="0" t="n">
        <v>118548077</v>
      </c>
      <c r="G423" s="0" t="n">
        <v>0</v>
      </c>
      <c r="H423" s="0" t="n">
        <v>0</v>
      </c>
    </row>
    <row r="424" customFormat="false" ht="15" hidden="false" customHeight="false" outlineLevel="0" collapsed="false">
      <c r="A424" s="0" t="n">
        <v>423</v>
      </c>
      <c r="B424" s="0" t="s">
        <v>907</v>
      </c>
      <c r="C424" s="0" t="s">
        <v>494</v>
      </c>
      <c r="D424" s="0" t="s">
        <v>416</v>
      </c>
      <c r="E424" s="0" t="s">
        <v>418</v>
      </c>
      <c r="F424" s="0" t="n">
        <v>117406769</v>
      </c>
      <c r="G424" s="0" t="n">
        <v>0</v>
      </c>
      <c r="H424" s="0" t="n">
        <v>0</v>
      </c>
    </row>
    <row r="425" customFormat="false" ht="15" hidden="false" customHeight="false" outlineLevel="0" collapsed="false">
      <c r="A425" s="0" t="n">
        <v>424</v>
      </c>
      <c r="B425" s="0" t="s">
        <v>908</v>
      </c>
      <c r="C425" s="0" t="s">
        <v>494</v>
      </c>
      <c r="D425" s="0" t="s">
        <v>416</v>
      </c>
      <c r="E425" s="0" t="s">
        <v>418</v>
      </c>
      <c r="F425" s="0" t="n">
        <v>117255702</v>
      </c>
      <c r="G425" s="0" t="n">
        <v>0</v>
      </c>
      <c r="H425" s="0" t="n">
        <v>0</v>
      </c>
    </row>
    <row r="426" customFormat="false" ht="15" hidden="false" customHeight="false" outlineLevel="0" collapsed="false">
      <c r="A426" s="0" t="n">
        <v>425</v>
      </c>
      <c r="B426" s="0" t="s">
        <v>909</v>
      </c>
      <c r="C426" s="0" t="s">
        <v>494</v>
      </c>
      <c r="D426" s="0" t="s">
        <v>416</v>
      </c>
      <c r="E426" s="0" t="s">
        <v>418</v>
      </c>
      <c r="F426" s="0" t="n">
        <v>116814662</v>
      </c>
      <c r="G426" s="0" t="n">
        <v>0</v>
      </c>
      <c r="H426" s="0" t="n">
        <v>0</v>
      </c>
    </row>
    <row r="427" customFormat="false" ht="15" hidden="false" customHeight="false" outlineLevel="0" collapsed="false">
      <c r="A427" s="0" t="n">
        <v>426</v>
      </c>
      <c r="B427" s="0" t="s">
        <v>910</v>
      </c>
      <c r="C427" s="0" t="s">
        <v>494</v>
      </c>
      <c r="D427" s="0" t="s">
        <v>416</v>
      </c>
      <c r="E427" s="0" t="s">
        <v>418</v>
      </c>
      <c r="F427" s="0" t="n">
        <v>116621995</v>
      </c>
      <c r="G427" s="0" t="n">
        <v>0</v>
      </c>
      <c r="H427" s="0" t="n">
        <v>0</v>
      </c>
    </row>
    <row r="428" customFormat="false" ht="15" hidden="false" customHeight="false" outlineLevel="0" collapsed="false">
      <c r="A428" s="0" t="n">
        <v>427</v>
      </c>
      <c r="B428" s="0" t="s">
        <v>911</v>
      </c>
      <c r="C428" s="0" t="s">
        <v>494</v>
      </c>
      <c r="D428" s="0" t="s">
        <v>416</v>
      </c>
      <c r="E428" s="0" t="s">
        <v>418</v>
      </c>
      <c r="F428" s="0" t="n">
        <v>113921341</v>
      </c>
      <c r="G428" s="0" t="n">
        <v>0</v>
      </c>
      <c r="H428" s="0" t="n">
        <v>0</v>
      </c>
    </row>
    <row r="429" customFormat="false" ht="15" hidden="false" customHeight="false" outlineLevel="0" collapsed="false">
      <c r="A429" s="0" t="n">
        <v>428</v>
      </c>
      <c r="B429" s="0" t="s">
        <v>912</v>
      </c>
      <c r="C429" s="0" t="s">
        <v>494</v>
      </c>
      <c r="D429" s="0" t="s">
        <v>416</v>
      </c>
      <c r="E429" s="0" t="s">
        <v>418</v>
      </c>
      <c r="F429" s="0" t="n">
        <v>112993194</v>
      </c>
      <c r="G429" s="0" t="n">
        <v>0</v>
      </c>
      <c r="H429" s="0" t="n">
        <v>0</v>
      </c>
    </row>
    <row r="430" customFormat="false" ht="15" hidden="false" customHeight="false" outlineLevel="0" collapsed="false">
      <c r="A430" s="0" t="n">
        <v>429</v>
      </c>
      <c r="B430" s="0" t="s">
        <v>913</v>
      </c>
      <c r="C430" s="0" t="s">
        <v>494</v>
      </c>
      <c r="D430" s="0" t="s">
        <v>416</v>
      </c>
      <c r="E430" s="0" t="s">
        <v>418</v>
      </c>
      <c r="F430" s="0" t="n">
        <v>110349223</v>
      </c>
      <c r="G430" s="0" t="n">
        <v>0</v>
      </c>
      <c r="H430" s="0" t="n">
        <v>0</v>
      </c>
    </row>
    <row r="431" customFormat="false" ht="15" hidden="false" customHeight="false" outlineLevel="0" collapsed="false">
      <c r="A431" s="0" t="n">
        <v>430</v>
      </c>
      <c r="B431" s="0" t="s">
        <v>914</v>
      </c>
      <c r="C431" s="0" t="s">
        <v>494</v>
      </c>
      <c r="D431" s="0" t="s">
        <v>416</v>
      </c>
      <c r="E431" s="0" t="s">
        <v>418</v>
      </c>
      <c r="F431" s="0" t="n">
        <v>103138627</v>
      </c>
      <c r="G431" s="0" t="n">
        <v>0</v>
      </c>
      <c r="H431" s="0" t="n">
        <v>0</v>
      </c>
    </row>
    <row r="432" customFormat="false" ht="15" hidden="false" customHeight="false" outlineLevel="0" collapsed="false">
      <c r="A432" s="0" t="n">
        <v>431</v>
      </c>
      <c r="B432" s="0" t="s">
        <v>915</v>
      </c>
      <c r="C432" s="0" t="s">
        <v>494</v>
      </c>
      <c r="D432" s="0" t="s">
        <v>416</v>
      </c>
      <c r="E432" s="0" t="s">
        <v>418</v>
      </c>
      <c r="F432" s="0" t="n">
        <v>101281325</v>
      </c>
      <c r="G432" s="0" t="n">
        <v>0</v>
      </c>
      <c r="H432" s="0" t="n">
        <v>0</v>
      </c>
    </row>
    <row r="433" customFormat="false" ht="15" hidden="false" customHeight="false" outlineLevel="0" collapsed="false">
      <c r="A433" s="0" t="n">
        <v>432</v>
      </c>
      <c r="B433" s="0" t="s">
        <v>916</v>
      </c>
      <c r="C433" s="0" t="s">
        <v>494</v>
      </c>
      <c r="D433" s="0" t="s">
        <v>416</v>
      </c>
      <c r="E433" s="0" t="s">
        <v>418</v>
      </c>
      <c r="F433" s="0" t="n">
        <v>98004176</v>
      </c>
      <c r="G433" s="0" t="n">
        <v>0</v>
      </c>
      <c r="H433" s="0" t="n">
        <v>0</v>
      </c>
    </row>
    <row r="434" customFormat="false" ht="15" hidden="false" customHeight="false" outlineLevel="0" collapsed="false">
      <c r="A434" s="0" t="n">
        <v>433</v>
      </c>
      <c r="B434" s="0" t="s">
        <v>917</v>
      </c>
      <c r="C434" s="0" t="s">
        <v>494</v>
      </c>
      <c r="D434" s="0" t="s">
        <v>416</v>
      </c>
      <c r="E434" s="0" t="s">
        <v>418</v>
      </c>
      <c r="F434" s="0" t="n">
        <v>95032643</v>
      </c>
      <c r="G434" s="0" t="n">
        <v>0</v>
      </c>
      <c r="H434" s="0" t="n">
        <v>0</v>
      </c>
    </row>
    <row r="435" customFormat="false" ht="15" hidden="false" customHeight="false" outlineLevel="0" collapsed="false">
      <c r="A435" s="0" t="n">
        <v>434</v>
      </c>
      <c r="B435" s="0" t="s">
        <v>918</v>
      </c>
      <c r="C435" s="0" t="s">
        <v>494</v>
      </c>
      <c r="D435" s="0" t="s">
        <v>416</v>
      </c>
      <c r="E435" s="0" t="s">
        <v>418</v>
      </c>
      <c r="F435" s="0" t="n">
        <v>94184613</v>
      </c>
      <c r="G435" s="0" t="n">
        <v>0</v>
      </c>
      <c r="H435" s="0" t="n">
        <v>0</v>
      </c>
    </row>
    <row r="436" customFormat="false" ht="15" hidden="false" customHeight="false" outlineLevel="0" collapsed="false">
      <c r="A436" s="0" t="n">
        <v>435</v>
      </c>
      <c r="B436" s="0" t="s">
        <v>919</v>
      </c>
      <c r="C436" s="0" t="s">
        <v>494</v>
      </c>
      <c r="D436" s="0" t="s">
        <v>416</v>
      </c>
      <c r="E436" s="0" t="s">
        <v>418</v>
      </c>
      <c r="F436" s="0" t="n">
        <v>93083204</v>
      </c>
      <c r="G436" s="0" t="n">
        <v>0</v>
      </c>
      <c r="H436" s="0" t="n">
        <v>0</v>
      </c>
    </row>
    <row r="437" customFormat="false" ht="15" hidden="false" customHeight="false" outlineLevel="0" collapsed="false">
      <c r="A437" s="0" t="n">
        <v>436</v>
      </c>
      <c r="B437" s="0" t="s">
        <v>920</v>
      </c>
      <c r="C437" s="0" t="s">
        <v>494</v>
      </c>
      <c r="D437" s="0" t="s">
        <v>416</v>
      </c>
      <c r="E437" s="0" t="s">
        <v>418</v>
      </c>
      <c r="F437" s="0" t="n">
        <v>91075616</v>
      </c>
      <c r="G437" s="0" t="n">
        <v>0</v>
      </c>
      <c r="H437" s="0" t="n">
        <v>0</v>
      </c>
    </row>
    <row r="438" customFormat="false" ht="15" hidden="false" customHeight="false" outlineLevel="0" collapsed="false">
      <c r="A438" s="0" t="n">
        <v>437</v>
      </c>
      <c r="B438" s="0" t="s">
        <v>921</v>
      </c>
      <c r="C438" s="0" t="s">
        <v>494</v>
      </c>
      <c r="D438" s="0" t="s">
        <v>416</v>
      </c>
      <c r="E438" s="0" t="s">
        <v>418</v>
      </c>
      <c r="F438" s="0" t="n">
        <v>90280938</v>
      </c>
      <c r="G438" s="0" t="n">
        <v>0</v>
      </c>
      <c r="H438" s="0" t="n">
        <v>0</v>
      </c>
    </row>
    <row r="439" customFormat="false" ht="15" hidden="false" customHeight="false" outlineLevel="0" collapsed="false">
      <c r="A439" s="0" t="n">
        <v>438</v>
      </c>
      <c r="B439" s="0" t="s">
        <v>922</v>
      </c>
      <c r="C439" s="0" t="s">
        <v>494</v>
      </c>
      <c r="D439" s="0" t="s">
        <v>416</v>
      </c>
      <c r="E439" s="0" t="s">
        <v>418</v>
      </c>
      <c r="F439" s="0" t="n">
        <v>89325324</v>
      </c>
      <c r="G439" s="0" t="n">
        <v>0</v>
      </c>
      <c r="H439" s="0" t="n">
        <v>0</v>
      </c>
    </row>
    <row r="440" customFormat="false" ht="15" hidden="false" customHeight="false" outlineLevel="0" collapsed="false">
      <c r="A440" s="0" t="n">
        <v>439</v>
      </c>
      <c r="B440" s="0" t="s">
        <v>923</v>
      </c>
      <c r="C440" s="0" t="s">
        <v>494</v>
      </c>
      <c r="D440" s="0" t="s">
        <v>416</v>
      </c>
      <c r="E440" s="0" t="s">
        <v>418</v>
      </c>
      <c r="F440" s="0" t="n">
        <v>88775841</v>
      </c>
      <c r="G440" s="0" t="n">
        <v>0</v>
      </c>
      <c r="H440" s="0" t="n">
        <v>0</v>
      </c>
    </row>
    <row r="441" customFormat="false" ht="15" hidden="false" customHeight="false" outlineLevel="0" collapsed="false">
      <c r="A441" s="0" t="n">
        <v>440</v>
      </c>
      <c r="B441" s="0" t="s">
        <v>924</v>
      </c>
      <c r="C441" s="0" t="s">
        <v>494</v>
      </c>
      <c r="D441" s="0" t="s">
        <v>416</v>
      </c>
      <c r="E441" s="0" t="s">
        <v>418</v>
      </c>
      <c r="F441" s="0" t="n">
        <v>86653786</v>
      </c>
      <c r="G441" s="0" t="n">
        <v>0</v>
      </c>
      <c r="H441" s="0" t="n">
        <v>0</v>
      </c>
    </row>
    <row r="442" customFormat="false" ht="15" hidden="false" customHeight="false" outlineLevel="0" collapsed="false">
      <c r="A442" s="0" t="n">
        <v>441</v>
      </c>
      <c r="B442" s="0" t="s">
        <v>925</v>
      </c>
      <c r="C442" s="0" t="s">
        <v>494</v>
      </c>
      <c r="D442" s="0" t="s">
        <v>416</v>
      </c>
      <c r="E442" s="0" t="s">
        <v>418</v>
      </c>
      <c r="F442" s="0" t="n">
        <v>85503479</v>
      </c>
      <c r="G442" s="0" t="n">
        <v>0</v>
      </c>
      <c r="H442" s="0" t="n">
        <v>0</v>
      </c>
    </row>
    <row r="443" customFormat="false" ht="15" hidden="false" customHeight="false" outlineLevel="0" collapsed="false">
      <c r="A443" s="0" t="n">
        <v>442</v>
      </c>
      <c r="B443" s="0" t="s">
        <v>926</v>
      </c>
      <c r="C443" s="0" t="s">
        <v>494</v>
      </c>
      <c r="D443" s="0" t="s">
        <v>416</v>
      </c>
      <c r="E443" s="0" t="s">
        <v>418</v>
      </c>
      <c r="F443" s="0" t="n">
        <v>82462141</v>
      </c>
      <c r="G443" s="0" t="n">
        <v>0</v>
      </c>
      <c r="H443" s="0" t="n">
        <v>0</v>
      </c>
    </row>
    <row r="444" customFormat="false" ht="15" hidden="false" customHeight="false" outlineLevel="0" collapsed="false">
      <c r="A444" s="0" t="n">
        <v>443</v>
      </c>
      <c r="B444" s="0" t="s">
        <v>927</v>
      </c>
      <c r="C444" s="0" t="s">
        <v>494</v>
      </c>
      <c r="D444" s="0" t="s">
        <v>416</v>
      </c>
      <c r="E444" s="0" t="s">
        <v>418</v>
      </c>
      <c r="F444" s="0" t="n">
        <v>81903551</v>
      </c>
      <c r="G444" s="0" t="n">
        <v>0</v>
      </c>
      <c r="H444" s="0" t="n">
        <v>0</v>
      </c>
    </row>
    <row r="445" customFormat="false" ht="15" hidden="false" customHeight="false" outlineLevel="0" collapsed="false">
      <c r="A445" s="0" t="n">
        <v>444</v>
      </c>
      <c r="B445" s="0" t="s">
        <v>928</v>
      </c>
      <c r="C445" s="0" t="s">
        <v>494</v>
      </c>
      <c r="D445" s="0" t="s">
        <v>416</v>
      </c>
      <c r="E445" s="0" t="s">
        <v>418</v>
      </c>
      <c r="F445" s="0" t="n">
        <v>80610761</v>
      </c>
      <c r="G445" s="0" t="n">
        <v>0</v>
      </c>
      <c r="H445" s="0" t="n">
        <v>0</v>
      </c>
    </row>
    <row r="446" customFormat="false" ht="15" hidden="false" customHeight="false" outlineLevel="0" collapsed="false">
      <c r="A446" s="0" t="n">
        <v>445</v>
      </c>
      <c r="B446" s="0" t="s">
        <v>929</v>
      </c>
      <c r="C446" s="0" t="s">
        <v>494</v>
      </c>
      <c r="D446" s="0" t="s">
        <v>416</v>
      </c>
      <c r="E446" s="0" t="s">
        <v>418</v>
      </c>
      <c r="F446" s="0" t="n">
        <v>79214224</v>
      </c>
      <c r="G446" s="0" t="n">
        <v>0</v>
      </c>
      <c r="H446" s="0" t="n">
        <v>0</v>
      </c>
    </row>
    <row r="447" customFormat="false" ht="15" hidden="false" customHeight="false" outlineLevel="0" collapsed="false">
      <c r="A447" s="0" t="n">
        <v>446</v>
      </c>
      <c r="B447" s="0" t="s">
        <v>930</v>
      </c>
      <c r="C447" s="0" t="s">
        <v>494</v>
      </c>
      <c r="D447" s="0" t="s">
        <v>416</v>
      </c>
      <c r="E447" s="0" t="s">
        <v>418</v>
      </c>
      <c r="F447" s="0" t="n">
        <v>77714940</v>
      </c>
      <c r="G447" s="0" t="n">
        <v>0</v>
      </c>
      <c r="H447" s="0" t="n">
        <v>0</v>
      </c>
    </row>
    <row r="448" customFormat="false" ht="15" hidden="false" customHeight="false" outlineLevel="0" collapsed="false">
      <c r="A448" s="0" t="n">
        <v>447</v>
      </c>
      <c r="B448" s="0" t="s">
        <v>931</v>
      </c>
      <c r="C448" s="0" t="s">
        <v>494</v>
      </c>
      <c r="D448" s="0" t="s">
        <v>416</v>
      </c>
      <c r="E448" s="0" t="s">
        <v>418</v>
      </c>
      <c r="F448" s="0" t="n">
        <v>77555427</v>
      </c>
      <c r="G448" s="0" t="n">
        <v>0</v>
      </c>
      <c r="H448" s="0" t="n">
        <v>0</v>
      </c>
    </row>
    <row r="449" customFormat="false" ht="15" hidden="false" customHeight="false" outlineLevel="0" collapsed="false">
      <c r="A449" s="0" t="n">
        <v>448</v>
      </c>
      <c r="B449" s="0" t="s">
        <v>932</v>
      </c>
      <c r="C449" s="0" t="s">
        <v>494</v>
      </c>
      <c r="D449" s="0" t="s">
        <v>416</v>
      </c>
      <c r="E449" s="0" t="s">
        <v>418</v>
      </c>
      <c r="F449" s="0" t="n">
        <v>76711733</v>
      </c>
      <c r="G449" s="0" t="n">
        <v>0</v>
      </c>
      <c r="H449" s="0" t="n">
        <v>0</v>
      </c>
    </row>
    <row r="450" customFormat="false" ht="15" hidden="false" customHeight="false" outlineLevel="0" collapsed="false">
      <c r="A450" s="0" t="n">
        <v>449</v>
      </c>
      <c r="B450" s="0" t="s">
        <v>933</v>
      </c>
      <c r="C450" s="0" t="s">
        <v>494</v>
      </c>
      <c r="D450" s="0" t="s">
        <v>416</v>
      </c>
      <c r="E450" s="0" t="s">
        <v>418</v>
      </c>
      <c r="F450" s="0" t="n">
        <v>72824990</v>
      </c>
      <c r="G450" s="0" t="n">
        <v>0</v>
      </c>
      <c r="H450" s="0" t="n">
        <v>0</v>
      </c>
    </row>
    <row r="451" customFormat="false" ht="15" hidden="false" customHeight="false" outlineLevel="0" collapsed="false">
      <c r="A451" s="0" t="n">
        <v>450</v>
      </c>
      <c r="B451" s="0" t="s">
        <v>934</v>
      </c>
      <c r="C451" s="0" t="s">
        <v>494</v>
      </c>
      <c r="D451" s="0" t="s">
        <v>416</v>
      </c>
      <c r="E451" s="0" t="s">
        <v>418</v>
      </c>
      <c r="F451" s="0" t="n">
        <v>71768625</v>
      </c>
      <c r="G451" s="0" t="n">
        <v>0</v>
      </c>
      <c r="H451" s="0" t="n">
        <v>0</v>
      </c>
    </row>
    <row r="452" customFormat="false" ht="15" hidden="false" customHeight="false" outlineLevel="0" collapsed="false">
      <c r="A452" s="0" t="n">
        <v>451</v>
      </c>
      <c r="B452" s="0" t="s">
        <v>935</v>
      </c>
      <c r="C452" s="0" t="s">
        <v>494</v>
      </c>
      <c r="D452" s="0" t="s">
        <v>416</v>
      </c>
      <c r="E452" s="0" t="s">
        <v>418</v>
      </c>
      <c r="F452" s="0" t="n">
        <v>71029879</v>
      </c>
      <c r="G452" s="0" t="n">
        <v>0</v>
      </c>
      <c r="H452" s="0" t="n">
        <v>0</v>
      </c>
    </row>
    <row r="453" customFormat="false" ht="15" hidden="false" customHeight="false" outlineLevel="0" collapsed="false">
      <c r="A453" s="0" t="n">
        <v>452</v>
      </c>
      <c r="B453" s="0" t="s">
        <v>936</v>
      </c>
      <c r="C453" s="0" t="s">
        <v>494</v>
      </c>
      <c r="D453" s="0" t="s">
        <v>416</v>
      </c>
      <c r="E453" s="0" t="s">
        <v>418</v>
      </c>
      <c r="F453" s="0" t="n">
        <v>69527950</v>
      </c>
      <c r="G453" s="0" t="n">
        <v>0</v>
      </c>
      <c r="H453" s="0" t="n">
        <v>0</v>
      </c>
    </row>
    <row r="454" customFormat="false" ht="15" hidden="false" customHeight="false" outlineLevel="0" collapsed="false">
      <c r="A454" s="0" t="n">
        <v>453</v>
      </c>
      <c r="B454" s="0" t="s">
        <v>937</v>
      </c>
      <c r="C454" s="0" t="s">
        <v>494</v>
      </c>
      <c r="D454" s="0" t="s">
        <v>416</v>
      </c>
      <c r="E454" s="0" t="s">
        <v>418</v>
      </c>
      <c r="F454" s="0" t="n">
        <v>69432059</v>
      </c>
      <c r="G454" s="0" t="n">
        <v>0</v>
      </c>
      <c r="H454" s="0" t="n">
        <v>0</v>
      </c>
    </row>
    <row r="455" customFormat="false" ht="15" hidden="false" customHeight="false" outlineLevel="0" collapsed="false">
      <c r="A455" s="0" t="n">
        <v>454</v>
      </c>
      <c r="B455" s="0" t="s">
        <v>938</v>
      </c>
      <c r="C455" s="0" t="s">
        <v>494</v>
      </c>
      <c r="D455" s="0" t="s">
        <v>416</v>
      </c>
      <c r="E455" s="0" t="s">
        <v>418</v>
      </c>
      <c r="F455" s="0" t="n">
        <v>68862829</v>
      </c>
      <c r="G455" s="0" t="n">
        <v>0</v>
      </c>
      <c r="H455" s="0" t="n">
        <v>0</v>
      </c>
    </row>
    <row r="456" customFormat="false" ht="15" hidden="false" customHeight="false" outlineLevel="0" collapsed="false">
      <c r="A456" s="0" t="n">
        <v>455</v>
      </c>
      <c r="B456" s="0" t="s">
        <v>939</v>
      </c>
      <c r="C456" s="0" t="s">
        <v>494</v>
      </c>
      <c r="D456" s="0" t="s">
        <v>416</v>
      </c>
      <c r="E456" s="0" t="s">
        <v>418</v>
      </c>
      <c r="F456" s="0" t="n">
        <v>65874321</v>
      </c>
      <c r="G456" s="0" t="n">
        <v>0</v>
      </c>
      <c r="H456" s="0" t="n">
        <v>0</v>
      </c>
    </row>
    <row r="457" customFormat="false" ht="15" hidden="false" customHeight="false" outlineLevel="0" collapsed="false">
      <c r="A457" s="0" t="n">
        <v>456</v>
      </c>
      <c r="B457" s="0" t="s">
        <v>940</v>
      </c>
      <c r="C457" s="0" t="s">
        <v>494</v>
      </c>
      <c r="D457" s="0" t="s">
        <v>416</v>
      </c>
      <c r="E457" s="0" t="s">
        <v>418</v>
      </c>
      <c r="F457" s="0" t="n">
        <v>65259196</v>
      </c>
      <c r="G457" s="0" t="n">
        <v>0</v>
      </c>
      <c r="H457" s="0" t="n">
        <v>0</v>
      </c>
    </row>
    <row r="458" customFormat="false" ht="15" hidden="false" customHeight="false" outlineLevel="0" collapsed="false">
      <c r="A458" s="0" t="n">
        <v>457</v>
      </c>
      <c r="B458" s="0" t="s">
        <v>941</v>
      </c>
      <c r="C458" s="0" t="s">
        <v>494</v>
      </c>
      <c r="D458" s="0" t="s">
        <v>416</v>
      </c>
      <c r="E458" s="0" t="s">
        <v>418</v>
      </c>
      <c r="F458" s="0" t="n">
        <v>62946466</v>
      </c>
      <c r="G458" s="0" t="n">
        <v>0</v>
      </c>
      <c r="H458" s="0" t="n">
        <v>0</v>
      </c>
    </row>
    <row r="459" customFormat="false" ht="15" hidden="false" customHeight="false" outlineLevel="0" collapsed="false">
      <c r="A459" s="0" t="n">
        <v>458</v>
      </c>
      <c r="B459" s="0" t="s">
        <v>942</v>
      </c>
      <c r="C459" s="0" t="s">
        <v>494</v>
      </c>
      <c r="D459" s="0" t="s">
        <v>416</v>
      </c>
      <c r="E459" s="0" t="s">
        <v>418</v>
      </c>
      <c r="F459" s="0" t="n">
        <v>60305726</v>
      </c>
      <c r="G459" s="0" t="n">
        <v>0</v>
      </c>
      <c r="H459" s="0" t="n">
        <v>0</v>
      </c>
    </row>
    <row r="460" customFormat="false" ht="15" hidden="false" customHeight="false" outlineLevel="0" collapsed="false">
      <c r="A460" s="0" t="n">
        <v>459</v>
      </c>
      <c r="B460" s="0" t="s">
        <v>943</v>
      </c>
      <c r="C460" s="0" t="s">
        <v>494</v>
      </c>
      <c r="D460" s="0" t="s">
        <v>416</v>
      </c>
      <c r="E460" s="0" t="s">
        <v>418</v>
      </c>
      <c r="F460" s="0" t="n">
        <v>60089733</v>
      </c>
      <c r="G460" s="0" t="n">
        <v>0</v>
      </c>
      <c r="H460" s="0" t="n">
        <v>0</v>
      </c>
    </row>
    <row r="461" customFormat="false" ht="15" hidden="false" customHeight="false" outlineLevel="0" collapsed="false">
      <c r="A461" s="0" t="n">
        <v>460</v>
      </c>
      <c r="B461" s="0" t="s">
        <v>944</v>
      </c>
      <c r="C461" s="0" t="s">
        <v>494</v>
      </c>
      <c r="D461" s="0" t="s">
        <v>416</v>
      </c>
      <c r="E461" s="0" t="s">
        <v>418</v>
      </c>
      <c r="F461" s="0" t="n">
        <v>59707062</v>
      </c>
      <c r="G461" s="0" t="n">
        <v>0</v>
      </c>
      <c r="H461" s="0" t="n">
        <v>0</v>
      </c>
    </row>
    <row r="462" customFormat="false" ht="15" hidden="false" customHeight="false" outlineLevel="0" collapsed="false">
      <c r="A462" s="0" t="n">
        <v>461</v>
      </c>
      <c r="B462" s="0" t="s">
        <v>945</v>
      </c>
      <c r="C462" s="0" t="s">
        <v>494</v>
      </c>
      <c r="D462" s="0" t="s">
        <v>416</v>
      </c>
      <c r="E462" s="0" t="s">
        <v>418</v>
      </c>
      <c r="F462" s="0" t="n">
        <v>56938236</v>
      </c>
      <c r="G462" s="0" t="n">
        <v>0</v>
      </c>
      <c r="H462" s="0" t="n">
        <v>0</v>
      </c>
    </row>
    <row r="463" customFormat="false" ht="15" hidden="false" customHeight="false" outlineLevel="0" collapsed="false">
      <c r="A463" s="0" t="n">
        <v>462</v>
      </c>
      <c r="B463" s="0" t="s">
        <v>946</v>
      </c>
      <c r="C463" s="0" t="s">
        <v>494</v>
      </c>
      <c r="D463" s="0" t="s">
        <v>416</v>
      </c>
      <c r="E463" s="0" t="s">
        <v>418</v>
      </c>
      <c r="F463" s="0" t="n">
        <v>54567925</v>
      </c>
      <c r="G463" s="0" t="n">
        <v>0</v>
      </c>
      <c r="H463" s="0" t="n">
        <v>0</v>
      </c>
    </row>
    <row r="464" customFormat="false" ht="15" hidden="false" customHeight="false" outlineLevel="0" collapsed="false">
      <c r="A464" s="0" t="n">
        <v>463</v>
      </c>
      <c r="B464" s="0" t="s">
        <v>947</v>
      </c>
      <c r="C464" s="0" t="s">
        <v>494</v>
      </c>
      <c r="D464" s="0" t="s">
        <v>416</v>
      </c>
      <c r="E464" s="0" t="s">
        <v>418</v>
      </c>
      <c r="F464" s="0" t="n">
        <v>54492498</v>
      </c>
      <c r="G464" s="0" t="n">
        <v>0</v>
      </c>
      <c r="H464" s="0" t="n">
        <v>0</v>
      </c>
    </row>
    <row r="465" customFormat="false" ht="15" hidden="false" customHeight="false" outlineLevel="0" collapsed="false">
      <c r="A465" s="0" t="n">
        <v>464</v>
      </c>
      <c r="B465" s="0" t="s">
        <v>948</v>
      </c>
      <c r="C465" s="0" t="s">
        <v>494</v>
      </c>
      <c r="D465" s="0" t="s">
        <v>416</v>
      </c>
      <c r="E465" s="0" t="s">
        <v>418</v>
      </c>
      <c r="F465" s="0" t="n">
        <v>52932065</v>
      </c>
      <c r="G465" s="0" t="n">
        <v>0</v>
      </c>
      <c r="H465" s="0" t="n">
        <v>0</v>
      </c>
    </row>
    <row r="466" customFormat="false" ht="15" hidden="false" customHeight="false" outlineLevel="0" collapsed="false">
      <c r="A466" s="0" t="n">
        <v>465</v>
      </c>
      <c r="B466" s="0" t="s">
        <v>949</v>
      </c>
      <c r="C466" s="0" t="s">
        <v>494</v>
      </c>
      <c r="D466" s="0" t="s">
        <v>416</v>
      </c>
      <c r="E466" s="0" t="s">
        <v>418</v>
      </c>
      <c r="F466" s="0" t="n">
        <v>52213794</v>
      </c>
      <c r="G466" s="0" t="n">
        <v>0</v>
      </c>
      <c r="H466" s="0" t="n">
        <v>0</v>
      </c>
    </row>
    <row r="467" customFormat="false" ht="15" hidden="false" customHeight="false" outlineLevel="0" collapsed="false">
      <c r="A467" s="0" t="n">
        <v>466</v>
      </c>
      <c r="B467" s="0" t="s">
        <v>950</v>
      </c>
      <c r="C467" s="0" t="s">
        <v>494</v>
      </c>
      <c r="D467" s="0" t="s">
        <v>416</v>
      </c>
      <c r="E467" s="0" t="s">
        <v>418</v>
      </c>
      <c r="F467" s="0" t="n">
        <v>51082772</v>
      </c>
      <c r="G467" s="0" t="n">
        <v>0</v>
      </c>
      <c r="H467" s="0" t="n">
        <v>0</v>
      </c>
    </row>
    <row r="468" customFormat="false" ht="15" hidden="false" customHeight="false" outlineLevel="0" collapsed="false">
      <c r="A468" s="0" t="n">
        <v>467</v>
      </c>
      <c r="B468" s="0" t="s">
        <v>951</v>
      </c>
      <c r="C468" s="0" t="s">
        <v>494</v>
      </c>
      <c r="D468" s="0" t="s">
        <v>416</v>
      </c>
      <c r="E468" s="0" t="s">
        <v>418</v>
      </c>
      <c r="F468" s="0" t="n">
        <v>50625876</v>
      </c>
      <c r="G468" s="0" t="n">
        <v>0</v>
      </c>
      <c r="H468" s="0" t="n">
        <v>0</v>
      </c>
    </row>
    <row r="469" customFormat="false" ht="15" hidden="false" customHeight="false" outlineLevel="0" collapsed="false">
      <c r="A469" s="0" t="n">
        <v>468</v>
      </c>
      <c r="B469" s="0" t="s">
        <v>952</v>
      </c>
      <c r="C469" s="0" t="s">
        <v>494</v>
      </c>
      <c r="D469" s="0" t="s">
        <v>416</v>
      </c>
      <c r="E469" s="0" t="s">
        <v>418</v>
      </c>
      <c r="F469" s="0" t="n">
        <v>48069019</v>
      </c>
      <c r="G469" s="0" t="n">
        <v>0</v>
      </c>
      <c r="H469" s="0" t="n">
        <v>0</v>
      </c>
    </row>
    <row r="470" customFormat="false" ht="15" hidden="false" customHeight="false" outlineLevel="0" collapsed="false">
      <c r="A470" s="0" t="n">
        <v>469</v>
      </c>
      <c r="B470" s="0" t="s">
        <v>953</v>
      </c>
      <c r="C470" s="0" t="s">
        <v>494</v>
      </c>
      <c r="D470" s="0" t="s">
        <v>416</v>
      </c>
      <c r="E470" s="0" t="s">
        <v>418</v>
      </c>
      <c r="F470" s="0" t="n">
        <v>46241225</v>
      </c>
      <c r="G470" s="0" t="n">
        <v>0</v>
      </c>
      <c r="H470" s="0" t="n">
        <v>0</v>
      </c>
    </row>
    <row r="471" customFormat="false" ht="15" hidden="false" customHeight="false" outlineLevel="0" collapsed="false">
      <c r="A471" s="0" t="n">
        <v>470</v>
      </c>
      <c r="B471" s="0" t="s">
        <v>954</v>
      </c>
      <c r="C471" s="0" t="s">
        <v>494</v>
      </c>
      <c r="D471" s="0" t="s">
        <v>416</v>
      </c>
      <c r="E471" s="0" t="s">
        <v>418</v>
      </c>
      <c r="F471" s="0" t="n">
        <v>45552451</v>
      </c>
      <c r="G471" s="0" t="n">
        <v>0</v>
      </c>
      <c r="H471" s="0" t="n">
        <v>0</v>
      </c>
    </row>
    <row r="472" customFormat="false" ht="15" hidden="false" customHeight="false" outlineLevel="0" collapsed="false">
      <c r="A472" s="0" t="n">
        <v>471</v>
      </c>
      <c r="B472" s="0" t="s">
        <v>955</v>
      </c>
      <c r="C472" s="0" t="s">
        <v>494</v>
      </c>
      <c r="D472" s="0" t="s">
        <v>416</v>
      </c>
      <c r="E472" s="0" t="s">
        <v>418</v>
      </c>
      <c r="F472" s="0" t="n">
        <v>44165806</v>
      </c>
      <c r="G472" s="0" t="n">
        <v>0</v>
      </c>
      <c r="H472" s="0" t="n">
        <v>0</v>
      </c>
    </row>
    <row r="473" customFormat="false" ht="15" hidden="false" customHeight="false" outlineLevel="0" collapsed="false">
      <c r="A473" s="0" t="n">
        <v>472</v>
      </c>
      <c r="B473" s="0" t="s">
        <v>956</v>
      </c>
      <c r="C473" s="0" t="s">
        <v>494</v>
      </c>
      <c r="D473" s="0" t="s">
        <v>416</v>
      </c>
      <c r="E473" s="0" t="s">
        <v>418</v>
      </c>
      <c r="F473" s="0" t="n">
        <v>43495554</v>
      </c>
      <c r="G473" s="0" t="n">
        <v>0</v>
      </c>
      <c r="H473" s="0" t="n">
        <v>0</v>
      </c>
    </row>
    <row r="474" customFormat="false" ht="15" hidden="false" customHeight="false" outlineLevel="0" collapsed="false">
      <c r="A474" s="0" t="n">
        <v>473</v>
      </c>
      <c r="B474" s="0" t="s">
        <v>957</v>
      </c>
      <c r="C474" s="0" t="s">
        <v>494</v>
      </c>
      <c r="D474" s="0" t="s">
        <v>416</v>
      </c>
      <c r="E474" s="0" t="s">
        <v>418</v>
      </c>
      <c r="F474" s="0" t="n">
        <v>43362223</v>
      </c>
      <c r="G474" s="0" t="n">
        <v>0</v>
      </c>
      <c r="H474" s="0" t="n">
        <v>0</v>
      </c>
    </row>
    <row r="475" customFormat="false" ht="15" hidden="false" customHeight="false" outlineLevel="0" collapsed="false">
      <c r="A475" s="0" t="n">
        <v>474</v>
      </c>
      <c r="B475" s="0" t="s">
        <v>958</v>
      </c>
      <c r="C475" s="0" t="s">
        <v>494</v>
      </c>
      <c r="D475" s="0" t="s">
        <v>416</v>
      </c>
      <c r="E475" s="0" t="s">
        <v>418</v>
      </c>
      <c r="F475" s="0" t="n">
        <v>41199365</v>
      </c>
      <c r="G475" s="0" t="n">
        <v>0</v>
      </c>
      <c r="H475" s="0" t="n">
        <v>0</v>
      </c>
    </row>
    <row r="476" customFormat="false" ht="15" hidden="false" customHeight="false" outlineLevel="0" collapsed="false">
      <c r="A476" s="0" t="n">
        <v>475</v>
      </c>
      <c r="B476" s="0" t="s">
        <v>959</v>
      </c>
      <c r="C476" s="0" t="s">
        <v>494</v>
      </c>
      <c r="D476" s="0" t="s">
        <v>416</v>
      </c>
      <c r="E476" s="0" t="s">
        <v>418</v>
      </c>
      <c r="F476" s="0" t="n">
        <v>40990077</v>
      </c>
      <c r="G476" s="0" t="n">
        <v>0</v>
      </c>
      <c r="H476" s="0" t="n">
        <v>0</v>
      </c>
    </row>
    <row r="477" customFormat="false" ht="15" hidden="false" customHeight="false" outlineLevel="0" collapsed="false">
      <c r="A477" s="0" t="n">
        <v>476</v>
      </c>
      <c r="B477" s="0" t="s">
        <v>960</v>
      </c>
      <c r="C477" s="0" t="s">
        <v>494</v>
      </c>
      <c r="D477" s="0" t="s">
        <v>416</v>
      </c>
      <c r="E477" s="0" t="s">
        <v>418</v>
      </c>
      <c r="F477" s="0" t="n">
        <v>40931081</v>
      </c>
      <c r="G477" s="0" t="n">
        <v>0</v>
      </c>
      <c r="H477" s="0" t="n">
        <v>0</v>
      </c>
    </row>
    <row r="478" customFormat="false" ht="15" hidden="false" customHeight="false" outlineLevel="0" collapsed="false">
      <c r="A478" s="0" t="n">
        <v>477</v>
      </c>
      <c r="B478" s="0" t="s">
        <v>961</v>
      </c>
      <c r="C478" s="0" t="s">
        <v>494</v>
      </c>
      <c r="D478" s="0" t="s">
        <v>416</v>
      </c>
      <c r="E478" s="0" t="s">
        <v>418</v>
      </c>
      <c r="F478" s="0" t="n">
        <v>39537831</v>
      </c>
      <c r="G478" s="0" t="n">
        <v>0</v>
      </c>
      <c r="H478" s="0" t="n">
        <v>0</v>
      </c>
    </row>
    <row r="479" customFormat="false" ht="15" hidden="false" customHeight="false" outlineLevel="0" collapsed="false">
      <c r="A479" s="0" t="n">
        <v>478</v>
      </c>
      <c r="B479" s="0" t="s">
        <v>962</v>
      </c>
      <c r="C479" s="0" t="s">
        <v>494</v>
      </c>
      <c r="D479" s="0" t="s">
        <v>416</v>
      </c>
      <c r="E479" s="0" t="s">
        <v>418</v>
      </c>
      <c r="F479" s="0" t="n">
        <v>39370577</v>
      </c>
      <c r="G479" s="0" t="n">
        <v>0</v>
      </c>
      <c r="H479" s="0" t="n">
        <v>0</v>
      </c>
    </row>
    <row r="480" customFormat="false" ht="15" hidden="false" customHeight="false" outlineLevel="0" collapsed="false">
      <c r="A480" s="0" t="n">
        <v>479</v>
      </c>
      <c r="B480" s="0" t="s">
        <v>963</v>
      </c>
      <c r="C480" s="0" t="s">
        <v>494</v>
      </c>
      <c r="D480" s="0" t="s">
        <v>416</v>
      </c>
      <c r="E480" s="0" t="s">
        <v>418</v>
      </c>
      <c r="F480" s="0" t="n">
        <v>38365485</v>
      </c>
      <c r="G480" s="0" t="n">
        <v>0</v>
      </c>
      <c r="H480" s="0" t="n">
        <v>0</v>
      </c>
    </row>
    <row r="481" customFormat="false" ht="15" hidden="false" customHeight="false" outlineLevel="0" collapsed="false">
      <c r="A481" s="0" t="n">
        <v>480</v>
      </c>
      <c r="B481" s="0" t="s">
        <v>964</v>
      </c>
      <c r="C481" s="0" t="s">
        <v>494</v>
      </c>
      <c r="D481" s="0" t="s">
        <v>416</v>
      </c>
      <c r="E481" s="0" t="s">
        <v>418</v>
      </c>
      <c r="F481" s="0" t="n">
        <v>38350077</v>
      </c>
      <c r="G481" s="0" t="n">
        <v>0</v>
      </c>
      <c r="H481" s="0" t="n">
        <v>0</v>
      </c>
    </row>
    <row r="482" customFormat="false" ht="15" hidden="false" customHeight="false" outlineLevel="0" collapsed="false">
      <c r="A482" s="0" t="n">
        <v>481</v>
      </c>
      <c r="B482" s="0" t="s">
        <v>965</v>
      </c>
      <c r="C482" s="0" t="s">
        <v>494</v>
      </c>
      <c r="D482" s="0" t="s">
        <v>416</v>
      </c>
      <c r="E482" s="0" t="s">
        <v>418</v>
      </c>
      <c r="F482" s="0" t="n">
        <v>38130669</v>
      </c>
      <c r="G482" s="0" t="n">
        <v>0</v>
      </c>
      <c r="H482" s="0" t="n">
        <v>0</v>
      </c>
    </row>
    <row r="483" customFormat="false" ht="15" hidden="false" customHeight="false" outlineLevel="0" collapsed="false">
      <c r="A483" s="0" t="n">
        <v>482</v>
      </c>
      <c r="B483" s="0" t="s">
        <v>966</v>
      </c>
      <c r="C483" s="0" t="s">
        <v>494</v>
      </c>
      <c r="D483" s="0" t="s">
        <v>416</v>
      </c>
      <c r="E483" s="0" t="s">
        <v>418</v>
      </c>
      <c r="F483" s="0" t="n">
        <v>37199070</v>
      </c>
      <c r="G483" s="0" t="n">
        <v>0</v>
      </c>
      <c r="H483" s="0" t="n">
        <v>0</v>
      </c>
    </row>
    <row r="484" customFormat="false" ht="15" hidden="false" customHeight="false" outlineLevel="0" collapsed="false">
      <c r="A484" s="0" t="n">
        <v>483</v>
      </c>
      <c r="B484" s="0" t="s">
        <v>967</v>
      </c>
      <c r="C484" s="0" t="s">
        <v>494</v>
      </c>
      <c r="D484" s="0" t="s">
        <v>416</v>
      </c>
      <c r="E484" s="0" t="s">
        <v>418</v>
      </c>
      <c r="F484" s="0" t="n">
        <v>37110359</v>
      </c>
      <c r="G484" s="0" t="n">
        <v>0</v>
      </c>
      <c r="H484" s="0" t="n">
        <v>0</v>
      </c>
    </row>
    <row r="485" customFormat="false" ht="15" hidden="false" customHeight="false" outlineLevel="0" collapsed="false">
      <c r="A485" s="0" t="n">
        <v>484</v>
      </c>
      <c r="B485" s="0" t="s">
        <v>968</v>
      </c>
      <c r="C485" s="0" t="s">
        <v>494</v>
      </c>
      <c r="D485" s="0" t="s">
        <v>416</v>
      </c>
      <c r="E485" s="0" t="s">
        <v>418</v>
      </c>
      <c r="F485" s="0" t="n">
        <v>36570910</v>
      </c>
      <c r="G485" s="0" t="n">
        <v>0</v>
      </c>
      <c r="H485" s="0" t="n">
        <v>0</v>
      </c>
    </row>
    <row r="486" customFormat="false" ht="15" hidden="false" customHeight="false" outlineLevel="0" collapsed="false">
      <c r="A486" s="0" t="n">
        <v>485</v>
      </c>
      <c r="B486" s="0" t="s">
        <v>969</v>
      </c>
      <c r="C486" s="0" t="s">
        <v>494</v>
      </c>
      <c r="D486" s="0" t="s">
        <v>416</v>
      </c>
      <c r="E486" s="0" t="s">
        <v>418</v>
      </c>
      <c r="F486" s="0" t="n">
        <v>36531061</v>
      </c>
      <c r="G486" s="0" t="n">
        <v>0</v>
      </c>
      <c r="H486" s="0" t="n">
        <v>0</v>
      </c>
    </row>
    <row r="487" customFormat="false" ht="15" hidden="false" customHeight="false" outlineLevel="0" collapsed="false">
      <c r="A487" s="0" t="n">
        <v>486</v>
      </c>
      <c r="B487" s="0" t="s">
        <v>970</v>
      </c>
      <c r="C487" s="0" t="s">
        <v>494</v>
      </c>
      <c r="D487" s="0" t="s">
        <v>416</v>
      </c>
      <c r="E487" s="0" t="s">
        <v>418</v>
      </c>
      <c r="F487" s="0" t="n">
        <v>36337836</v>
      </c>
      <c r="G487" s="0" t="n">
        <v>0</v>
      </c>
      <c r="H487" s="0" t="n">
        <v>0</v>
      </c>
    </row>
    <row r="488" customFormat="false" ht="15" hidden="false" customHeight="false" outlineLevel="0" collapsed="false">
      <c r="A488" s="0" t="n">
        <v>487</v>
      </c>
      <c r="B488" s="0" t="s">
        <v>971</v>
      </c>
      <c r="C488" s="0" t="s">
        <v>494</v>
      </c>
      <c r="D488" s="0" t="s">
        <v>416</v>
      </c>
      <c r="E488" s="0" t="s">
        <v>418</v>
      </c>
      <c r="F488" s="0" t="n">
        <v>35928231</v>
      </c>
      <c r="G488" s="0" t="n">
        <v>0</v>
      </c>
      <c r="H488" s="0" t="n">
        <v>0</v>
      </c>
    </row>
    <row r="489" customFormat="false" ht="15" hidden="false" customHeight="false" outlineLevel="0" collapsed="false">
      <c r="A489" s="0" t="n">
        <v>488</v>
      </c>
      <c r="B489" s="0" t="s">
        <v>972</v>
      </c>
      <c r="C489" s="0" t="s">
        <v>494</v>
      </c>
      <c r="D489" s="0" t="s">
        <v>416</v>
      </c>
      <c r="E489" s="0" t="s">
        <v>418</v>
      </c>
      <c r="F489" s="0" t="n">
        <v>35542447</v>
      </c>
      <c r="G489" s="0" t="n">
        <v>0</v>
      </c>
      <c r="H489" s="0" t="n">
        <v>0</v>
      </c>
    </row>
    <row r="490" customFormat="false" ht="15" hidden="false" customHeight="false" outlineLevel="0" collapsed="false">
      <c r="A490" s="0" t="n">
        <v>489</v>
      </c>
      <c r="B490" s="0" t="s">
        <v>973</v>
      </c>
      <c r="C490" s="0" t="s">
        <v>494</v>
      </c>
      <c r="D490" s="0" t="s">
        <v>416</v>
      </c>
      <c r="E490" s="0" t="s">
        <v>418</v>
      </c>
      <c r="F490" s="0" t="n">
        <v>35186565</v>
      </c>
      <c r="G490" s="0" t="n">
        <v>0</v>
      </c>
      <c r="H490" s="0" t="n">
        <v>0</v>
      </c>
    </row>
    <row r="491" customFormat="false" ht="15" hidden="false" customHeight="false" outlineLevel="0" collapsed="false">
      <c r="A491" s="0" t="n">
        <v>490</v>
      </c>
      <c r="B491" s="0" t="s">
        <v>974</v>
      </c>
      <c r="C491" s="0" t="s">
        <v>494</v>
      </c>
      <c r="D491" s="0" t="s">
        <v>416</v>
      </c>
      <c r="E491" s="0" t="s">
        <v>418</v>
      </c>
      <c r="F491" s="0" t="n">
        <v>35003794</v>
      </c>
      <c r="G491" s="0" t="n">
        <v>0</v>
      </c>
      <c r="H491" s="0" t="n">
        <v>0</v>
      </c>
    </row>
    <row r="492" customFormat="false" ht="15" hidden="false" customHeight="false" outlineLevel="0" collapsed="false">
      <c r="A492" s="0" t="n">
        <v>491</v>
      </c>
      <c r="B492" s="0" t="s">
        <v>975</v>
      </c>
      <c r="C492" s="0" t="s">
        <v>494</v>
      </c>
      <c r="D492" s="0" t="s">
        <v>416</v>
      </c>
      <c r="E492" s="0" t="s">
        <v>418</v>
      </c>
      <c r="F492" s="0" t="n">
        <v>34585471</v>
      </c>
      <c r="G492" s="0" t="n">
        <v>0</v>
      </c>
      <c r="H492" s="0" t="n">
        <v>0</v>
      </c>
    </row>
    <row r="493" customFormat="false" ht="15" hidden="false" customHeight="false" outlineLevel="0" collapsed="false">
      <c r="A493" s="0" t="n">
        <v>492</v>
      </c>
      <c r="B493" s="0" t="s">
        <v>976</v>
      </c>
      <c r="C493" s="0" t="s">
        <v>494</v>
      </c>
      <c r="D493" s="0" t="s">
        <v>416</v>
      </c>
      <c r="E493" s="0" t="s">
        <v>418</v>
      </c>
      <c r="F493" s="0" t="n">
        <v>34069869</v>
      </c>
      <c r="G493" s="0" t="n">
        <v>0</v>
      </c>
      <c r="H493" s="0" t="n">
        <v>0</v>
      </c>
    </row>
    <row r="494" customFormat="false" ht="15" hidden="false" customHeight="false" outlineLevel="0" collapsed="false">
      <c r="A494" s="0" t="n">
        <v>493</v>
      </c>
      <c r="B494" s="0" t="s">
        <v>977</v>
      </c>
      <c r="C494" s="0" t="s">
        <v>494</v>
      </c>
      <c r="D494" s="0" t="s">
        <v>416</v>
      </c>
      <c r="E494" s="0" t="s">
        <v>418</v>
      </c>
      <c r="F494" s="0" t="n">
        <v>33310585</v>
      </c>
      <c r="G494" s="0" t="n">
        <v>0</v>
      </c>
      <c r="H494" s="0" t="n">
        <v>0</v>
      </c>
    </row>
    <row r="495" customFormat="false" ht="15" hidden="false" customHeight="false" outlineLevel="0" collapsed="false">
      <c r="A495" s="0" t="n">
        <v>494</v>
      </c>
      <c r="B495" s="0" t="s">
        <v>978</v>
      </c>
      <c r="C495" s="0" t="s">
        <v>494</v>
      </c>
      <c r="D495" s="0" t="s">
        <v>416</v>
      </c>
      <c r="E495" s="0" t="s">
        <v>418</v>
      </c>
      <c r="F495" s="0" t="n">
        <v>32934340</v>
      </c>
      <c r="G495" s="0" t="n">
        <v>0</v>
      </c>
      <c r="H495" s="0" t="n">
        <v>0</v>
      </c>
    </row>
    <row r="496" customFormat="false" ht="15" hidden="false" customHeight="false" outlineLevel="0" collapsed="false">
      <c r="A496" s="0" t="n">
        <v>495</v>
      </c>
      <c r="B496" s="0" t="s">
        <v>979</v>
      </c>
      <c r="C496" s="0" t="s">
        <v>494</v>
      </c>
      <c r="D496" s="0" t="s">
        <v>416</v>
      </c>
      <c r="E496" s="0" t="s">
        <v>418</v>
      </c>
      <c r="F496" s="0" t="n">
        <v>32901253</v>
      </c>
      <c r="G496" s="0" t="n">
        <v>0</v>
      </c>
      <c r="H496" s="0" t="n">
        <v>0</v>
      </c>
    </row>
    <row r="497" customFormat="false" ht="15" hidden="false" customHeight="false" outlineLevel="0" collapsed="false">
      <c r="A497" s="0" t="n">
        <v>496</v>
      </c>
      <c r="B497" s="0" t="s">
        <v>980</v>
      </c>
      <c r="C497" s="0" t="s">
        <v>494</v>
      </c>
      <c r="D497" s="0" t="s">
        <v>416</v>
      </c>
      <c r="E497" s="0" t="s">
        <v>418</v>
      </c>
      <c r="F497" s="0" t="n">
        <v>32545239</v>
      </c>
      <c r="G497" s="0" t="n">
        <v>0</v>
      </c>
      <c r="H497" s="0" t="n">
        <v>0</v>
      </c>
    </row>
    <row r="498" customFormat="false" ht="15" hidden="false" customHeight="false" outlineLevel="0" collapsed="false">
      <c r="A498" s="0" t="n">
        <v>497</v>
      </c>
      <c r="B498" s="0" t="s">
        <v>981</v>
      </c>
      <c r="C498" s="0" t="s">
        <v>494</v>
      </c>
      <c r="D498" s="0" t="s">
        <v>416</v>
      </c>
      <c r="E498" s="0" t="s">
        <v>418</v>
      </c>
      <c r="F498" s="0" t="n">
        <v>31526205</v>
      </c>
      <c r="G498" s="0" t="n">
        <v>0</v>
      </c>
      <c r="H498" s="0" t="n">
        <v>0</v>
      </c>
    </row>
    <row r="499" customFormat="false" ht="15" hidden="false" customHeight="false" outlineLevel="0" collapsed="false">
      <c r="A499" s="0" t="n">
        <v>498</v>
      </c>
      <c r="B499" s="0" t="s">
        <v>982</v>
      </c>
      <c r="C499" s="0" t="s">
        <v>494</v>
      </c>
      <c r="D499" s="0" t="s">
        <v>416</v>
      </c>
      <c r="E499" s="0" t="s">
        <v>418</v>
      </c>
      <c r="F499" s="0" t="n">
        <v>31091624</v>
      </c>
      <c r="G499" s="0" t="n">
        <v>0</v>
      </c>
      <c r="H499" s="0" t="n">
        <v>0</v>
      </c>
    </row>
    <row r="500" customFormat="false" ht="15" hidden="false" customHeight="false" outlineLevel="0" collapsed="false">
      <c r="A500" s="0" t="n">
        <v>499</v>
      </c>
      <c r="B500" s="0" t="s">
        <v>983</v>
      </c>
      <c r="C500" s="0" t="s">
        <v>494</v>
      </c>
      <c r="D500" s="0" t="s">
        <v>416</v>
      </c>
      <c r="E500" s="0" t="s">
        <v>418</v>
      </c>
      <c r="F500" s="0" t="n">
        <v>30750255</v>
      </c>
      <c r="G500" s="0" t="n">
        <v>0</v>
      </c>
      <c r="H500" s="0" t="n">
        <v>0</v>
      </c>
    </row>
    <row r="501" customFormat="false" ht="15" hidden="false" customHeight="false" outlineLevel="0" collapsed="false">
      <c r="A501" s="0" t="n">
        <v>500</v>
      </c>
      <c r="B501" s="0" t="s">
        <v>984</v>
      </c>
      <c r="C501" s="0" t="s">
        <v>494</v>
      </c>
      <c r="D501" s="0" t="s">
        <v>416</v>
      </c>
      <c r="E501" s="0" t="s">
        <v>418</v>
      </c>
      <c r="F501" s="0" t="n">
        <v>30170981</v>
      </c>
      <c r="G501" s="0" t="n">
        <v>0</v>
      </c>
      <c r="H501" s="0" t="n">
        <v>0</v>
      </c>
    </row>
    <row r="502" customFormat="false" ht="15" hidden="false" customHeight="false" outlineLevel="0" collapsed="false">
      <c r="A502" s="0" t="n">
        <v>501</v>
      </c>
      <c r="B502" s="0" t="s">
        <v>985</v>
      </c>
      <c r="C502" s="0" t="s">
        <v>494</v>
      </c>
      <c r="D502" s="0" t="s">
        <v>416</v>
      </c>
      <c r="E502" s="0" t="s">
        <v>418</v>
      </c>
      <c r="F502" s="0" t="n">
        <v>29878266</v>
      </c>
      <c r="G502" s="0" t="n">
        <v>0</v>
      </c>
      <c r="H502" s="0" t="n">
        <v>0</v>
      </c>
    </row>
    <row r="503" customFormat="false" ht="15" hidden="false" customHeight="false" outlineLevel="0" collapsed="false">
      <c r="A503" s="0" t="n">
        <v>502</v>
      </c>
      <c r="B503" s="0" t="s">
        <v>986</v>
      </c>
      <c r="C503" s="0" t="s">
        <v>494</v>
      </c>
      <c r="D503" s="0" t="s">
        <v>416</v>
      </c>
      <c r="E503" s="0" t="s">
        <v>418</v>
      </c>
      <c r="F503" s="0" t="n">
        <v>29782653</v>
      </c>
      <c r="G503" s="0" t="n">
        <v>0</v>
      </c>
      <c r="H503" s="0" t="n">
        <v>0</v>
      </c>
    </row>
    <row r="504" customFormat="false" ht="15" hidden="false" customHeight="false" outlineLevel="0" collapsed="false">
      <c r="A504" s="0" t="n">
        <v>503</v>
      </c>
      <c r="B504" s="0" t="s">
        <v>987</v>
      </c>
      <c r="C504" s="0" t="s">
        <v>494</v>
      </c>
      <c r="D504" s="0" t="s">
        <v>416</v>
      </c>
      <c r="E504" s="0" t="s">
        <v>418</v>
      </c>
      <c r="F504" s="0" t="n">
        <v>29700851</v>
      </c>
      <c r="G504" s="0" t="n">
        <v>0</v>
      </c>
      <c r="H504" s="0" t="n">
        <v>0</v>
      </c>
    </row>
    <row r="505" customFormat="false" ht="15" hidden="false" customHeight="false" outlineLevel="0" collapsed="false">
      <c r="A505" s="0" t="n">
        <v>504</v>
      </c>
      <c r="B505" s="0" t="s">
        <v>988</v>
      </c>
      <c r="C505" s="0" t="s">
        <v>494</v>
      </c>
      <c r="D505" s="0" t="s">
        <v>416</v>
      </c>
      <c r="E505" s="0" t="s">
        <v>418</v>
      </c>
      <c r="F505" s="0" t="n">
        <v>29454267</v>
      </c>
      <c r="G505" s="0" t="n">
        <v>0</v>
      </c>
      <c r="H505" s="0" t="n">
        <v>0</v>
      </c>
    </row>
    <row r="506" customFormat="false" ht="15" hidden="false" customHeight="false" outlineLevel="0" collapsed="false">
      <c r="A506" s="0" t="n">
        <v>505</v>
      </c>
      <c r="B506" s="0" t="s">
        <v>989</v>
      </c>
      <c r="C506" s="0" t="s">
        <v>494</v>
      </c>
      <c r="D506" s="0" t="s">
        <v>416</v>
      </c>
      <c r="E506" s="0" t="s">
        <v>418</v>
      </c>
      <c r="F506" s="0" t="n">
        <v>29024241</v>
      </c>
      <c r="G506" s="0" t="n">
        <v>0</v>
      </c>
      <c r="H506" s="0" t="n">
        <v>0</v>
      </c>
    </row>
    <row r="507" customFormat="false" ht="15" hidden="false" customHeight="false" outlineLevel="0" collapsed="false">
      <c r="A507" s="0" t="n">
        <v>506</v>
      </c>
      <c r="B507" s="0" t="s">
        <v>990</v>
      </c>
      <c r="C507" s="0" t="s">
        <v>494</v>
      </c>
      <c r="D507" s="0" t="s">
        <v>416</v>
      </c>
      <c r="E507" s="0" t="s">
        <v>418</v>
      </c>
      <c r="F507" s="0" t="n">
        <v>28767588</v>
      </c>
      <c r="G507" s="0" t="n">
        <v>0</v>
      </c>
      <c r="H507" s="0" t="n">
        <v>0</v>
      </c>
    </row>
    <row r="508" customFormat="false" ht="15" hidden="false" customHeight="false" outlineLevel="0" collapsed="false">
      <c r="A508" s="0" t="n">
        <v>507</v>
      </c>
      <c r="B508" s="0" t="s">
        <v>991</v>
      </c>
      <c r="C508" s="0" t="s">
        <v>494</v>
      </c>
      <c r="D508" s="0" t="s">
        <v>416</v>
      </c>
      <c r="E508" s="0" t="s">
        <v>418</v>
      </c>
      <c r="F508" s="0" t="n">
        <v>28690832</v>
      </c>
      <c r="G508" s="0" t="n">
        <v>0</v>
      </c>
      <c r="H508" s="0" t="n">
        <v>0</v>
      </c>
    </row>
    <row r="509" customFormat="false" ht="15" hidden="false" customHeight="false" outlineLevel="0" collapsed="false">
      <c r="A509" s="0" t="n">
        <v>508</v>
      </c>
      <c r="B509" s="0" t="s">
        <v>992</v>
      </c>
      <c r="C509" s="0" t="s">
        <v>494</v>
      </c>
      <c r="D509" s="0" t="s">
        <v>416</v>
      </c>
      <c r="E509" s="0" t="s">
        <v>418</v>
      </c>
      <c r="F509" s="0" t="n">
        <v>28645999</v>
      </c>
      <c r="G509" s="0" t="n">
        <v>0</v>
      </c>
      <c r="H509" s="0" t="n">
        <v>0</v>
      </c>
    </row>
    <row r="510" customFormat="false" ht="15" hidden="false" customHeight="false" outlineLevel="0" collapsed="false">
      <c r="A510" s="0" t="n">
        <v>509</v>
      </c>
      <c r="B510" s="0" t="s">
        <v>993</v>
      </c>
      <c r="C510" s="0" t="s">
        <v>494</v>
      </c>
      <c r="D510" s="0" t="s">
        <v>416</v>
      </c>
      <c r="E510" s="0" t="s">
        <v>418</v>
      </c>
      <c r="F510" s="0" t="n">
        <v>28597710</v>
      </c>
      <c r="G510" s="0" t="n">
        <v>0</v>
      </c>
      <c r="H510" s="0" t="n">
        <v>0</v>
      </c>
    </row>
    <row r="511" customFormat="false" ht="15" hidden="false" customHeight="false" outlineLevel="0" collapsed="false">
      <c r="A511" s="0" t="n">
        <v>510</v>
      </c>
      <c r="B511" s="0" t="s">
        <v>994</v>
      </c>
      <c r="C511" s="0" t="s">
        <v>494</v>
      </c>
      <c r="D511" s="0" t="s">
        <v>416</v>
      </c>
      <c r="E511" s="0" t="s">
        <v>418</v>
      </c>
      <c r="F511" s="0" t="n">
        <v>28316757</v>
      </c>
      <c r="G511" s="0" t="n">
        <v>0</v>
      </c>
      <c r="H511" s="0" t="n">
        <v>0</v>
      </c>
    </row>
    <row r="512" customFormat="false" ht="15" hidden="false" customHeight="false" outlineLevel="0" collapsed="false">
      <c r="A512" s="0" t="n">
        <v>511</v>
      </c>
      <c r="B512" s="0" t="s">
        <v>995</v>
      </c>
      <c r="C512" s="0" t="s">
        <v>494</v>
      </c>
      <c r="D512" s="0" t="s">
        <v>416</v>
      </c>
      <c r="E512" s="0" t="s">
        <v>418</v>
      </c>
      <c r="F512" s="0" t="n">
        <v>28288292</v>
      </c>
      <c r="G512" s="0" t="n">
        <v>0</v>
      </c>
      <c r="H512" s="0" t="n">
        <v>0</v>
      </c>
    </row>
    <row r="513" customFormat="false" ht="15" hidden="false" customHeight="false" outlineLevel="0" collapsed="false">
      <c r="A513" s="0" t="n">
        <v>512</v>
      </c>
      <c r="B513" s="0" t="s">
        <v>996</v>
      </c>
      <c r="C513" s="0" t="s">
        <v>494</v>
      </c>
      <c r="D513" s="0" t="s">
        <v>416</v>
      </c>
      <c r="E513" s="0" t="s">
        <v>418</v>
      </c>
      <c r="F513" s="0" t="n">
        <v>27725453</v>
      </c>
      <c r="G513" s="0" t="n">
        <v>0</v>
      </c>
      <c r="H513" s="0" t="n">
        <v>0</v>
      </c>
    </row>
    <row r="514" customFormat="false" ht="15" hidden="false" customHeight="false" outlineLevel="0" collapsed="false">
      <c r="A514" s="0" t="n">
        <v>513</v>
      </c>
      <c r="B514" s="0" t="s">
        <v>997</v>
      </c>
      <c r="C514" s="0" t="s">
        <v>494</v>
      </c>
      <c r="D514" s="0" t="s">
        <v>416</v>
      </c>
      <c r="E514" s="0" t="s">
        <v>418</v>
      </c>
      <c r="F514" s="0" t="n">
        <v>26489123</v>
      </c>
      <c r="G514" s="0" t="n">
        <v>0</v>
      </c>
      <c r="H514" s="0" t="n">
        <v>0</v>
      </c>
    </row>
    <row r="515" customFormat="false" ht="15" hidden="false" customHeight="false" outlineLevel="0" collapsed="false">
      <c r="A515" s="0" t="n">
        <v>514</v>
      </c>
      <c r="B515" s="0" t="s">
        <v>998</v>
      </c>
      <c r="C515" s="0" t="s">
        <v>494</v>
      </c>
      <c r="D515" s="0" t="s">
        <v>416</v>
      </c>
      <c r="E515" s="0" t="s">
        <v>418</v>
      </c>
      <c r="F515" s="0" t="n">
        <v>26422254</v>
      </c>
      <c r="G515" s="0" t="n">
        <v>0</v>
      </c>
      <c r="H515" s="0" t="n">
        <v>0</v>
      </c>
    </row>
    <row r="516" customFormat="false" ht="15" hidden="false" customHeight="false" outlineLevel="0" collapsed="false">
      <c r="A516" s="0" t="n">
        <v>515</v>
      </c>
      <c r="B516" s="0" t="s">
        <v>999</v>
      </c>
      <c r="C516" s="0" t="s">
        <v>494</v>
      </c>
      <c r="D516" s="0" t="s">
        <v>416</v>
      </c>
      <c r="E516" s="0" t="s">
        <v>418</v>
      </c>
      <c r="F516" s="0" t="n">
        <v>26264419</v>
      </c>
      <c r="G516" s="0" t="n">
        <v>0</v>
      </c>
      <c r="H516" s="0" t="n">
        <v>0</v>
      </c>
    </row>
    <row r="517" customFormat="false" ht="15" hidden="false" customHeight="false" outlineLevel="0" collapsed="false">
      <c r="A517" s="0" t="n">
        <v>516</v>
      </c>
      <c r="B517" s="0" t="s">
        <v>1000</v>
      </c>
      <c r="C517" s="0" t="s">
        <v>494</v>
      </c>
      <c r="D517" s="0" t="s">
        <v>416</v>
      </c>
      <c r="E517" s="0" t="s">
        <v>418</v>
      </c>
      <c r="F517" s="0" t="n">
        <v>25971431</v>
      </c>
      <c r="G517" s="0" t="n">
        <v>0</v>
      </c>
      <c r="H517" s="0" t="n">
        <v>0</v>
      </c>
    </row>
    <row r="518" customFormat="false" ht="15" hidden="false" customHeight="false" outlineLevel="0" collapsed="false">
      <c r="A518" s="0" t="n">
        <v>517</v>
      </c>
      <c r="B518" s="0" t="s">
        <v>1001</v>
      </c>
      <c r="C518" s="0" t="s">
        <v>494</v>
      </c>
      <c r="D518" s="0" t="s">
        <v>416</v>
      </c>
      <c r="E518" s="0" t="s">
        <v>418</v>
      </c>
      <c r="F518" s="0" t="n">
        <v>25938394</v>
      </c>
      <c r="G518" s="0" t="n">
        <v>0</v>
      </c>
      <c r="H518" s="0" t="n">
        <v>0</v>
      </c>
    </row>
    <row r="519" customFormat="false" ht="15" hidden="false" customHeight="false" outlineLevel="0" collapsed="false">
      <c r="A519" s="0" t="n">
        <v>518</v>
      </c>
      <c r="B519" s="0" t="s">
        <v>1002</v>
      </c>
      <c r="C519" s="0" t="s">
        <v>494</v>
      </c>
      <c r="D519" s="0" t="s">
        <v>416</v>
      </c>
      <c r="E519" s="0" t="s">
        <v>418</v>
      </c>
      <c r="F519" s="0" t="n">
        <v>25678243</v>
      </c>
      <c r="G519" s="0" t="n">
        <v>0</v>
      </c>
      <c r="H519" s="0" t="n">
        <v>0</v>
      </c>
    </row>
    <row r="520" customFormat="false" ht="15" hidden="false" customHeight="false" outlineLevel="0" collapsed="false">
      <c r="A520" s="0" t="n">
        <v>519</v>
      </c>
      <c r="B520" s="0" t="s">
        <v>1003</v>
      </c>
      <c r="C520" s="0" t="s">
        <v>494</v>
      </c>
      <c r="D520" s="0" t="s">
        <v>416</v>
      </c>
      <c r="E520" s="0" t="s">
        <v>418</v>
      </c>
      <c r="F520" s="0" t="n">
        <v>25507014</v>
      </c>
      <c r="G520" s="0" t="n">
        <v>0</v>
      </c>
      <c r="H520" s="0" t="n">
        <v>0</v>
      </c>
    </row>
    <row r="521" customFormat="false" ht="15" hidden="false" customHeight="false" outlineLevel="0" collapsed="false">
      <c r="A521" s="0" t="n">
        <v>520</v>
      </c>
      <c r="B521" s="0" t="s">
        <v>1004</v>
      </c>
      <c r="C521" s="0" t="s">
        <v>494</v>
      </c>
      <c r="D521" s="0" t="s">
        <v>416</v>
      </c>
      <c r="E521" s="0" t="s">
        <v>418</v>
      </c>
      <c r="F521" s="0" t="n">
        <v>25122612</v>
      </c>
      <c r="G521" s="0" t="n">
        <v>0</v>
      </c>
      <c r="H521" s="0" t="n">
        <v>0</v>
      </c>
    </row>
    <row r="522" customFormat="false" ht="15" hidden="false" customHeight="false" outlineLevel="0" collapsed="false">
      <c r="A522" s="0" t="n">
        <v>521</v>
      </c>
      <c r="B522" s="0" t="s">
        <v>1005</v>
      </c>
      <c r="C522" s="0" t="s">
        <v>494</v>
      </c>
      <c r="D522" s="0" t="s">
        <v>416</v>
      </c>
      <c r="E522" s="0" t="s">
        <v>418</v>
      </c>
      <c r="F522" s="0" t="n">
        <v>25117897</v>
      </c>
      <c r="G522" s="0" t="n">
        <v>0</v>
      </c>
      <c r="H522" s="0" t="n">
        <v>0</v>
      </c>
    </row>
    <row r="523" customFormat="false" ht="15" hidden="false" customHeight="false" outlineLevel="0" collapsed="false">
      <c r="A523" s="0" t="n">
        <v>522</v>
      </c>
      <c r="B523" s="0" t="s">
        <v>1006</v>
      </c>
      <c r="C523" s="0" t="s">
        <v>494</v>
      </c>
      <c r="D523" s="0" t="s">
        <v>416</v>
      </c>
      <c r="E523" s="0" t="s">
        <v>418</v>
      </c>
      <c r="F523" s="0" t="n">
        <v>25018868</v>
      </c>
      <c r="G523" s="0" t="n">
        <v>0</v>
      </c>
      <c r="H523" s="0" t="n">
        <v>0</v>
      </c>
    </row>
    <row r="524" customFormat="false" ht="15" hidden="false" customHeight="false" outlineLevel="0" collapsed="false">
      <c r="A524" s="0" t="n">
        <v>523</v>
      </c>
      <c r="B524" s="0" t="s">
        <v>1007</v>
      </c>
      <c r="C524" s="0" t="s">
        <v>494</v>
      </c>
      <c r="D524" s="0" t="s">
        <v>416</v>
      </c>
      <c r="E524" s="0" t="s">
        <v>418</v>
      </c>
      <c r="F524" s="0" t="n">
        <v>24694783</v>
      </c>
      <c r="G524" s="0" t="n">
        <v>0</v>
      </c>
      <c r="H524" s="0" t="n">
        <v>0</v>
      </c>
    </row>
    <row r="525" customFormat="false" ht="15" hidden="false" customHeight="false" outlineLevel="0" collapsed="false">
      <c r="A525" s="0" t="n">
        <v>524</v>
      </c>
      <c r="B525" s="0" t="s">
        <v>1008</v>
      </c>
      <c r="C525" s="0" t="s">
        <v>494</v>
      </c>
      <c r="D525" s="0" t="s">
        <v>416</v>
      </c>
      <c r="E525" s="0" t="s">
        <v>418</v>
      </c>
      <c r="F525" s="0" t="n">
        <v>24670224</v>
      </c>
      <c r="G525" s="0" t="n">
        <v>0</v>
      </c>
      <c r="H525" s="0" t="n">
        <v>0</v>
      </c>
    </row>
    <row r="526" customFormat="false" ht="15" hidden="false" customHeight="false" outlineLevel="0" collapsed="false">
      <c r="A526" s="0" t="n">
        <v>525</v>
      </c>
      <c r="B526" s="0" t="s">
        <v>1009</v>
      </c>
      <c r="C526" s="0" t="s">
        <v>494</v>
      </c>
      <c r="D526" s="0" t="s">
        <v>416</v>
      </c>
      <c r="E526" s="0" t="s">
        <v>418</v>
      </c>
      <c r="F526" s="0" t="n">
        <v>24557888</v>
      </c>
      <c r="G526" s="0" t="n">
        <v>0</v>
      </c>
      <c r="H526" s="0" t="n">
        <v>0</v>
      </c>
    </row>
    <row r="527" customFormat="false" ht="15" hidden="false" customHeight="false" outlineLevel="0" collapsed="false">
      <c r="A527" s="0" t="n">
        <v>526</v>
      </c>
      <c r="B527" s="0" t="s">
        <v>1010</v>
      </c>
      <c r="C527" s="0" t="s">
        <v>494</v>
      </c>
      <c r="D527" s="0" t="s">
        <v>416</v>
      </c>
      <c r="E527" s="0" t="s">
        <v>418</v>
      </c>
      <c r="F527" s="0" t="n">
        <v>24523307</v>
      </c>
      <c r="G527" s="0" t="n">
        <v>0</v>
      </c>
      <c r="H527" s="0" t="n">
        <v>0</v>
      </c>
    </row>
    <row r="528" customFormat="false" ht="15" hidden="false" customHeight="false" outlineLevel="0" collapsed="false">
      <c r="A528" s="0" t="n">
        <v>527</v>
      </c>
      <c r="B528" s="0" t="s">
        <v>1011</v>
      </c>
      <c r="C528" s="0" t="s">
        <v>494</v>
      </c>
      <c r="D528" s="0" t="s">
        <v>416</v>
      </c>
      <c r="E528" s="0" t="s">
        <v>418</v>
      </c>
      <c r="F528" s="0" t="n">
        <v>24257178</v>
      </c>
      <c r="G528" s="0" t="n">
        <v>0</v>
      </c>
      <c r="H528" s="0" t="n">
        <v>0</v>
      </c>
    </row>
    <row r="529" customFormat="false" ht="15" hidden="false" customHeight="false" outlineLevel="0" collapsed="false">
      <c r="A529" s="0" t="n">
        <v>528</v>
      </c>
      <c r="B529" s="0" t="s">
        <v>1012</v>
      </c>
      <c r="C529" s="0" t="s">
        <v>494</v>
      </c>
      <c r="D529" s="0" t="s">
        <v>416</v>
      </c>
      <c r="E529" s="0" t="s">
        <v>418</v>
      </c>
      <c r="F529" s="0" t="n">
        <v>23754223</v>
      </c>
      <c r="G529" s="0" t="n">
        <v>0</v>
      </c>
      <c r="H529" s="0" t="n">
        <v>0</v>
      </c>
    </row>
    <row r="530" customFormat="false" ht="15" hidden="false" customHeight="false" outlineLevel="0" collapsed="false">
      <c r="A530" s="0" t="n">
        <v>529</v>
      </c>
      <c r="B530" s="0" t="s">
        <v>1013</v>
      </c>
      <c r="C530" s="0" t="s">
        <v>494</v>
      </c>
      <c r="D530" s="0" t="s">
        <v>416</v>
      </c>
      <c r="E530" s="0" t="s">
        <v>418</v>
      </c>
      <c r="F530" s="0" t="n">
        <v>23209138</v>
      </c>
      <c r="G530" s="0" t="n">
        <v>0</v>
      </c>
      <c r="H530" s="0" t="n">
        <v>0</v>
      </c>
    </row>
    <row r="531" customFormat="false" ht="15" hidden="false" customHeight="false" outlineLevel="0" collapsed="false">
      <c r="A531" s="0" t="n">
        <v>530</v>
      </c>
      <c r="B531" s="0" t="s">
        <v>1014</v>
      </c>
      <c r="C531" s="0" t="s">
        <v>494</v>
      </c>
      <c r="D531" s="0" t="s">
        <v>416</v>
      </c>
      <c r="E531" s="0" t="s">
        <v>418</v>
      </c>
      <c r="F531" s="0" t="n">
        <v>22998813</v>
      </c>
      <c r="G531" s="0" t="n">
        <v>0</v>
      </c>
      <c r="H531" s="0" t="n">
        <v>0</v>
      </c>
    </row>
    <row r="532" customFormat="false" ht="15" hidden="false" customHeight="false" outlineLevel="0" collapsed="false">
      <c r="A532" s="0" t="n">
        <v>531</v>
      </c>
      <c r="B532" s="0" t="s">
        <v>1015</v>
      </c>
      <c r="C532" s="0" t="s">
        <v>494</v>
      </c>
      <c r="D532" s="0" t="s">
        <v>416</v>
      </c>
      <c r="E532" s="0" t="s">
        <v>418</v>
      </c>
      <c r="F532" s="0" t="n">
        <v>22515441</v>
      </c>
      <c r="G532" s="0" t="n">
        <v>0</v>
      </c>
      <c r="H532" s="0" t="n">
        <v>0</v>
      </c>
    </row>
    <row r="533" customFormat="false" ht="15" hidden="false" customHeight="false" outlineLevel="0" collapsed="false">
      <c r="A533" s="0" t="n">
        <v>532</v>
      </c>
      <c r="B533" s="0" t="s">
        <v>1016</v>
      </c>
      <c r="C533" s="0" t="s">
        <v>494</v>
      </c>
      <c r="D533" s="0" t="s">
        <v>416</v>
      </c>
      <c r="E533" s="0" t="s">
        <v>418</v>
      </c>
      <c r="F533" s="0" t="n">
        <v>22246383</v>
      </c>
      <c r="G533" s="0" t="n">
        <v>0</v>
      </c>
      <c r="H533" s="0" t="n">
        <v>0</v>
      </c>
    </row>
    <row r="534" customFormat="false" ht="15" hidden="false" customHeight="false" outlineLevel="0" collapsed="false">
      <c r="A534" s="0" t="n">
        <v>533</v>
      </c>
      <c r="B534" s="0" t="s">
        <v>1017</v>
      </c>
      <c r="C534" s="0" t="s">
        <v>494</v>
      </c>
      <c r="D534" s="0" t="s">
        <v>416</v>
      </c>
      <c r="E534" s="0" t="s">
        <v>418</v>
      </c>
      <c r="F534" s="0" t="n">
        <v>21965623</v>
      </c>
      <c r="G534" s="0" t="n">
        <v>0</v>
      </c>
      <c r="H534" s="0" t="n">
        <v>0</v>
      </c>
    </row>
    <row r="535" customFormat="false" ht="15" hidden="false" customHeight="false" outlineLevel="0" collapsed="false">
      <c r="A535" s="0" t="n">
        <v>534</v>
      </c>
      <c r="B535" s="0" t="s">
        <v>1018</v>
      </c>
      <c r="C535" s="0" t="s">
        <v>494</v>
      </c>
      <c r="D535" s="0" t="s">
        <v>416</v>
      </c>
      <c r="E535" s="0" t="s">
        <v>418</v>
      </c>
      <c r="F535" s="0" t="n">
        <v>21834400</v>
      </c>
      <c r="G535" s="0" t="n">
        <v>0</v>
      </c>
      <c r="H535" s="0" t="n">
        <v>0</v>
      </c>
    </row>
    <row r="536" customFormat="false" ht="15" hidden="false" customHeight="false" outlineLevel="0" collapsed="false">
      <c r="A536" s="0" t="n">
        <v>535</v>
      </c>
      <c r="B536" s="0" t="s">
        <v>1019</v>
      </c>
      <c r="C536" s="0" t="s">
        <v>494</v>
      </c>
      <c r="D536" s="0" t="s">
        <v>416</v>
      </c>
      <c r="E536" s="0" t="s">
        <v>418</v>
      </c>
      <c r="F536" s="0" t="n">
        <v>21781400</v>
      </c>
      <c r="G536" s="0" t="n">
        <v>0</v>
      </c>
      <c r="H536" s="0" t="n">
        <v>0</v>
      </c>
    </row>
    <row r="537" customFormat="false" ht="15" hidden="false" customHeight="false" outlineLevel="0" collapsed="false">
      <c r="A537" s="0" t="n">
        <v>536</v>
      </c>
      <c r="B537" s="0" t="s">
        <v>1020</v>
      </c>
      <c r="C537" s="0" t="s">
        <v>494</v>
      </c>
      <c r="D537" s="0" t="s">
        <v>416</v>
      </c>
      <c r="E537" s="0" t="s">
        <v>418</v>
      </c>
      <c r="F537" s="0" t="n">
        <v>21566460</v>
      </c>
      <c r="G537" s="0" t="n">
        <v>0</v>
      </c>
      <c r="H537" s="0" t="n">
        <v>0</v>
      </c>
    </row>
    <row r="538" customFormat="false" ht="15" hidden="false" customHeight="false" outlineLevel="0" collapsed="false">
      <c r="A538" s="0" t="n">
        <v>537</v>
      </c>
      <c r="B538" s="0" t="s">
        <v>1021</v>
      </c>
      <c r="C538" s="0" t="s">
        <v>494</v>
      </c>
      <c r="D538" s="0" t="s">
        <v>416</v>
      </c>
      <c r="E538" s="0" t="s">
        <v>418</v>
      </c>
      <c r="F538" s="0" t="n">
        <v>21487281</v>
      </c>
      <c r="G538" s="0" t="n">
        <v>0</v>
      </c>
      <c r="H538" s="0" t="n">
        <v>0</v>
      </c>
    </row>
    <row r="539" customFormat="false" ht="15" hidden="false" customHeight="false" outlineLevel="0" collapsed="false">
      <c r="A539" s="0" t="n">
        <v>538</v>
      </c>
      <c r="B539" s="0" t="s">
        <v>1022</v>
      </c>
      <c r="C539" s="0" t="s">
        <v>494</v>
      </c>
      <c r="D539" s="0" t="s">
        <v>416</v>
      </c>
      <c r="E539" s="0" t="s">
        <v>418</v>
      </c>
      <c r="F539" s="0" t="n">
        <v>21404254</v>
      </c>
      <c r="G539" s="0" t="n">
        <v>0</v>
      </c>
      <c r="H539" s="0" t="n">
        <v>0</v>
      </c>
    </row>
    <row r="540" customFormat="false" ht="15" hidden="false" customHeight="false" outlineLevel="0" collapsed="false">
      <c r="A540" s="0" t="n">
        <v>539</v>
      </c>
      <c r="B540" s="0" t="s">
        <v>1023</v>
      </c>
      <c r="C540" s="0" t="s">
        <v>494</v>
      </c>
      <c r="D540" s="0" t="s">
        <v>416</v>
      </c>
      <c r="E540" s="0" t="s">
        <v>418</v>
      </c>
      <c r="F540" s="0" t="n">
        <v>21382193</v>
      </c>
      <c r="G540" s="0" t="n">
        <v>0</v>
      </c>
      <c r="H540" s="0" t="n">
        <v>0</v>
      </c>
    </row>
    <row r="541" customFormat="false" ht="15" hidden="false" customHeight="false" outlineLevel="0" collapsed="false">
      <c r="A541" s="0" t="n">
        <v>540</v>
      </c>
      <c r="B541" s="0" t="s">
        <v>1024</v>
      </c>
      <c r="C541" s="0" t="s">
        <v>494</v>
      </c>
      <c r="D541" s="0" t="s">
        <v>416</v>
      </c>
      <c r="E541" s="0" t="s">
        <v>418</v>
      </c>
      <c r="F541" s="0" t="n">
        <v>21138115</v>
      </c>
      <c r="G541" s="0" t="n">
        <v>0</v>
      </c>
      <c r="H541" s="0" t="n">
        <v>0</v>
      </c>
    </row>
    <row r="542" customFormat="false" ht="15" hidden="false" customHeight="false" outlineLevel="0" collapsed="false">
      <c r="A542" s="0" t="n">
        <v>541</v>
      </c>
      <c r="B542" s="0" t="s">
        <v>1025</v>
      </c>
      <c r="C542" s="0" t="s">
        <v>494</v>
      </c>
      <c r="D542" s="0" t="s">
        <v>416</v>
      </c>
      <c r="E542" s="0" t="s">
        <v>418</v>
      </c>
      <c r="F542" s="0" t="n">
        <v>20909887</v>
      </c>
      <c r="G542" s="0" t="n">
        <v>0</v>
      </c>
      <c r="H542" s="0" t="n">
        <v>0</v>
      </c>
    </row>
    <row r="543" customFormat="false" ht="15" hidden="false" customHeight="false" outlineLevel="0" collapsed="false">
      <c r="A543" s="0" t="n">
        <v>542</v>
      </c>
      <c r="B543" s="0" t="s">
        <v>1026</v>
      </c>
      <c r="C543" s="0" t="s">
        <v>494</v>
      </c>
      <c r="D543" s="0" t="s">
        <v>416</v>
      </c>
      <c r="E543" s="0" t="s">
        <v>418</v>
      </c>
      <c r="F543" s="0" t="n">
        <v>20890476</v>
      </c>
      <c r="G543" s="0" t="n">
        <v>0</v>
      </c>
      <c r="H543" s="0" t="n">
        <v>0</v>
      </c>
    </row>
    <row r="544" customFormat="false" ht="15" hidden="false" customHeight="false" outlineLevel="0" collapsed="false">
      <c r="A544" s="0" t="n">
        <v>543</v>
      </c>
      <c r="B544" s="0" t="s">
        <v>1027</v>
      </c>
      <c r="C544" s="0" t="s">
        <v>494</v>
      </c>
      <c r="D544" s="0" t="s">
        <v>416</v>
      </c>
      <c r="E544" s="0" t="s">
        <v>418</v>
      </c>
      <c r="F544" s="0" t="n">
        <v>20311887</v>
      </c>
      <c r="G544" s="0" t="n">
        <v>0</v>
      </c>
      <c r="H544" s="0" t="n">
        <v>0</v>
      </c>
    </row>
    <row r="545" customFormat="false" ht="15" hidden="false" customHeight="false" outlineLevel="0" collapsed="false">
      <c r="A545" s="0" t="n">
        <v>544</v>
      </c>
      <c r="B545" s="0" t="s">
        <v>1028</v>
      </c>
      <c r="C545" s="0" t="s">
        <v>494</v>
      </c>
      <c r="D545" s="0" t="s">
        <v>416</v>
      </c>
      <c r="E545" s="0" t="s">
        <v>418</v>
      </c>
      <c r="F545" s="0" t="n">
        <v>19646292</v>
      </c>
      <c r="G545" s="0" t="n">
        <v>0</v>
      </c>
      <c r="H545" s="0" t="n">
        <v>0</v>
      </c>
    </row>
    <row r="546" customFormat="false" ht="15" hidden="false" customHeight="false" outlineLevel="0" collapsed="false">
      <c r="A546" s="0" t="n">
        <v>545</v>
      </c>
      <c r="B546" s="0" t="s">
        <v>1029</v>
      </c>
      <c r="C546" s="0" t="s">
        <v>494</v>
      </c>
      <c r="D546" s="0" t="s">
        <v>416</v>
      </c>
      <c r="E546" s="0" t="s">
        <v>418</v>
      </c>
      <c r="F546" s="0" t="n">
        <v>19256407</v>
      </c>
      <c r="G546" s="0" t="n">
        <v>0</v>
      </c>
      <c r="H546" s="0" t="n">
        <v>0</v>
      </c>
    </row>
    <row r="547" customFormat="false" ht="15" hidden="false" customHeight="false" outlineLevel="0" collapsed="false">
      <c r="A547" s="0" t="n">
        <v>546</v>
      </c>
      <c r="B547" s="0" t="s">
        <v>1030</v>
      </c>
      <c r="C547" s="0" t="s">
        <v>494</v>
      </c>
      <c r="D547" s="0" t="s">
        <v>416</v>
      </c>
      <c r="E547" s="0" t="s">
        <v>418</v>
      </c>
      <c r="F547" s="0" t="n">
        <v>18986413</v>
      </c>
      <c r="G547" s="0" t="n">
        <v>0</v>
      </c>
      <c r="H547" s="0" t="n">
        <v>0</v>
      </c>
    </row>
    <row r="548" customFormat="false" ht="15" hidden="false" customHeight="false" outlineLevel="0" collapsed="false">
      <c r="A548" s="0" t="n">
        <v>547</v>
      </c>
      <c r="B548" s="0" t="s">
        <v>1031</v>
      </c>
      <c r="C548" s="0" t="s">
        <v>494</v>
      </c>
      <c r="D548" s="0" t="s">
        <v>416</v>
      </c>
      <c r="E548" s="0" t="s">
        <v>418</v>
      </c>
      <c r="F548" s="0" t="n">
        <v>18753883</v>
      </c>
      <c r="G548" s="0" t="n">
        <v>0</v>
      </c>
      <c r="H548" s="0" t="n">
        <v>0</v>
      </c>
    </row>
    <row r="549" customFormat="false" ht="15" hidden="false" customHeight="false" outlineLevel="0" collapsed="false">
      <c r="A549" s="0" t="n">
        <v>548</v>
      </c>
      <c r="B549" s="0" t="s">
        <v>1032</v>
      </c>
      <c r="C549" s="0" t="s">
        <v>494</v>
      </c>
      <c r="D549" s="0" t="s">
        <v>416</v>
      </c>
      <c r="E549" s="0" t="s">
        <v>418</v>
      </c>
      <c r="F549" s="0" t="n">
        <v>18561562</v>
      </c>
      <c r="G549" s="0" t="n">
        <v>0</v>
      </c>
      <c r="H549" s="0" t="n">
        <v>0</v>
      </c>
    </row>
    <row r="550" customFormat="false" ht="15" hidden="false" customHeight="false" outlineLevel="0" collapsed="false">
      <c r="A550" s="0" t="n">
        <v>549</v>
      </c>
      <c r="B550" s="0" t="s">
        <v>1033</v>
      </c>
      <c r="C550" s="0" t="s">
        <v>494</v>
      </c>
      <c r="D550" s="0" t="s">
        <v>416</v>
      </c>
      <c r="E550" s="0" t="s">
        <v>418</v>
      </c>
      <c r="F550" s="0" t="n">
        <v>18539413</v>
      </c>
      <c r="G550" s="0" t="n">
        <v>0</v>
      </c>
      <c r="H550" s="0" t="n">
        <v>0</v>
      </c>
    </row>
    <row r="551" customFormat="false" ht="15" hidden="false" customHeight="false" outlineLevel="0" collapsed="false">
      <c r="A551" s="0" t="n">
        <v>550</v>
      </c>
      <c r="B551" s="0" t="s">
        <v>1034</v>
      </c>
      <c r="C551" s="0" t="s">
        <v>494</v>
      </c>
      <c r="D551" s="0" t="s">
        <v>416</v>
      </c>
      <c r="E551" s="0" t="s">
        <v>418</v>
      </c>
      <c r="F551" s="0" t="n">
        <v>18535497</v>
      </c>
      <c r="G551" s="0" t="n">
        <v>0</v>
      </c>
      <c r="H551" s="0" t="n">
        <v>0</v>
      </c>
    </row>
    <row r="552" customFormat="false" ht="15" hidden="false" customHeight="false" outlineLevel="0" collapsed="false">
      <c r="A552" s="0" t="n">
        <v>551</v>
      </c>
      <c r="B552" s="0" t="s">
        <v>1035</v>
      </c>
      <c r="C552" s="0" t="s">
        <v>494</v>
      </c>
      <c r="D552" s="0" t="s">
        <v>416</v>
      </c>
      <c r="E552" s="0" t="s">
        <v>418</v>
      </c>
      <c r="F552" s="0" t="n">
        <v>18475084</v>
      </c>
      <c r="G552" s="0" t="n">
        <v>0</v>
      </c>
      <c r="H552" s="0" t="n">
        <v>0</v>
      </c>
    </row>
    <row r="553" customFormat="false" ht="15" hidden="false" customHeight="false" outlineLevel="0" collapsed="false">
      <c r="A553" s="0" t="n">
        <v>552</v>
      </c>
      <c r="B553" s="0" t="s">
        <v>1036</v>
      </c>
      <c r="C553" s="0" t="s">
        <v>494</v>
      </c>
      <c r="D553" s="0" t="s">
        <v>416</v>
      </c>
      <c r="E553" s="0" t="s">
        <v>418</v>
      </c>
      <c r="F553" s="0" t="n">
        <v>18367420</v>
      </c>
      <c r="G553" s="0" t="n">
        <v>0</v>
      </c>
      <c r="H553" s="0" t="n">
        <v>0</v>
      </c>
    </row>
    <row r="554" customFormat="false" ht="15" hidden="false" customHeight="false" outlineLevel="0" collapsed="false">
      <c r="A554" s="0" t="n">
        <v>553</v>
      </c>
      <c r="B554" s="0" t="s">
        <v>1037</v>
      </c>
      <c r="C554" s="0" t="s">
        <v>494</v>
      </c>
      <c r="D554" s="0" t="s">
        <v>416</v>
      </c>
      <c r="E554" s="0" t="s">
        <v>418</v>
      </c>
      <c r="F554" s="0" t="n">
        <v>18355526</v>
      </c>
      <c r="G554" s="0" t="n">
        <v>0</v>
      </c>
      <c r="H554" s="0" t="n">
        <v>0</v>
      </c>
    </row>
    <row r="555" customFormat="false" ht="15" hidden="false" customHeight="false" outlineLevel="0" collapsed="false">
      <c r="A555" s="0" t="n">
        <v>554</v>
      </c>
      <c r="B555" s="0" t="s">
        <v>1038</v>
      </c>
      <c r="C555" s="0" t="s">
        <v>494</v>
      </c>
      <c r="D555" s="0" t="s">
        <v>416</v>
      </c>
      <c r="E555" s="0" t="s">
        <v>418</v>
      </c>
      <c r="F555" s="0" t="n">
        <v>18084725</v>
      </c>
      <c r="G555" s="0" t="n">
        <v>0</v>
      </c>
      <c r="H555" s="0" t="n">
        <v>0</v>
      </c>
    </row>
    <row r="556" customFormat="false" ht="15" hidden="false" customHeight="false" outlineLevel="0" collapsed="false">
      <c r="A556" s="0" t="n">
        <v>555</v>
      </c>
      <c r="B556" s="0" t="s">
        <v>1039</v>
      </c>
      <c r="C556" s="0" t="s">
        <v>494</v>
      </c>
      <c r="D556" s="0" t="s">
        <v>416</v>
      </c>
      <c r="E556" s="0" t="s">
        <v>418</v>
      </c>
      <c r="F556" s="0" t="n">
        <v>17869136</v>
      </c>
      <c r="G556" s="0" t="n">
        <v>0</v>
      </c>
      <c r="H556" s="0" t="n">
        <v>0</v>
      </c>
    </row>
    <row r="557" customFormat="false" ht="15" hidden="false" customHeight="false" outlineLevel="0" collapsed="false">
      <c r="A557" s="0" t="n">
        <v>556</v>
      </c>
      <c r="B557" s="0" t="s">
        <v>1040</v>
      </c>
      <c r="C557" s="0" t="s">
        <v>494</v>
      </c>
      <c r="D557" s="0" t="s">
        <v>416</v>
      </c>
      <c r="E557" s="0" t="s">
        <v>418</v>
      </c>
      <c r="F557" s="0" t="n">
        <v>17774135</v>
      </c>
      <c r="G557" s="0" t="n">
        <v>0</v>
      </c>
      <c r="H557" s="0" t="n">
        <v>0</v>
      </c>
    </row>
    <row r="558" customFormat="false" ht="15" hidden="false" customHeight="false" outlineLevel="0" collapsed="false">
      <c r="A558" s="0" t="n">
        <v>557</v>
      </c>
      <c r="B558" s="0" t="s">
        <v>1041</v>
      </c>
      <c r="C558" s="0" t="s">
        <v>494</v>
      </c>
      <c r="D558" s="0" t="s">
        <v>416</v>
      </c>
      <c r="E558" s="0" t="s">
        <v>418</v>
      </c>
      <c r="F558" s="0" t="n">
        <v>17637795</v>
      </c>
      <c r="G558" s="0" t="n">
        <v>0</v>
      </c>
      <c r="H558" s="0" t="n">
        <v>0</v>
      </c>
    </row>
    <row r="559" customFormat="false" ht="15" hidden="false" customHeight="false" outlineLevel="0" collapsed="false">
      <c r="A559" s="0" t="n">
        <v>558</v>
      </c>
      <c r="B559" s="0" t="s">
        <v>1042</v>
      </c>
      <c r="C559" s="0" t="s">
        <v>494</v>
      </c>
      <c r="D559" s="0" t="s">
        <v>416</v>
      </c>
      <c r="E559" s="0" t="s">
        <v>418</v>
      </c>
      <c r="F559" s="0" t="n">
        <v>17348815</v>
      </c>
      <c r="G559" s="0" t="n">
        <v>0</v>
      </c>
      <c r="H559" s="0" t="n">
        <v>0</v>
      </c>
    </row>
    <row r="560" customFormat="false" ht="15" hidden="false" customHeight="false" outlineLevel="0" collapsed="false">
      <c r="A560" s="0" t="n">
        <v>559</v>
      </c>
      <c r="B560" s="0" t="s">
        <v>1043</v>
      </c>
      <c r="C560" s="0" t="s">
        <v>494</v>
      </c>
      <c r="D560" s="0" t="s">
        <v>416</v>
      </c>
      <c r="E560" s="0" t="s">
        <v>418</v>
      </c>
      <c r="F560" s="0" t="n">
        <v>16970192</v>
      </c>
      <c r="G560" s="0" t="n">
        <v>0</v>
      </c>
      <c r="H560" s="0" t="n">
        <v>0</v>
      </c>
    </row>
    <row r="561" customFormat="false" ht="15" hidden="false" customHeight="false" outlineLevel="0" collapsed="false">
      <c r="A561" s="0" t="n">
        <v>560</v>
      </c>
      <c r="B561" s="0" t="s">
        <v>1044</v>
      </c>
      <c r="C561" s="0" t="s">
        <v>494</v>
      </c>
      <c r="D561" s="0" t="s">
        <v>416</v>
      </c>
      <c r="E561" s="0" t="s">
        <v>418</v>
      </c>
      <c r="F561" s="0" t="n">
        <v>16801901</v>
      </c>
      <c r="G561" s="0" t="n">
        <v>0</v>
      </c>
      <c r="H561" s="0" t="n">
        <v>0</v>
      </c>
    </row>
    <row r="562" customFormat="false" ht="15" hidden="false" customHeight="false" outlineLevel="0" collapsed="false">
      <c r="A562" s="0" t="n">
        <v>561</v>
      </c>
      <c r="B562" s="0" t="s">
        <v>1045</v>
      </c>
      <c r="C562" s="0" t="s">
        <v>494</v>
      </c>
      <c r="D562" s="0" t="s">
        <v>416</v>
      </c>
      <c r="E562" s="0" t="s">
        <v>418</v>
      </c>
      <c r="F562" s="0" t="n">
        <v>16770101</v>
      </c>
      <c r="G562" s="0" t="n">
        <v>0</v>
      </c>
      <c r="H562" s="0" t="n">
        <v>0</v>
      </c>
    </row>
    <row r="563" customFormat="false" ht="15" hidden="false" customHeight="false" outlineLevel="0" collapsed="false">
      <c r="A563" s="0" t="n">
        <v>562</v>
      </c>
      <c r="B563" s="0" t="s">
        <v>1046</v>
      </c>
      <c r="C563" s="0" t="s">
        <v>494</v>
      </c>
      <c r="D563" s="0" t="s">
        <v>416</v>
      </c>
      <c r="E563" s="0" t="s">
        <v>418</v>
      </c>
      <c r="F563" s="0" t="n">
        <v>16636833</v>
      </c>
      <c r="G563" s="0" t="n">
        <v>0</v>
      </c>
      <c r="H563" s="0" t="n">
        <v>0</v>
      </c>
    </row>
    <row r="564" customFormat="false" ht="15" hidden="false" customHeight="false" outlineLevel="0" collapsed="false">
      <c r="A564" s="0" t="n">
        <v>563</v>
      </c>
      <c r="B564" s="0" t="s">
        <v>1047</v>
      </c>
      <c r="C564" s="0" t="s">
        <v>494</v>
      </c>
      <c r="D564" s="0" t="s">
        <v>416</v>
      </c>
      <c r="E564" s="0" t="s">
        <v>418</v>
      </c>
      <c r="F564" s="0" t="n">
        <v>16499673</v>
      </c>
      <c r="G564" s="0" t="n">
        <v>0</v>
      </c>
      <c r="H564" s="0" t="n">
        <v>0</v>
      </c>
    </row>
    <row r="565" customFormat="false" ht="15" hidden="false" customHeight="false" outlineLevel="0" collapsed="false">
      <c r="A565" s="0" t="n">
        <v>564</v>
      </c>
      <c r="B565" s="0" t="s">
        <v>1048</v>
      </c>
      <c r="C565" s="0" t="s">
        <v>494</v>
      </c>
      <c r="D565" s="0" t="s">
        <v>416</v>
      </c>
      <c r="E565" s="0" t="s">
        <v>418</v>
      </c>
      <c r="F565" s="0" t="n">
        <v>16466983</v>
      </c>
      <c r="G565" s="0" t="n">
        <v>0</v>
      </c>
      <c r="H565" s="0" t="n">
        <v>0</v>
      </c>
    </row>
    <row r="566" customFormat="false" ht="15" hidden="false" customHeight="false" outlineLevel="0" collapsed="false">
      <c r="A566" s="0" t="n">
        <v>565</v>
      </c>
      <c r="B566" s="0" t="s">
        <v>1049</v>
      </c>
      <c r="C566" s="0" t="s">
        <v>494</v>
      </c>
      <c r="D566" s="0" t="s">
        <v>416</v>
      </c>
      <c r="E566" s="0" t="s">
        <v>418</v>
      </c>
      <c r="F566" s="0" t="n">
        <v>16373700</v>
      </c>
      <c r="G566" s="0" t="n">
        <v>0</v>
      </c>
      <c r="H566" s="0" t="n">
        <v>0</v>
      </c>
    </row>
    <row r="567" customFormat="false" ht="15" hidden="false" customHeight="false" outlineLevel="0" collapsed="false">
      <c r="A567" s="0" t="n">
        <v>566</v>
      </c>
      <c r="B567" s="0" t="s">
        <v>1050</v>
      </c>
      <c r="C567" s="0" t="s">
        <v>494</v>
      </c>
      <c r="D567" s="0" t="s">
        <v>416</v>
      </c>
      <c r="E567" s="0" t="s">
        <v>418</v>
      </c>
      <c r="F567" s="0" t="n">
        <v>16361803</v>
      </c>
      <c r="G567" s="0" t="n">
        <v>0</v>
      </c>
      <c r="H567" s="0" t="n">
        <v>0</v>
      </c>
    </row>
    <row r="568" customFormat="false" ht="15" hidden="false" customHeight="false" outlineLevel="0" collapsed="false">
      <c r="A568" s="0" t="n">
        <v>567</v>
      </c>
      <c r="B568" s="0" t="s">
        <v>1051</v>
      </c>
      <c r="C568" s="0" t="s">
        <v>494</v>
      </c>
      <c r="D568" s="0" t="s">
        <v>416</v>
      </c>
      <c r="E568" s="0" t="s">
        <v>418</v>
      </c>
      <c r="F568" s="0" t="n">
        <v>16328211</v>
      </c>
      <c r="G568" s="0" t="n">
        <v>0</v>
      </c>
      <c r="H568" s="0" t="n">
        <v>0</v>
      </c>
    </row>
    <row r="569" customFormat="false" ht="15" hidden="false" customHeight="false" outlineLevel="0" collapsed="false">
      <c r="A569" s="0" t="n">
        <v>568</v>
      </c>
      <c r="B569" s="0" t="s">
        <v>1052</v>
      </c>
      <c r="C569" s="0" t="s">
        <v>494</v>
      </c>
      <c r="D569" s="0" t="s">
        <v>416</v>
      </c>
      <c r="E569" s="0" t="s">
        <v>418</v>
      </c>
      <c r="F569" s="0" t="n">
        <v>16059173</v>
      </c>
      <c r="G569" s="0" t="n">
        <v>0</v>
      </c>
      <c r="H569" s="0" t="n">
        <v>0</v>
      </c>
    </row>
    <row r="570" customFormat="false" ht="15" hidden="false" customHeight="false" outlineLevel="0" collapsed="false">
      <c r="A570" s="0" t="n">
        <v>569</v>
      </c>
      <c r="B570" s="0" t="s">
        <v>1053</v>
      </c>
      <c r="C570" s="0" t="s">
        <v>494</v>
      </c>
      <c r="D570" s="0" t="s">
        <v>416</v>
      </c>
      <c r="E570" s="0" t="s">
        <v>418</v>
      </c>
      <c r="F570" s="0" t="n">
        <v>15926436</v>
      </c>
      <c r="G570" s="0" t="n">
        <v>0</v>
      </c>
      <c r="H570" s="0" t="n">
        <v>0</v>
      </c>
    </row>
    <row r="571" customFormat="false" ht="15" hidden="false" customHeight="false" outlineLevel="0" collapsed="false">
      <c r="A571" s="0" t="n">
        <v>570</v>
      </c>
      <c r="B571" s="0" t="s">
        <v>1054</v>
      </c>
      <c r="C571" s="0" t="s">
        <v>494</v>
      </c>
      <c r="D571" s="0" t="s">
        <v>416</v>
      </c>
      <c r="E571" s="0" t="s">
        <v>418</v>
      </c>
      <c r="F571" s="0" t="n">
        <v>15863614</v>
      </c>
      <c r="G571" s="0" t="n">
        <v>0</v>
      </c>
      <c r="H571" s="0" t="n">
        <v>0</v>
      </c>
    </row>
    <row r="572" customFormat="false" ht="15" hidden="false" customHeight="false" outlineLevel="0" collapsed="false">
      <c r="A572" s="0" t="n">
        <v>571</v>
      </c>
      <c r="B572" s="0" t="s">
        <v>1055</v>
      </c>
      <c r="C572" s="0" t="s">
        <v>494</v>
      </c>
      <c r="D572" s="0" t="s">
        <v>416</v>
      </c>
      <c r="E572" s="0" t="s">
        <v>418</v>
      </c>
      <c r="F572" s="0" t="n">
        <v>15645525</v>
      </c>
      <c r="G572" s="0" t="n">
        <v>0</v>
      </c>
      <c r="H572" s="0" t="n">
        <v>0</v>
      </c>
    </row>
    <row r="573" customFormat="false" ht="15" hidden="false" customHeight="false" outlineLevel="0" collapsed="false">
      <c r="A573" s="0" t="n">
        <v>572</v>
      </c>
      <c r="B573" s="0" t="s">
        <v>1056</v>
      </c>
      <c r="C573" s="0" t="s">
        <v>494</v>
      </c>
      <c r="D573" s="0" t="s">
        <v>416</v>
      </c>
      <c r="E573" s="0" t="s">
        <v>418</v>
      </c>
      <c r="F573" s="0" t="n">
        <v>15548165</v>
      </c>
      <c r="G573" s="0" t="n">
        <v>0</v>
      </c>
      <c r="H573" s="0" t="n">
        <v>0</v>
      </c>
    </row>
    <row r="574" customFormat="false" ht="15" hidden="false" customHeight="false" outlineLevel="0" collapsed="false">
      <c r="A574" s="0" t="n">
        <v>573</v>
      </c>
      <c r="B574" s="0" t="s">
        <v>1057</v>
      </c>
      <c r="C574" s="0" t="s">
        <v>494</v>
      </c>
      <c r="D574" s="0" t="s">
        <v>416</v>
      </c>
      <c r="E574" s="0" t="s">
        <v>418</v>
      </c>
      <c r="F574" s="0" t="n">
        <v>15240464</v>
      </c>
      <c r="G574" s="0" t="n">
        <v>0</v>
      </c>
      <c r="H574" s="0" t="n">
        <v>0</v>
      </c>
    </row>
    <row r="575" customFormat="false" ht="15" hidden="false" customHeight="false" outlineLevel="0" collapsed="false">
      <c r="A575" s="0" t="n">
        <v>574</v>
      </c>
      <c r="B575" s="0" t="s">
        <v>1058</v>
      </c>
      <c r="C575" s="0" t="s">
        <v>494</v>
      </c>
      <c r="D575" s="0" t="s">
        <v>416</v>
      </c>
      <c r="E575" s="0" t="s">
        <v>418</v>
      </c>
      <c r="F575" s="0" t="n">
        <v>15128622</v>
      </c>
      <c r="G575" s="0" t="n">
        <v>0</v>
      </c>
      <c r="H575" s="0" t="n">
        <v>0</v>
      </c>
    </row>
    <row r="576" customFormat="false" ht="15" hidden="false" customHeight="false" outlineLevel="0" collapsed="false">
      <c r="A576" s="0" t="n">
        <v>575</v>
      </c>
      <c r="B576" s="0" t="s">
        <v>1059</v>
      </c>
      <c r="C576" s="0" t="s">
        <v>494</v>
      </c>
      <c r="D576" s="0" t="s">
        <v>416</v>
      </c>
      <c r="E576" s="0" t="s">
        <v>418</v>
      </c>
      <c r="F576" s="0" t="n">
        <v>15106181</v>
      </c>
      <c r="G576" s="0" t="n">
        <v>0</v>
      </c>
      <c r="H576" s="0" t="n">
        <v>0</v>
      </c>
    </row>
    <row r="577" customFormat="false" ht="15" hidden="false" customHeight="false" outlineLevel="0" collapsed="false">
      <c r="A577" s="0" t="n">
        <v>576</v>
      </c>
      <c r="B577" s="0" t="s">
        <v>1060</v>
      </c>
      <c r="C577" s="0" t="s">
        <v>494</v>
      </c>
      <c r="D577" s="0" t="s">
        <v>416</v>
      </c>
      <c r="E577" s="0" t="s">
        <v>418</v>
      </c>
      <c r="F577" s="0" t="n">
        <v>15069957</v>
      </c>
      <c r="G577" s="0" t="n">
        <v>0</v>
      </c>
      <c r="H577" s="0" t="n">
        <v>0</v>
      </c>
    </row>
    <row r="578" customFormat="false" ht="15" hidden="false" customHeight="false" outlineLevel="0" collapsed="false">
      <c r="A578" s="0" t="n">
        <v>577</v>
      </c>
      <c r="B578" s="0" t="s">
        <v>1061</v>
      </c>
      <c r="C578" s="0" t="s">
        <v>494</v>
      </c>
      <c r="D578" s="0" t="s">
        <v>416</v>
      </c>
      <c r="E578" s="0" t="s">
        <v>418</v>
      </c>
      <c r="F578" s="0" t="n">
        <v>14642777</v>
      </c>
      <c r="G578" s="0" t="n">
        <v>0</v>
      </c>
      <c r="H578" s="0" t="n">
        <v>0</v>
      </c>
    </row>
    <row r="579" customFormat="false" ht="15" hidden="false" customHeight="false" outlineLevel="0" collapsed="false">
      <c r="A579" s="0" t="n">
        <v>578</v>
      </c>
      <c r="B579" s="0" t="s">
        <v>1062</v>
      </c>
      <c r="C579" s="0" t="s">
        <v>494</v>
      </c>
      <c r="D579" s="0" t="s">
        <v>416</v>
      </c>
      <c r="E579" s="0" t="s">
        <v>418</v>
      </c>
      <c r="F579" s="0" t="n">
        <v>14609047</v>
      </c>
      <c r="G579" s="0" t="n">
        <v>0</v>
      </c>
      <c r="H579" s="0" t="n">
        <v>0</v>
      </c>
    </row>
    <row r="580" customFormat="false" ht="15" hidden="false" customHeight="false" outlineLevel="0" collapsed="false">
      <c r="A580" s="0" t="n">
        <v>579</v>
      </c>
      <c r="B580" s="0" t="s">
        <v>1063</v>
      </c>
      <c r="C580" s="0" t="s">
        <v>494</v>
      </c>
      <c r="D580" s="0" t="s">
        <v>416</v>
      </c>
      <c r="E580" s="0" t="s">
        <v>418</v>
      </c>
      <c r="F580" s="0" t="n">
        <v>14369844</v>
      </c>
      <c r="G580" s="0" t="n">
        <v>0</v>
      </c>
      <c r="H580" s="0" t="n">
        <v>0</v>
      </c>
    </row>
    <row r="581" customFormat="false" ht="15" hidden="false" customHeight="false" outlineLevel="0" collapsed="false">
      <c r="A581" s="0" t="n">
        <v>580</v>
      </c>
      <c r="B581" s="0" t="s">
        <v>1064</v>
      </c>
      <c r="C581" s="0" t="s">
        <v>494</v>
      </c>
      <c r="D581" s="0" t="s">
        <v>416</v>
      </c>
      <c r="E581" s="0" t="s">
        <v>418</v>
      </c>
      <c r="F581" s="0" t="n">
        <v>14141392</v>
      </c>
      <c r="G581" s="0" t="n">
        <v>0</v>
      </c>
      <c r="H581" s="0" t="n">
        <v>0</v>
      </c>
    </row>
    <row r="582" customFormat="false" ht="15" hidden="false" customHeight="false" outlineLevel="0" collapsed="false">
      <c r="A582" s="0" t="n">
        <v>581</v>
      </c>
      <c r="B582" s="0" t="s">
        <v>1065</v>
      </c>
      <c r="C582" s="0" t="s">
        <v>494</v>
      </c>
      <c r="D582" s="0" t="s">
        <v>416</v>
      </c>
      <c r="E582" s="0" t="s">
        <v>418</v>
      </c>
      <c r="F582" s="0" t="n">
        <v>13984318</v>
      </c>
      <c r="G582" s="0" t="n">
        <v>0</v>
      </c>
      <c r="H582" s="0" t="n">
        <v>0</v>
      </c>
    </row>
    <row r="583" customFormat="false" ht="15" hidden="false" customHeight="false" outlineLevel="0" collapsed="false">
      <c r="A583" s="0" t="n">
        <v>582</v>
      </c>
      <c r="B583" s="0" t="s">
        <v>1066</v>
      </c>
      <c r="C583" s="0" t="s">
        <v>494</v>
      </c>
      <c r="D583" s="0" t="s">
        <v>416</v>
      </c>
      <c r="E583" s="0" t="s">
        <v>418</v>
      </c>
      <c r="F583" s="0" t="n">
        <v>13715862</v>
      </c>
      <c r="G583" s="0" t="n">
        <v>0</v>
      </c>
      <c r="H583" s="0" t="n">
        <v>0</v>
      </c>
    </row>
    <row r="584" customFormat="false" ht="15" hidden="false" customHeight="false" outlineLevel="0" collapsed="false">
      <c r="A584" s="0" t="n">
        <v>583</v>
      </c>
      <c r="B584" s="0" t="s">
        <v>1067</v>
      </c>
      <c r="C584" s="0" t="s">
        <v>494</v>
      </c>
      <c r="D584" s="0" t="s">
        <v>416</v>
      </c>
      <c r="E584" s="0" t="s">
        <v>418</v>
      </c>
      <c r="F584" s="0" t="n">
        <v>13661483</v>
      </c>
      <c r="G584" s="0" t="n">
        <v>0</v>
      </c>
      <c r="H584" s="0" t="n">
        <v>0</v>
      </c>
    </row>
    <row r="585" customFormat="false" ht="15" hidden="false" customHeight="false" outlineLevel="0" collapsed="false">
      <c r="A585" s="0" t="n">
        <v>584</v>
      </c>
      <c r="B585" s="0" t="s">
        <v>1068</v>
      </c>
      <c r="C585" s="0" t="s">
        <v>494</v>
      </c>
      <c r="D585" s="0" t="s">
        <v>416</v>
      </c>
      <c r="E585" s="0" t="s">
        <v>418</v>
      </c>
      <c r="F585" s="0" t="n">
        <v>13660632</v>
      </c>
      <c r="G585" s="0" t="n">
        <v>0</v>
      </c>
      <c r="H585" s="0" t="n">
        <v>0</v>
      </c>
    </row>
    <row r="586" customFormat="false" ht="15" hidden="false" customHeight="false" outlineLevel="0" collapsed="false">
      <c r="A586" s="0" t="n">
        <v>585</v>
      </c>
      <c r="B586" s="0" t="s">
        <v>1069</v>
      </c>
      <c r="C586" s="0" t="s">
        <v>494</v>
      </c>
      <c r="D586" s="0" t="s">
        <v>416</v>
      </c>
      <c r="E586" s="0" t="s">
        <v>418</v>
      </c>
      <c r="F586" s="0" t="n">
        <v>13611823</v>
      </c>
      <c r="G586" s="0" t="n">
        <v>0</v>
      </c>
      <c r="H586" s="0" t="n">
        <v>0</v>
      </c>
    </row>
    <row r="587" customFormat="false" ht="15" hidden="false" customHeight="false" outlineLevel="0" collapsed="false">
      <c r="A587" s="0" t="n">
        <v>586</v>
      </c>
      <c r="B587" s="0" t="s">
        <v>1070</v>
      </c>
      <c r="C587" s="0" t="s">
        <v>494</v>
      </c>
      <c r="D587" s="0" t="s">
        <v>416</v>
      </c>
      <c r="E587" s="0" t="s">
        <v>418</v>
      </c>
      <c r="F587" s="0" t="n">
        <v>13585386</v>
      </c>
      <c r="G587" s="0" t="n">
        <v>0</v>
      </c>
      <c r="H587" s="0" t="n">
        <v>0</v>
      </c>
    </row>
    <row r="588" customFormat="false" ht="15" hidden="false" customHeight="false" outlineLevel="0" collapsed="false">
      <c r="A588" s="0" t="n">
        <v>587</v>
      </c>
      <c r="B588" s="0" t="s">
        <v>1071</v>
      </c>
      <c r="C588" s="0" t="s">
        <v>494</v>
      </c>
      <c r="D588" s="0" t="s">
        <v>416</v>
      </c>
      <c r="E588" s="0" t="s">
        <v>418</v>
      </c>
      <c r="F588" s="0" t="n">
        <v>13107736</v>
      </c>
      <c r="G588" s="0" t="n">
        <v>0</v>
      </c>
      <c r="H588" s="0" t="n">
        <v>0</v>
      </c>
    </row>
    <row r="589" customFormat="false" ht="15" hidden="false" customHeight="false" outlineLevel="0" collapsed="false">
      <c r="A589" s="0" t="n">
        <v>588</v>
      </c>
      <c r="B589" s="0" t="s">
        <v>1072</v>
      </c>
      <c r="C589" s="0" t="s">
        <v>494</v>
      </c>
      <c r="D589" s="0" t="s">
        <v>416</v>
      </c>
      <c r="E589" s="0" t="s">
        <v>418</v>
      </c>
      <c r="F589" s="0" t="n">
        <v>12690018</v>
      </c>
      <c r="G589" s="0" t="n">
        <v>0</v>
      </c>
      <c r="H589" s="0" t="n">
        <v>0</v>
      </c>
    </row>
    <row r="590" customFormat="false" ht="15" hidden="false" customHeight="false" outlineLevel="0" collapsed="false">
      <c r="A590" s="0" t="n">
        <v>589</v>
      </c>
      <c r="B590" s="0" t="s">
        <v>1073</v>
      </c>
      <c r="C590" s="0" t="s">
        <v>494</v>
      </c>
      <c r="D590" s="0" t="s">
        <v>416</v>
      </c>
      <c r="E590" s="0" t="s">
        <v>418</v>
      </c>
      <c r="F590" s="0" t="n">
        <v>12645786</v>
      </c>
      <c r="G590" s="0" t="n">
        <v>0</v>
      </c>
      <c r="H590" s="0" t="n">
        <v>0</v>
      </c>
    </row>
    <row r="591" customFormat="false" ht="15" hidden="false" customHeight="false" outlineLevel="0" collapsed="false">
      <c r="A591" s="0" t="n">
        <v>590</v>
      </c>
      <c r="B591" s="0" t="s">
        <v>1074</v>
      </c>
      <c r="C591" s="0" t="s">
        <v>494</v>
      </c>
      <c r="D591" s="0" t="s">
        <v>416</v>
      </c>
      <c r="E591" s="0" t="s">
        <v>418</v>
      </c>
      <c r="F591" s="0" t="n">
        <v>12586260</v>
      </c>
      <c r="G591" s="0" t="n">
        <v>0</v>
      </c>
      <c r="H591" s="0" t="n">
        <v>0</v>
      </c>
    </row>
    <row r="592" customFormat="false" ht="15" hidden="false" customHeight="false" outlineLevel="0" collapsed="false">
      <c r="A592" s="0" t="n">
        <v>591</v>
      </c>
      <c r="B592" s="0" t="s">
        <v>1075</v>
      </c>
      <c r="C592" s="0" t="s">
        <v>494</v>
      </c>
      <c r="D592" s="0" t="s">
        <v>416</v>
      </c>
      <c r="E592" s="0" t="s">
        <v>418</v>
      </c>
      <c r="F592" s="0" t="n">
        <v>12255308</v>
      </c>
      <c r="G592" s="0" t="n">
        <v>0</v>
      </c>
      <c r="H592" s="0" t="n">
        <v>0</v>
      </c>
    </row>
    <row r="593" customFormat="false" ht="15" hidden="false" customHeight="false" outlineLevel="0" collapsed="false">
      <c r="A593" s="0" t="n">
        <v>592</v>
      </c>
      <c r="B593" s="0" t="s">
        <v>1076</v>
      </c>
      <c r="C593" s="0" t="s">
        <v>494</v>
      </c>
      <c r="D593" s="0" t="s">
        <v>416</v>
      </c>
      <c r="E593" s="0" t="s">
        <v>418</v>
      </c>
      <c r="F593" s="0" t="n">
        <v>12090012</v>
      </c>
      <c r="G593" s="0" t="n">
        <v>0</v>
      </c>
      <c r="H593" s="0" t="n">
        <v>0</v>
      </c>
    </row>
    <row r="594" customFormat="false" ht="15" hidden="false" customHeight="false" outlineLevel="0" collapsed="false">
      <c r="A594" s="0" t="n">
        <v>593</v>
      </c>
      <c r="B594" s="0" t="s">
        <v>1077</v>
      </c>
      <c r="C594" s="0" t="s">
        <v>494</v>
      </c>
      <c r="D594" s="0" t="s">
        <v>416</v>
      </c>
      <c r="E594" s="0" t="s">
        <v>418</v>
      </c>
      <c r="F594" s="0" t="n">
        <v>11586851</v>
      </c>
      <c r="G594" s="0" t="n">
        <v>0</v>
      </c>
      <c r="H594" s="0" t="n">
        <v>0</v>
      </c>
    </row>
    <row r="595" customFormat="false" ht="15" hidden="false" customHeight="false" outlineLevel="0" collapsed="false">
      <c r="A595" s="0" t="n">
        <v>594</v>
      </c>
      <c r="B595" s="0" t="s">
        <v>1078</v>
      </c>
      <c r="C595" s="0" t="s">
        <v>494</v>
      </c>
      <c r="D595" s="0" t="s">
        <v>416</v>
      </c>
      <c r="E595" s="0" t="s">
        <v>418</v>
      </c>
      <c r="F595" s="0" t="n">
        <v>11578991</v>
      </c>
      <c r="G595" s="0" t="n">
        <v>0</v>
      </c>
      <c r="H595" s="0" t="n">
        <v>0</v>
      </c>
    </row>
    <row r="596" customFormat="false" ht="15" hidden="false" customHeight="false" outlineLevel="0" collapsed="false">
      <c r="A596" s="0" t="n">
        <v>595</v>
      </c>
      <c r="B596" s="0" t="s">
        <v>1079</v>
      </c>
      <c r="C596" s="0" t="s">
        <v>494</v>
      </c>
      <c r="D596" s="0" t="s">
        <v>416</v>
      </c>
      <c r="E596" s="0" t="s">
        <v>418</v>
      </c>
      <c r="F596" s="0" t="n">
        <v>11560008</v>
      </c>
      <c r="G596" s="0" t="n">
        <v>0</v>
      </c>
      <c r="H596" s="0" t="n">
        <v>0</v>
      </c>
    </row>
    <row r="597" customFormat="false" ht="15" hidden="false" customHeight="false" outlineLevel="0" collapsed="false">
      <c r="A597" s="0" t="n">
        <v>596</v>
      </c>
      <c r="B597" s="0" t="s">
        <v>1080</v>
      </c>
      <c r="C597" s="0" t="s">
        <v>494</v>
      </c>
      <c r="D597" s="0" t="s">
        <v>416</v>
      </c>
      <c r="E597" s="0" t="s">
        <v>418</v>
      </c>
      <c r="F597" s="0" t="n">
        <v>11542670</v>
      </c>
      <c r="G597" s="0" t="n">
        <v>0</v>
      </c>
      <c r="H597" s="0" t="n">
        <v>0</v>
      </c>
    </row>
    <row r="598" customFormat="false" ht="15" hidden="false" customHeight="false" outlineLevel="0" collapsed="false">
      <c r="A598" s="0" t="n">
        <v>597</v>
      </c>
      <c r="B598" s="0" t="s">
        <v>1081</v>
      </c>
      <c r="C598" s="0" t="s">
        <v>494</v>
      </c>
      <c r="D598" s="0" t="s">
        <v>416</v>
      </c>
      <c r="E598" s="0" t="s">
        <v>418</v>
      </c>
      <c r="F598" s="0" t="n">
        <v>11409234</v>
      </c>
      <c r="G598" s="0" t="n">
        <v>0</v>
      </c>
      <c r="H598" s="0" t="n">
        <v>0</v>
      </c>
    </row>
    <row r="599" customFormat="false" ht="15" hidden="false" customHeight="false" outlineLevel="0" collapsed="false">
      <c r="A599" s="0" t="n">
        <v>598</v>
      </c>
      <c r="B599" s="0" t="s">
        <v>1082</v>
      </c>
      <c r="C599" s="0" t="s">
        <v>494</v>
      </c>
      <c r="D599" s="0" t="s">
        <v>416</v>
      </c>
      <c r="E599" s="0" t="s">
        <v>418</v>
      </c>
      <c r="F599" s="0" t="n">
        <v>11274962</v>
      </c>
      <c r="G599" s="0" t="n">
        <v>0</v>
      </c>
      <c r="H599" s="0" t="n">
        <v>0</v>
      </c>
    </row>
    <row r="600" customFormat="false" ht="15" hidden="false" customHeight="false" outlineLevel="0" collapsed="false">
      <c r="A600" s="0" t="n">
        <v>599</v>
      </c>
      <c r="B600" s="0" t="s">
        <v>1083</v>
      </c>
      <c r="C600" s="0" t="s">
        <v>494</v>
      </c>
      <c r="D600" s="0" t="s">
        <v>416</v>
      </c>
      <c r="E600" s="0" t="s">
        <v>418</v>
      </c>
      <c r="F600" s="0" t="n">
        <v>11182498</v>
      </c>
      <c r="G600" s="0" t="n">
        <v>0</v>
      </c>
      <c r="H600" s="0" t="n">
        <v>0</v>
      </c>
    </row>
    <row r="601" customFormat="false" ht="15" hidden="false" customHeight="false" outlineLevel="0" collapsed="false">
      <c r="A601" s="0" t="n">
        <v>600</v>
      </c>
      <c r="B601" s="0" t="s">
        <v>1084</v>
      </c>
      <c r="C601" s="0" t="s">
        <v>494</v>
      </c>
      <c r="D601" s="0" t="s">
        <v>416</v>
      </c>
      <c r="E601" s="0" t="s">
        <v>418</v>
      </c>
      <c r="F601" s="0" t="n">
        <v>11150250</v>
      </c>
      <c r="G601" s="0" t="n">
        <v>0</v>
      </c>
      <c r="H601" s="0" t="n">
        <v>0</v>
      </c>
    </row>
    <row r="602" customFormat="false" ht="15" hidden="false" customHeight="false" outlineLevel="0" collapsed="false">
      <c r="A602" s="0" t="n">
        <v>601</v>
      </c>
      <c r="B602" s="0" t="s">
        <v>1085</v>
      </c>
      <c r="C602" s="0" t="s">
        <v>494</v>
      </c>
      <c r="D602" s="0" t="s">
        <v>416</v>
      </c>
      <c r="E602" s="0" t="s">
        <v>418</v>
      </c>
      <c r="F602" s="0" t="n">
        <v>11058002</v>
      </c>
      <c r="G602" s="0" t="n">
        <v>0</v>
      </c>
      <c r="H602" s="0" t="n">
        <v>0</v>
      </c>
    </row>
    <row r="603" customFormat="false" ht="15" hidden="false" customHeight="false" outlineLevel="0" collapsed="false">
      <c r="A603" s="0" t="n">
        <v>602</v>
      </c>
      <c r="B603" s="0" t="s">
        <v>1086</v>
      </c>
      <c r="C603" s="0" t="s">
        <v>494</v>
      </c>
      <c r="D603" s="0" t="s">
        <v>416</v>
      </c>
      <c r="E603" s="0" t="s">
        <v>418</v>
      </c>
      <c r="F603" s="0" t="n">
        <v>11038733</v>
      </c>
      <c r="G603" s="0" t="n">
        <v>0</v>
      </c>
      <c r="H603" s="0" t="n">
        <v>0</v>
      </c>
    </row>
    <row r="604" customFormat="false" ht="15" hidden="false" customHeight="false" outlineLevel="0" collapsed="false">
      <c r="A604" s="0" t="n">
        <v>603</v>
      </c>
      <c r="B604" s="0" t="s">
        <v>1087</v>
      </c>
      <c r="C604" s="0" t="s">
        <v>494</v>
      </c>
      <c r="D604" s="0" t="s">
        <v>416</v>
      </c>
      <c r="E604" s="0" t="s">
        <v>418</v>
      </c>
      <c r="F604" s="0" t="n">
        <v>10938491</v>
      </c>
      <c r="G604" s="0" t="n">
        <v>0</v>
      </c>
      <c r="H604" s="0" t="n">
        <v>0</v>
      </c>
    </row>
    <row r="605" customFormat="false" ht="15" hidden="false" customHeight="false" outlineLevel="0" collapsed="false">
      <c r="A605" s="0" t="n">
        <v>604</v>
      </c>
      <c r="B605" s="0" t="s">
        <v>1088</v>
      </c>
      <c r="C605" s="0" t="s">
        <v>494</v>
      </c>
      <c r="D605" s="0" t="s">
        <v>416</v>
      </c>
      <c r="E605" s="0" t="s">
        <v>418</v>
      </c>
      <c r="F605" s="0" t="n">
        <v>10907738</v>
      </c>
      <c r="G605" s="0" t="n">
        <v>0</v>
      </c>
      <c r="H605" s="0" t="n">
        <v>0</v>
      </c>
    </row>
    <row r="606" customFormat="false" ht="15" hidden="false" customHeight="false" outlineLevel="0" collapsed="false">
      <c r="A606" s="0" t="n">
        <v>605</v>
      </c>
      <c r="B606" s="0" t="s">
        <v>1089</v>
      </c>
      <c r="C606" s="0" t="s">
        <v>494</v>
      </c>
      <c r="D606" s="0" t="s">
        <v>416</v>
      </c>
      <c r="E606" s="0" t="s">
        <v>418</v>
      </c>
      <c r="F606" s="0" t="n">
        <v>10733843</v>
      </c>
      <c r="G606" s="0" t="n">
        <v>0</v>
      </c>
      <c r="H606" s="0" t="n">
        <v>0</v>
      </c>
    </row>
    <row r="607" customFormat="false" ht="15" hidden="false" customHeight="false" outlineLevel="0" collapsed="false">
      <c r="A607" s="0" t="n">
        <v>606</v>
      </c>
      <c r="B607" s="0" t="s">
        <v>1090</v>
      </c>
      <c r="C607" s="0" t="s">
        <v>494</v>
      </c>
      <c r="D607" s="0" t="s">
        <v>416</v>
      </c>
      <c r="E607" s="0" t="s">
        <v>418</v>
      </c>
      <c r="F607" s="0" t="n">
        <v>10501940</v>
      </c>
      <c r="G607" s="0" t="n">
        <v>0</v>
      </c>
      <c r="H607" s="0" t="n">
        <v>0</v>
      </c>
    </row>
    <row r="608" customFormat="false" ht="15" hidden="false" customHeight="false" outlineLevel="0" collapsed="false">
      <c r="A608" s="0" t="n">
        <v>607</v>
      </c>
      <c r="B608" s="0" t="s">
        <v>1091</v>
      </c>
      <c r="C608" s="0" t="s">
        <v>494</v>
      </c>
      <c r="D608" s="0" t="s">
        <v>416</v>
      </c>
      <c r="E608" s="0" t="s">
        <v>418</v>
      </c>
      <c r="F608" s="0" t="n">
        <v>10167520</v>
      </c>
      <c r="G608" s="0" t="n">
        <v>0</v>
      </c>
      <c r="H608" s="0" t="n">
        <v>0</v>
      </c>
    </row>
    <row r="609" customFormat="false" ht="15" hidden="false" customHeight="false" outlineLevel="0" collapsed="false">
      <c r="A609" s="0" t="n">
        <v>608</v>
      </c>
      <c r="B609" s="0" t="s">
        <v>1092</v>
      </c>
      <c r="C609" s="0" t="s">
        <v>494</v>
      </c>
      <c r="D609" s="0" t="s">
        <v>416</v>
      </c>
      <c r="E609" s="0" t="s">
        <v>418</v>
      </c>
      <c r="F609" s="0" t="n">
        <v>10148462</v>
      </c>
      <c r="G609" s="0" t="n">
        <v>0</v>
      </c>
      <c r="H609" s="0" t="n">
        <v>0</v>
      </c>
    </row>
    <row r="610" customFormat="false" ht="15" hidden="false" customHeight="false" outlineLevel="0" collapsed="false">
      <c r="A610" s="0" t="n">
        <v>609</v>
      </c>
      <c r="B610" s="0" t="s">
        <v>1093</v>
      </c>
      <c r="C610" s="0" t="s">
        <v>494</v>
      </c>
      <c r="D610" s="0" t="s">
        <v>416</v>
      </c>
      <c r="E610" s="0" t="s">
        <v>418</v>
      </c>
      <c r="F610" s="0" t="n">
        <v>10144035</v>
      </c>
      <c r="G610" s="0" t="n">
        <v>0</v>
      </c>
      <c r="H610" s="0" t="n">
        <v>0</v>
      </c>
    </row>
    <row r="611" customFormat="false" ht="15" hidden="false" customHeight="false" outlineLevel="0" collapsed="false">
      <c r="A611" s="0" t="n">
        <v>610</v>
      </c>
      <c r="B611" s="0" t="s">
        <v>1094</v>
      </c>
      <c r="C611" s="0" t="s">
        <v>494</v>
      </c>
      <c r="D611" s="0" t="s">
        <v>416</v>
      </c>
      <c r="E611" s="0" t="s">
        <v>418</v>
      </c>
      <c r="F611" s="0" t="n">
        <v>10120558</v>
      </c>
      <c r="G611" s="0" t="n">
        <v>0</v>
      </c>
      <c r="H611" s="0" t="n">
        <v>0</v>
      </c>
    </row>
    <row r="612" customFormat="false" ht="15" hidden="false" customHeight="false" outlineLevel="0" collapsed="false">
      <c r="A612" s="0" t="n">
        <v>611</v>
      </c>
      <c r="B612" s="0" t="s">
        <v>1095</v>
      </c>
      <c r="C612" s="0" t="s">
        <v>494</v>
      </c>
      <c r="D612" s="0" t="s">
        <v>416</v>
      </c>
      <c r="E612" s="0" t="s">
        <v>418</v>
      </c>
      <c r="F612" s="0" t="n">
        <v>10109856</v>
      </c>
      <c r="G612" s="0" t="n">
        <v>0</v>
      </c>
      <c r="H612" s="0" t="n">
        <v>0</v>
      </c>
    </row>
    <row r="613" customFormat="false" ht="15" hidden="false" customHeight="false" outlineLevel="0" collapsed="false">
      <c r="A613" s="0" t="n">
        <v>612</v>
      </c>
      <c r="B613" s="0" t="s">
        <v>1096</v>
      </c>
      <c r="C613" s="0" t="s">
        <v>494</v>
      </c>
      <c r="D613" s="0" t="s">
        <v>416</v>
      </c>
      <c r="E613" s="0" t="s">
        <v>418</v>
      </c>
      <c r="F613" s="0" t="n">
        <v>10028901</v>
      </c>
      <c r="G613" s="0" t="n">
        <v>0</v>
      </c>
      <c r="H613" s="0" t="n">
        <v>0</v>
      </c>
    </row>
    <row r="614" customFormat="false" ht="15" hidden="false" customHeight="false" outlineLevel="0" collapsed="false">
      <c r="A614" s="0" t="n">
        <v>613</v>
      </c>
      <c r="B614" s="0" t="s">
        <v>1097</v>
      </c>
      <c r="C614" s="0" t="s">
        <v>494</v>
      </c>
      <c r="D614" s="0" t="s">
        <v>416</v>
      </c>
      <c r="E614" s="0" t="s">
        <v>418</v>
      </c>
      <c r="F614" s="0" t="n">
        <v>10023084</v>
      </c>
      <c r="G614" s="0" t="n">
        <v>0</v>
      </c>
      <c r="H614" s="0" t="n">
        <v>0</v>
      </c>
    </row>
    <row r="615" customFormat="false" ht="15" hidden="false" customHeight="false" outlineLevel="0" collapsed="false">
      <c r="A615" s="0" t="n">
        <v>614</v>
      </c>
      <c r="B615" s="0" t="s">
        <v>1098</v>
      </c>
      <c r="C615" s="0" t="s">
        <v>494</v>
      </c>
      <c r="D615" s="0" t="s">
        <v>416</v>
      </c>
      <c r="E615" s="0" t="s">
        <v>418</v>
      </c>
      <c r="F615" s="0" t="n">
        <v>9753050</v>
      </c>
      <c r="G615" s="0" t="n">
        <v>0</v>
      </c>
      <c r="H615" s="0" t="n">
        <v>0</v>
      </c>
    </row>
    <row r="616" customFormat="false" ht="15" hidden="false" customHeight="false" outlineLevel="0" collapsed="false">
      <c r="A616" s="0" t="n">
        <v>615</v>
      </c>
      <c r="B616" s="0" t="s">
        <v>1099</v>
      </c>
      <c r="C616" s="0" t="s">
        <v>494</v>
      </c>
      <c r="D616" s="0" t="s">
        <v>416</v>
      </c>
      <c r="E616" s="0" t="s">
        <v>418</v>
      </c>
      <c r="F616" s="0" t="n">
        <v>9672388</v>
      </c>
      <c r="G616" s="0" t="n">
        <v>0</v>
      </c>
      <c r="H616" s="0" t="n">
        <v>0</v>
      </c>
    </row>
    <row r="617" customFormat="false" ht="15" hidden="false" customHeight="false" outlineLevel="0" collapsed="false">
      <c r="A617" s="0" t="n">
        <v>616</v>
      </c>
      <c r="B617" s="0" t="s">
        <v>1100</v>
      </c>
      <c r="C617" s="0" t="s">
        <v>494</v>
      </c>
      <c r="D617" s="0" t="s">
        <v>416</v>
      </c>
      <c r="E617" s="0" t="s">
        <v>418</v>
      </c>
      <c r="F617" s="0" t="n">
        <v>9613196</v>
      </c>
      <c r="G617" s="0" t="n">
        <v>0</v>
      </c>
      <c r="H617" s="0" t="n">
        <v>0</v>
      </c>
    </row>
    <row r="618" customFormat="false" ht="15" hidden="false" customHeight="false" outlineLevel="0" collapsed="false">
      <c r="A618" s="0" t="n">
        <v>617</v>
      </c>
      <c r="B618" s="0" t="s">
        <v>1101</v>
      </c>
      <c r="C618" s="0" t="s">
        <v>494</v>
      </c>
      <c r="D618" s="0" t="s">
        <v>416</v>
      </c>
      <c r="E618" s="0" t="s">
        <v>418</v>
      </c>
      <c r="F618" s="0" t="n">
        <v>9267371</v>
      </c>
      <c r="G618" s="0" t="n">
        <v>0</v>
      </c>
      <c r="H618" s="0" t="n">
        <v>0</v>
      </c>
    </row>
    <row r="619" customFormat="false" ht="15" hidden="false" customHeight="false" outlineLevel="0" collapsed="false">
      <c r="A619" s="0" t="n">
        <v>618</v>
      </c>
      <c r="B619" s="0" t="s">
        <v>1102</v>
      </c>
      <c r="C619" s="0" t="s">
        <v>494</v>
      </c>
      <c r="D619" s="0" t="s">
        <v>416</v>
      </c>
      <c r="E619" s="0" t="s">
        <v>418</v>
      </c>
      <c r="F619" s="0" t="n">
        <v>9022471</v>
      </c>
      <c r="G619" s="0" t="n">
        <v>0</v>
      </c>
      <c r="H619" s="0" t="n">
        <v>0</v>
      </c>
    </row>
    <row r="620" customFormat="false" ht="15" hidden="false" customHeight="false" outlineLevel="0" collapsed="false">
      <c r="A620" s="0" t="n">
        <v>619</v>
      </c>
      <c r="B620" s="0" t="s">
        <v>1103</v>
      </c>
      <c r="C620" s="0" t="s">
        <v>494</v>
      </c>
      <c r="D620" s="0" t="s">
        <v>416</v>
      </c>
      <c r="E620" s="0" t="s">
        <v>418</v>
      </c>
      <c r="F620" s="0" t="n">
        <v>8977242</v>
      </c>
      <c r="G620" s="0" t="n">
        <v>0</v>
      </c>
      <c r="H620" s="0" t="n">
        <v>0</v>
      </c>
    </row>
    <row r="621" customFormat="false" ht="15" hidden="false" customHeight="false" outlineLevel="0" collapsed="false">
      <c r="A621" s="0" t="n">
        <v>620</v>
      </c>
      <c r="B621" s="0" t="s">
        <v>1104</v>
      </c>
      <c r="C621" s="0" t="s">
        <v>494</v>
      </c>
      <c r="D621" s="0" t="s">
        <v>416</v>
      </c>
      <c r="E621" s="0" t="s">
        <v>418</v>
      </c>
      <c r="F621" s="0" t="n">
        <v>8938457</v>
      </c>
      <c r="G621" s="0" t="n">
        <v>0</v>
      </c>
      <c r="H621" s="0" t="n">
        <v>0</v>
      </c>
    </row>
    <row r="622" customFormat="false" ht="15" hidden="false" customHeight="false" outlineLevel="0" collapsed="false">
      <c r="A622" s="0" t="n">
        <v>621</v>
      </c>
      <c r="B622" s="0" t="s">
        <v>1105</v>
      </c>
      <c r="C622" s="0" t="s">
        <v>494</v>
      </c>
      <c r="D622" s="0" t="s">
        <v>416</v>
      </c>
      <c r="E622" s="0" t="s">
        <v>418</v>
      </c>
      <c r="F622" s="0" t="n">
        <v>8861454</v>
      </c>
      <c r="G622" s="0" t="n">
        <v>0</v>
      </c>
      <c r="H622" s="0" t="n">
        <v>0</v>
      </c>
    </row>
    <row r="623" customFormat="false" ht="15" hidden="false" customHeight="false" outlineLevel="0" collapsed="false">
      <c r="A623" s="0" t="n">
        <v>622</v>
      </c>
      <c r="B623" s="0" t="s">
        <v>1106</v>
      </c>
      <c r="C623" s="0" t="s">
        <v>494</v>
      </c>
      <c r="D623" s="0" t="s">
        <v>416</v>
      </c>
      <c r="E623" s="0" t="s">
        <v>418</v>
      </c>
      <c r="F623" s="0" t="n">
        <v>8834878</v>
      </c>
      <c r="G623" s="0" t="n">
        <v>0</v>
      </c>
      <c r="H623" s="0" t="n">
        <v>0</v>
      </c>
    </row>
    <row r="624" customFormat="false" ht="15" hidden="false" customHeight="false" outlineLevel="0" collapsed="false">
      <c r="A624" s="0" t="n">
        <v>623</v>
      </c>
      <c r="B624" s="0" t="s">
        <v>1107</v>
      </c>
      <c r="C624" s="0" t="s">
        <v>494</v>
      </c>
      <c r="D624" s="0" t="s">
        <v>416</v>
      </c>
      <c r="E624" s="0" t="s">
        <v>418</v>
      </c>
      <c r="F624" s="0" t="n">
        <v>8786656</v>
      </c>
      <c r="G624" s="0" t="n">
        <v>0</v>
      </c>
      <c r="H624" s="0" t="n">
        <v>0</v>
      </c>
    </row>
    <row r="625" customFormat="false" ht="15" hidden="false" customHeight="false" outlineLevel="0" collapsed="false">
      <c r="A625" s="0" t="n">
        <v>624</v>
      </c>
      <c r="B625" s="0" t="s">
        <v>1108</v>
      </c>
      <c r="C625" s="0" t="s">
        <v>494</v>
      </c>
      <c r="D625" s="0" t="s">
        <v>416</v>
      </c>
      <c r="E625" s="0" t="s">
        <v>418</v>
      </c>
      <c r="F625" s="0" t="n">
        <v>8501733</v>
      </c>
      <c r="G625" s="0" t="n">
        <v>0</v>
      </c>
      <c r="H625" s="0" t="n">
        <v>0</v>
      </c>
    </row>
    <row r="626" customFormat="false" ht="15" hidden="false" customHeight="false" outlineLevel="0" collapsed="false">
      <c r="A626" s="0" t="n">
        <v>625</v>
      </c>
      <c r="B626" s="0" t="s">
        <v>1109</v>
      </c>
      <c r="C626" s="0" t="s">
        <v>494</v>
      </c>
      <c r="D626" s="0" t="s">
        <v>416</v>
      </c>
      <c r="E626" s="0" t="s">
        <v>418</v>
      </c>
      <c r="F626" s="0" t="n">
        <v>8455750</v>
      </c>
      <c r="G626" s="0" t="n">
        <v>0</v>
      </c>
      <c r="H626" s="0" t="n">
        <v>0</v>
      </c>
    </row>
    <row r="627" customFormat="false" ht="15" hidden="false" customHeight="false" outlineLevel="0" collapsed="false">
      <c r="A627" s="0" t="n">
        <v>626</v>
      </c>
      <c r="B627" s="0" t="s">
        <v>1110</v>
      </c>
      <c r="C627" s="0" t="s">
        <v>494</v>
      </c>
      <c r="D627" s="0" t="s">
        <v>416</v>
      </c>
      <c r="E627" s="0" t="s">
        <v>418</v>
      </c>
      <c r="F627" s="0" t="n">
        <v>8355759</v>
      </c>
      <c r="G627" s="0" t="n">
        <v>0</v>
      </c>
      <c r="H627" s="0" t="n">
        <v>0</v>
      </c>
    </row>
    <row r="628" customFormat="false" ht="15" hidden="false" customHeight="false" outlineLevel="0" collapsed="false">
      <c r="A628" s="0" t="n">
        <v>627</v>
      </c>
      <c r="B628" s="0" t="s">
        <v>1111</v>
      </c>
      <c r="C628" s="0" t="s">
        <v>494</v>
      </c>
      <c r="D628" s="0" t="s">
        <v>416</v>
      </c>
      <c r="E628" s="0" t="s">
        <v>418</v>
      </c>
      <c r="F628" s="0" t="n">
        <v>8140244</v>
      </c>
      <c r="G628" s="0" t="n">
        <v>0</v>
      </c>
      <c r="H628" s="0" t="n">
        <v>0</v>
      </c>
    </row>
    <row r="629" customFormat="false" ht="15" hidden="false" customHeight="false" outlineLevel="0" collapsed="false">
      <c r="A629" s="0" t="n">
        <v>628</v>
      </c>
      <c r="B629" s="0" t="s">
        <v>1112</v>
      </c>
      <c r="C629" s="0" t="s">
        <v>494</v>
      </c>
      <c r="D629" s="0" t="s">
        <v>416</v>
      </c>
      <c r="E629" s="0" t="s">
        <v>418</v>
      </c>
      <c r="F629" s="0" t="n">
        <v>7923844</v>
      </c>
      <c r="G629" s="0" t="n">
        <v>0</v>
      </c>
      <c r="H629" s="0" t="n">
        <v>0</v>
      </c>
    </row>
    <row r="630" customFormat="false" ht="15" hidden="false" customHeight="false" outlineLevel="0" collapsed="false">
      <c r="A630" s="0" t="n">
        <v>629</v>
      </c>
      <c r="B630" s="0" t="s">
        <v>1113</v>
      </c>
      <c r="C630" s="0" t="s">
        <v>494</v>
      </c>
      <c r="D630" s="0" t="s">
        <v>416</v>
      </c>
      <c r="E630" s="0" t="s">
        <v>418</v>
      </c>
      <c r="F630" s="0" t="n">
        <v>7837055</v>
      </c>
      <c r="G630" s="0" t="n">
        <v>0</v>
      </c>
      <c r="H630" s="0" t="n">
        <v>0</v>
      </c>
    </row>
    <row r="631" customFormat="false" ht="15" hidden="false" customHeight="false" outlineLevel="0" collapsed="false">
      <c r="A631" s="0" t="n">
        <v>630</v>
      </c>
      <c r="B631" s="0" t="s">
        <v>1114</v>
      </c>
      <c r="C631" s="0" t="s">
        <v>494</v>
      </c>
      <c r="D631" s="0" t="s">
        <v>416</v>
      </c>
      <c r="E631" s="0" t="s">
        <v>418</v>
      </c>
      <c r="F631" s="0" t="n">
        <v>7804223</v>
      </c>
      <c r="G631" s="0" t="n">
        <v>0</v>
      </c>
      <c r="H631" s="0" t="n">
        <v>0</v>
      </c>
    </row>
    <row r="632" customFormat="false" ht="15" hidden="false" customHeight="false" outlineLevel="0" collapsed="false">
      <c r="A632" s="0" t="n">
        <v>631</v>
      </c>
      <c r="B632" s="0" t="s">
        <v>1115</v>
      </c>
      <c r="C632" s="0" t="s">
        <v>494</v>
      </c>
      <c r="D632" s="0" t="s">
        <v>416</v>
      </c>
      <c r="E632" s="0" t="s">
        <v>418</v>
      </c>
      <c r="F632" s="0" t="n">
        <v>7746865</v>
      </c>
      <c r="G632" s="0" t="n">
        <v>0</v>
      </c>
      <c r="H632" s="0" t="n">
        <v>0</v>
      </c>
    </row>
    <row r="633" customFormat="false" ht="15" hidden="false" customHeight="false" outlineLevel="0" collapsed="false">
      <c r="A633" s="0" t="n">
        <v>632</v>
      </c>
      <c r="B633" s="0" t="s">
        <v>1116</v>
      </c>
      <c r="C633" s="0" t="s">
        <v>494</v>
      </c>
      <c r="D633" s="0" t="s">
        <v>416</v>
      </c>
      <c r="E633" s="0" t="s">
        <v>418</v>
      </c>
      <c r="F633" s="0" t="n">
        <v>7582426</v>
      </c>
      <c r="G633" s="0" t="n">
        <v>0</v>
      </c>
      <c r="H633" s="0" t="n">
        <v>0</v>
      </c>
    </row>
    <row r="634" customFormat="false" ht="15" hidden="false" customHeight="false" outlineLevel="0" collapsed="false">
      <c r="A634" s="0" t="n">
        <v>633</v>
      </c>
      <c r="B634" s="0" t="s">
        <v>1117</v>
      </c>
      <c r="C634" s="0" t="s">
        <v>494</v>
      </c>
      <c r="D634" s="0" t="s">
        <v>416</v>
      </c>
      <c r="E634" s="0" t="s">
        <v>418</v>
      </c>
      <c r="F634" s="0" t="n">
        <v>7488227</v>
      </c>
      <c r="G634" s="0" t="n">
        <v>0</v>
      </c>
      <c r="H634" s="0" t="n">
        <v>0</v>
      </c>
    </row>
    <row r="635" customFormat="false" ht="15" hidden="false" customHeight="false" outlineLevel="0" collapsed="false">
      <c r="A635" s="0" t="n">
        <v>634</v>
      </c>
      <c r="B635" s="0" t="s">
        <v>1118</v>
      </c>
      <c r="C635" s="0" t="s">
        <v>494</v>
      </c>
      <c r="D635" s="0" t="s">
        <v>416</v>
      </c>
      <c r="E635" s="0" t="s">
        <v>418</v>
      </c>
      <c r="F635" s="0" t="n">
        <v>7438406</v>
      </c>
      <c r="G635" s="0" t="n">
        <v>0</v>
      </c>
      <c r="H635" s="0" t="n">
        <v>0</v>
      </c>
    </row>
    <row r="636" customFormat="false" ht="15" hidden="false" customHeight="false" outlineLevel="0" collapsed="false">
      <c r="A636" s="0" t="n">
        <v>635</v>
      </c>
      <c r="B636" s="0" t="s">
        <v>1119</v>
      </c>
      <c r="C636" s="0" t="s">
        <v>494</v>
      </c>
      <c r="D636" s="0" t="s">
        <v>416</v>
      </c>
      <c r="E636" s="0" t="s">
        <v>418</v>
      </c>
      <c r="F636" s="0" t="n">
        <v>7356116</v>
      </c>
      <c r="G636" s="0" t="n">
        <v>0</v>
      </c>
      <c r="H636" s="0" t="n">
        <v>0</v>
      </c>
    </row>
    <row r="637" customFormat="false" ht="15" hidden="false" customHeight="false" outlineLevel="0" collapsed="false">
      <c r="A637" s="0" t="n">
        <v>636</v>
      </c>
      <c r="B637" s="0" t="s">
        <v>1120</v>
      </c>
      <c r="C637" s="0" t="s">
        <v>494</v>
      </c>
      <c r="D637" s="0" t="s">
        <v>416</v>
      </c>
      <c r="E637" s="0" t="s">
        <v>418</v>
      </c>
      <c r="F637" s="0" t="n">
        <v>7264346</v>
      </c>
      <c r="G637" s="0" t="n">
        <v>0</v>
      </c>
      <c r="H637" s="0" t="n">
        <v>0</v>
      </c>
    </row>
    <row r="638" customFormat="false" ht="15" hidden="false" customHeight="false" outlineLevel="0" collapsed="false">
      <c r="A638" s="0" t="n">
        <v>637</v>
      </c>
      <c r="B638" s="0" t="s">
        <v>1121</v>
      </c>
      <c r="C638" s="0" t="s">
        <v>494</v>
      </c>
      <c r="D638" s="0" t="s">
        <v>416</v>
      </c>
      <c r="E638" s="0" t="s">
        <v>418</v>
      </c>
      <c r="F638" s="0" t="n">
        <v>7001508</v>
      </c>
      <c r="G638" s="0" t="n">
        <v>0</v>
      </c>
      <c r="H638" s="0" t="n">
        <v>0</v>
      </c>
    </row>
    <row r="639" customFormat="false" ht="15" hidden="false" customHeight="false" outlineLevel="0" collapsed="false">
      <c r="A639" s="0" t="n">
        <v>638</v>
      </c>
      <c r="B639" s="0" t="s">
        <v>1122</v>
      </c>
      <c r="C639" s="0" t="s">
        <v>494</v>
      </c>
      <c r="D639" s="0" t="s">
        <v>416</v>
      </c>
      <c r="E639" s="0" t="s">
        <v>418</v>
      </c>
      <c r="F639" s="0" t="n">
        <v>6659283</v>
      </c>
      <c r="G639" s="0" t="n">
        <v>0</v>
      </c>
      <c r="H639" s="0" t="n">
        <v>0</v>
      </c>
    </row>
    <row r="640" customFormat="false" ht="15" hidden="false" customHeight="false" outlineLevel="0" collapsed="false">
      <c r="A640" s="0" t="n">
        <v>639</v>
      </c>
      <c r="B640" s="0" t="s">
        <v>1123</v>
      </c>
      <c r="C640" s="0" t="s">
        <v>494</v>
      </c>
      <c r="D640" s="0" t="s">
        <v>416</v>
      </c>
      <c r="E640" s="0" t="s">
        <v>418</v>
      </c>
      <c r="F640" s="0" t="n">
        <v>6268658</v>
      </c>
      <c r="G640" s="0" t="n">
        <v>0</v>
      </c>
      <c r="H640" s="0" t="n">
        <v>0</v>
      </c>
    </row>
    <row r="641" customFormat="false" ht="15" hidden="false" customHeight="false" outlineLevel="0" collapsed="false">
      <c r="A641" s="0" t="n">
        <v>640</v>
      </c>
      <c r="B641" s="0" t="s">
        <v>1124</v>
      </c>
      <c r="C641" s="0" t="s">
        <v>494</v>
      </c>
      <c r="D641" s="0" t="s">
        <v>416</v>
      </c>
      <c r="E641" s="0" t="s">
        <v>418</v>
      </c>
      <c r="F641" s="0" t="n">
        <v>6016485</v>
      </c>
      <c r="G641" s="0" t="n">
        <v>0</v>
      </c>
      <c r="H641" s="0" t="n">
        <v>0</v>
      </c>
    </row>
    <row r="642" customFormat="false" ht="15" hidden="false" customHeight="false" outlineLevel="0" collapsed="false">
      <c r="A642" s="0" t="n">
        <v>641</v>
      </c>
      <c r="B642" s="0" t="s">
        <v>1125</v>
      </c>
      <c r="C642" s="0" t="s">
        <v>494</v>
      </c>
      <c r="D642" s="0" t="s">
        <v>416</v>
      </c>
      <c r="E642" s="0" t="s">
        <v>418</v>
      </c>
      <c r="F642" s="0" t="n">
        <v>5922268</v>
      </c>
      <c r="G642" s="0" t="n">
        <v>0</v>
      </c>
      <c r="H642" s="0" t="n">
        <v>0</v>
      </c>
    </row>
    <row r="643" customFormat="false" ht="15" hidden="false" customHeight="false" outlineLevel="0" collapsed="false">
      <c r="A643" s="0" t="n">
        <v>642</v>
      </c>
      <c r="B643" s="0" t="s">
        <v>1126</v>
      </c>
      <c r="C643" s="0" t="s">
        <v>494</v>
      </c>
      <c r="D643" s="0" t="s">
        <v>416</v>
      </c>
      <c r="E643" s="0" t="s">
        <v>418</v>
      </c>
      <c r="F643" s="0" t="n">
        <v>5796689</v>
      </c>
      <c r="G643" s="0" t="n">
        <v>0</v>
      </c>
      <c r="H643" s="0" t="n">
        <v>0</v>
      </c>
    </row>
    <row r="644" customFormat="false" ht="15" hidden="false" customHeight="false" outlineLevel="0" collapsed="false">
      <c r="A644" s="0" t="n">
        <v>643</v>
      </c>
      <c r="B644" s="0" t="s">
        <v>1127</v>
      </c>
      <c r="C644" s="0" t="s">
        <v>494</v>
      </c>
      <c r="D644" s="0" t="s">
        <v>416</v>
      </c>
      <c r="E644" s="0" t="s">
        <v>418</v>
      </c>
      <c r="F644" s="0" t="n">
        <v>5738381</v>
      </c>
      <c r="G644" s="0" t="n">
        <v>0</v>
      </c>
      <c r="H644" s="0" t="n">
        <v>0</v>
      </c>
    </row>
    <row r="645" customFormat="false" ht="15" hidden="false" customHeight="false" outlineLevel="0" collapsed="false">
      <c r="A645" s="0" t="n">
        <v>644</v>
      </c>
      <c r="B645" s="0" t="s">
        <v>1128</v>
      </c>
      <c r="C645" s="0" t="s">
        <v>494</v>
      </c>
      <c r="D645" s="0" t="s">
        <v>416</v>
      </c>
      <c r="E645" s="0" t="s">
        <v>418</v>
      </c>
      <c r="F645" s="0" t="n">
        <v>5714719</v>
      </c>
      <c r="G645" s="0" t="n">
        <v>0</v>
      </c>
      <c r="H645" s="0" t="n">
        <v>0</v>
      </c>
    </row>
    <row r="646" customFormat="false" ht="15" hidden="false" customHeight="false" outlineLevel="0" collapsed="false">
      <c r="A646" s="0" t="n">
        <v>645</v>
      </c>
      <c r="B646" s="0" t="s">
        <v>1129</v>
      </c>
      <c r="C646" s="0" t="s">
        <v>494</v>
      </c>
      <c r="D646" s="0" t="s">
        <v>416</v>
      </c>
      <c r="E646" s="0" t="s">
        <v>418</v>
      </c>
      <c r="F646" s="0" t="n">
        <v>5292794</v>
      </c>
      <c r="G646" s="0" t="n">
        <v>0</v>
      </c>
      <c r="H646" s="0" t="n">
        <v>0</v>
      </c>
    </row>
    <row r="647" customFormat="false" ht="15" hidden="false" customHeight="false" outlineLevel="0" collapsed="false">
      <c r="A647" s="0" t="n">
        <v>646</v>
      </c>
      <c r="B647" s="0" t="s">
        <v>1130</v>
      </c>
      <c r="C647" s="0" t="s">
        <v>494</v>
      </c>
      <c r="D647" s="0" t="s">
        <v>416</v>
      </c>
      <c r="E647" s="0" t="s">
        <v>418</v>
      </c>
      <c r="F647" s="0" t="n">
        <v>5165523</v>
      </c>
      <c r="G647" s="0" t="n">
        <v>0</v>
      </c>
      <c r="H647" s="0" t="n">
        <v>0</v>
      </c>
    </row>
    <row r="648" customFormat="false" ht="15" hidden="false" customHeight="false" outlineLevel="0" collapsed="false">
      <c r="A648" s="0" t="n">
        <v>647</v>
      </c>
      <c r="B648" s="0" t="s">
        <v>1131</v>
      </c>
      <c r="C648" s="0" t="s">
        <v>494</v>
      </c>
      <c r="D648" s="0" t="s">
        <v>416</v>
      </c>
      <c r="E648" s="0" t="s">
        <v>418</v>
      </c>
      <c r="F648" s="0" t="n">
        <v>5137818</v>
      </c>
      <c r="G648" s="0" t="n">
        <v>0</v>
      </c>
      <c r="H648" s="0" t="n">
        <v>0</v>
      </c>
    </row>
    <row r="649" customFormat="false" ht="15" hidden="false" customHeight="false" outlineLevel="0" collapsed="false">
      <c r="A649" s="0" t="n">
        <v>648</v>
      </c>
      <c r="B649" s="0" t="s">
        <v>1132</v>
      </c>
      <c r="C649" s="0" t="s">
        <v>494</v>
      </c>
      <c r="D649" s="0" t="s">
        <v>416</v>
      </c>
      <c r="E649" s="0" t="s">
        <v>418</v>
      </c>
      <c r="F649" s="0" t="n">
        <v>5005338</v>
      </c>
      <c r="G649" s="0" t="n">
        <v>0</v>
      </c>
      <c r="H649" s="0" t="n">
        <v>0</v>
      </c>
    </row>
    <row r="650" customFormat="false" ht="15" hidden="false" customHeight="false" outlineLevel="0" collapsed="false">
      <c r="A650" s="0" t="n">
        <v>649</v>
      </c>
      <c r="B650" s="0" t="s">
        <v>1133</v>
      </c>
      <c r="C650" s="0" t="s">
        <v>494</v>
      </c>
      <c r="D650" s="0" t="s">
        <v>416</v>
      </c>
      <c r="E650" s="0" t="s">
        <v>418</v>
      </c>
      <c r="F650" s="0" t="n">
        <v>4980503</v>
      </c>
      <c r="G650" s="0" t="n">
        <v>0</v>
      </c>
      <c r="H650" s="0" t="n">
        <v>0</v>
      </c>
    </row>
    <row r="651" customFormat="false" ht="15" hidden="false" customHeight="false" outlineLevel="0" collapsed="false">
      <c r="A651" s="0" t="n">
        <v>650</v>
      </c>
      <c r="B651" s="0" t="s">
        <v>1134</v>
      </c>
      <c r="C651" s="0" t="s">
        <v>494</v>
      </c>
      <c r="D651" s="0" t="s">
        <v>416</v>
      </c>
      <c r="E651" s="0" t="s">
        <v>418</v>
      </c>
      <c r="F651" s="0" t="n">
        <v>4872592</v>
      </c>
      <c r="G651" s="0" t="n">
        <v>0</v>
      </c>
      <c r="H651" s="0" t="n">
        <v>0</v>
      </c>
    </row>
    <row r="652" customFormat="false" ht="15" hidden="false" customHeight="false" outlineLevel="0" collapsed="false">
      <c r="A652" s="0" t="n">
        <v>651</v>
      </c>
      <c r="B652" s="0" t="s">
        <v>1135</v>
      </c>
      <c r="C652" s="0" t="s">
        <v>494</v>
      </c>
      <c r="D652" s="0" t="s">
        <v>416</v>
      </c>
      <c r="E652" s="0" t="s">
        <v>418</v>
      </c>
      <c r="F652" s="0" t="n">
        <v>4871516</v>
      </c>
      <c r="G652" s="0" t="n">
        <v>0</v>
      </c>
      <c r="H652" s="0" t="n">
        <v>0</v>
      </c>
    </row>
    <row r="653" customFormat="false" ht="15" hidden="false" customHeight="false" outlineLevel="0" collapsed="false">
      <c r="A653" s="0" t="n">
        <v>652</v>
      </c>
      <c r="B653" s="0" t="s">
        <v>1136</v>
      </c>
      <c r="C653" s="0" t="s">
        <v>494</v>
      </c>
      <c r="D653" s="0" t="s">
        <v>416</v>
      </c>
      <c r="E653" s="0" t="s">
        <v>418</v>
      </c>
      <c r="F653" s="0" t="n">
        <v>4538333</v>
      </c>
      <c r="G653" s="0" t="n">
        <v>0</v>
      </c>
      <c r="H653" s="0" t="n">
        <v>0</v>
      </c>
    </row>
    <row r="654" customFormat="false" ht="15" hidden="false" customHeight="false" outlineLevel="0" collapsed="false">
      <c r="A654" s="0" t="n">
        <v>653</v>
      </c>
      <c r="B654" s="0" t="s">
        <v>1137</v>
      </c>
      <c r="C654" s="0" t="s">
        <v>494</v>
      </c>
      <c r="D654" s="0" t="s">
        <v>416</v>
      </c>
      <c r="E654" s="0" t="s">
        <v>418</v>
      </c>
      <c r="F654" s="0" t="n">
        <v>4531285</v>
      </c>
      <c r="G654" s="0" t="n">
        <v>0</v>
      </c>
      <c r="H654" s="0" t="n">
        <v>0</v>
      </c>
    </row>
    <row r="655" customFormat="false" ht="15" hidden="false" customHeight="false" outlineLevel="0" collapsed="false">
      <c r="A655" s="0" t="n">
        <v>654</v>
      </c>
      <c r="B655" s="0" t="s">
        <v>1138</v>
      </c>
      <c r="C655" s="0" t="s">
        <v>494</v>
      </c>
      <c r="D655" s="0" t="s">
        <v>416</v>
      </c>
      <c r="E655" s="0" t="s">
        <v>418</v>
      </c>
      <c r="F655" s="0" t="n">
        <v>4103687</v>
      </c>
      <c r="G655" s="0" t="n">
        <v>0</v>
      </c>
      <c r="H655" s="0" t="n">
        <v>0</v>
      </c>
    </row>
    <row r="656" customFormat="false" ht="15" hidden="false" customHeight="false" outlineLevel="0" collapsed="false">
      <c r="A656" s="0" t="n">
        <v>655</v>
      </c>
      <c r="B656" s="0" t="s">
        <v>1139</v>
      </c>
      <c r="C656" s="0" t="s">
        <v>494</v>
      </c>
      <c r="D656" s="0" t="s">
        <v>416</v>
      </c>
      <c r="E656" s="0" t="s">
        <v>418</v>
      </c>
      <c r="F656" s="0" t="n">
        <v>4086572</v>
      </c>
      <c r="G656" s="0" t="n">
        <v>0</v>
      </c>
      <c r="H656" s="0" t="n">
        <v>0</v>
      </c>
    </row>
    <row r="657" customFormat="false" ht="15" hidden="false" customHeight="false" outlineLevel="0" collapsed="false">
      <c r="A657" s="0" t="n">
        <v>656</v>
      </c>
      <c r="B657" s="0" t="s">
        <v>1140</v>
      </c>
      <c r="C657" s="0" t="s">
        <v>494</v>
      </c>
      <c r="D657" s="0" t="s">
        <v>416</v>
      </c>
      <c r="E657" s="0" t="s">
        <v>418</v>
      </c>
      <c r="F657" s="0" t="n">
        <v>4009145</v>
      </c>
      <c r="G657" s="0" t="n">
        <v>0</v>
      </c>
      <c r="H657" s="0" t="n">
        <v>0</v>
      </c>
    </row>
    <row r="658" customFormat="false" ht="15" hidden="false" customHeight="false" outlineLevel="0" collapsed="false">
      <c r="A658" s="0" t="n">
        <v>657</v>
      </c>
      <c r="B658" s="0" t="s">
        <v>1141</v>
      </c>
      <c r="C658" s="0" t="s">
        <v>494</v>
      </c>
      <c r="D658" s="0" t="s">
        <v>416</v>
      </c>
      <c r="E658" s="0" t="s">
        <v>418</v>
      </c>
      <c r="F658" s="0" t="n">
        <v>3960229</v>
      </c>
      <c r="G658" s="0" t="n">
        <v>0</v>
      </c>
      <c r="H658" s="0" t="n">
        <v>0</v>
      </c>
    </row>
    <row r="659" customFormat="false" ht="15" hidden="false" customHeight="false" outlineLevel="0" collapsed="false">
      <c r="A659" s="0" t="n">
        <v>658</v>
      </c>
      <c r="B659" s="0" t="s">
        <v>1142</v>
      </c>
      <c r="C659" s="0" t="s">
        <v>494</v>
      </c>
      <c r="D659" s="0" t="s">
        <v>416</v>
      </c>
      <c r="E659" s="0" t="s">
        <v>418</v>
      </c>
      <c r="F659" s="0" t="n">
        <v>3929014</v>
      </c>
      <c r="G659" s="0" t="n">
        <v>0</v>
      </c>
      <c r="H659" s="0" t="n">
        <v>0</v>
      </c>
    </row>
    <row r="660" customFormat="false" ht="15" hidden="false" customHeight="false" outlineLevel="0" collapsed="false">
      <c r="A660" s="0" t="n">
        <v>659</v>
      </c>
      <c r="B660" s="0" t="s">
        <v>1143</v>
      </c>
      <c r="C660" s="0" t="s">
        <v>494</v>
      </c>
      <c r="D660" s="0" t="s">
        <v>416</v>
      </c>
      <c r="E660" s="0" t="s">
        <v>418</v>
      </c>
      <c r="F660" s="0" t="n">
        <v>3871864</v>
      </c>
      <c r="G660" s="0" t="n">
        <v>0</v>
      </c>
      <c r="H660" s="0" t="n">
        <v>0</v>
      </c>
    </row>
    <row r="661" customFormat="false" ht="15" hidden="false" customHeight="false" outlineLevel="0" collapsed="false">
      <c r="A661" s="0" t="n">
        <v>660</v>
      </c>
      <c r="B661" s="0" t="s">
        <v>1144</v>
      </c>
      <c r="C661" s="0" t="s">
        <v>494</v>
      </c>
      <c r="D661" s="0" t="s">
        <v>416</v>
      </c>
      <c r="E661" s="0" t="s">
        <v>418</v>
      </c>
      <c r="F661" s="0" t="n">
        <v>3870132</v>
      </c>
      <c r="G661" s="0" t="n">
        <v>0</v>
      </c>
      <c r="H661" s="0" t="n">
        <v>0</v>
      </c>
    </row>
    <row r="662" customFormat="false" ht="15" hidden="false" customHeight="false" outlineLevel="0" collapsed="false">
      <c r="A662" s="0" t="n">
        <v>661</v>
      </c>
      <c r="B662" s="0" t="s">
        <v>1145</v>
      </c>
      <c r="C662" s="0" t="s">
        <v>494</v>
      </c>
      <c r="D662" s="0" t="s">
        <v>416</v>
      </c>
      <c r="E662" s="0" t="s">
        <v>418</v>
      </c>
      <c r="F662" s="0" t="n">
        <v>3812484</v>
      </c>
      <c r="G662" s="0" t="n">
        <v>0</v>
      </c>
      <c r="H662" s="0" t="n">
        <v>0</v>
      </c>
    </row>
    <row r="663" customFormat="false" ht="15" hidden="false" customHeight="false" outlineLevel="0" collapsed="false">
      <c r="A663" s="0" t="n">
        <v>662</v>
      </c>
      <c r="B663" s="0" t="s">
        <v>1146</v>
      </c>
      <c r="C663" s="0" t="s">
        <v>494</v>
      </c>
      <c r="D663" s="0" t="s">
        <v>416</v>
      </c>
      <c r="E663" s="0" t="s">
        <v>418</v>
      </c>
      <c r="F663" s="0" t="n">
        <v>3810135</v>
      </c>
      <c r="G663" s="0" t="n">
        <v>0</v>
      </c>
      <c r="H663" s="0" t="n">
        <v>0</v>
      </c>
    </row>
    <row r="664" customFormat="false" ht="15" hidden="false" customHeight="false" outlineLevel="0" collapsed="false">
      <c r="A664" s="0" t="n">
        <v>663</v>
      </c>
      <c r="B664" s="0" t="s">
        <v>1147</v>
      </c>
      <c r="C664" s="0" t="s">
        <v>494</v>
      </c>
      <c r="D664" s="0" t="s">
        <v>416</v>
      </c>
      <c r="E664" s="0" t="s">
        <v>418</v>
      </c>
      <c r="F664" s="0" t="n">
        <v>3739330</v>
      </c>
      <c r="G664" s="0" t="n">
        <v>0</v>
      </c>
      <c r="H664" s="0" t="n">
        <v>0</v>
      </c>
    </row>
    <row r="665" customFormat="false" ht="15" hidden="false" customHeight="false" outlineLevel="0" collapsed="false">
      <c r="A665" s="0" t="n">
        <v>664</v>
      </c>
      <c r="B665" s="0" t="s">
        <v>1148</v>
      </c>
      <c r="C665" s="0" t="s">
        <v>494</v>
      </c>
      <c r="D665" s="0" t="s">
        <v>416</v>
      </c>
      <c r="E665" s="0" t="s">
        <v>418</v>
      </c>
      <c r="F665" s="0" t="n">
        <v>3733701</v>
      </c>
      <c r="G665" s="0" t="n">
        <v>0</v>
      </c>
      <c r="H665" s="0" t="n">
        <v>0</v>
      </c>
    </row>
    <row r="666" customFormat="false" ht="15" hidden="false" customHeight="false" outlineLevel="0" collapsed="false">
      <c r="A666" s="0" t="n">
        <v>665</v>
      </c>
      <c r="B666" s="0" t="s">
        <v>1149</v>
      </c>
      <c r="C666" s="0" t="s">
        <v>494</v>
      </c>
      <c r="D666" s="0" t="s">
        <v>416</v>
      </c>
      <c r="E666" s="0" t="s">
        <v>418</v>
      </c>
      <c r="F666" s="0" t="n">
        <v>3615991</v>
      </c>
      <c r="G666" s="0" t="n">
        <v>0</v>
      </c>
      <c r="H666" s="0" t="n">
        <v>0</v>
      </c>
    </row>
    <row r="667" customFormat="false" ht="15" hidden="false" customHeight="false" outlineLevel="0" collapsed="false">
      <c r="A667" s="0" t="n">
        <v>666</v>
      </c>
      <c r="B667" s="0" t="s">
        <v>1150</v>
      </c>
      <c r="C667" s="0" t="s">
        <v>494</v>
      </c>
      <c r="D667" s="0" t="s">
        <v>416</v>
      </c>
      <c r="E667" s="0" t="s">
        <v>418</v>
      </c>
      <c r="F667" s="0" t="n">
        <v>3514236</v>
      </c>
      <c r="G667" s="0" t="n">
        <v>0</v>
      </c>
      <c r="H667" s="0" t="n">
        <v>0</v>
      </c>
    </row>
    <row r="668" customFormat="false" ht="15" hidden="false" customHeight="false" outlineLevel="0" collapsed="false">
      <c r="A668" s="0" t="n">
        <v>667</v>
      </c>
      <c r="B668" s="0" t="s">
        <v>1151</v>
      </c>
      <c r="C668" s="0" t="s">
        <v>494</v>
      </c>
      <c r="D668" s="0" t="s">
        <v>416</v>
      </c>
      <c r="E668" s="0" t="s">
        <v>418</v>
      </c>
      <c r="F668" s="0" t="n">
        <v>3360673</v>
      </c>
      <c r="G668" s="0" t="n">
        <v>0</v>
      </c>
      <c r="H668" s="0" t="n">
        <v>0</v>
      </c>
    </row>
    <row r="669" customFormat="false" ht="15" hidden="false" customHeight="false" outlineLevel="0" collapsed="false">
      <c r="A669" s="0" t="n">
        <v>668</v>
      </c>
      <c r="B669" s="0" t="s">
        <v>1152</v>
      </c>
      <c r="C669" s="0" t="s">
        <v>494</v>
      </c>
      <c r="D669" s="0" t="s">
        <v>416</v>
      </c>
      <c r="E669" s="0" t="s">
        <v>418</v>
      </c>
      <c r="F669" s="0" t="n">
        <v>3252693</v>
      </c>
      <c r="G669" s="0" t="n">
        <v>0</v>
      </c>
      <c r="H669" s="0" t="n">
        <v>0</v>
      </c>
    </row>
    <row r="670" customFormat="false" ht="15" hidden="false" customHeight="false" outlineLevel="0" collapsed="false">
      <c r="A670" s="0" t="n">
        <v>669</v>
      </c>
      <c r="B670" s="0" t="s">
        <v>1153</v>
      </c>
      <c r="C670" s="0" t="s">
        <v>494</v>
      </c>
      <c r="D670" s="0" t="s">
        <v>416</v>
      </c>
      <c r="E670" s="0" t="s">
        <v>418</v>
      </c>
      <c r="F670" s="0" t="n">
        <v>2821443</v>
      </c>
      <c r="G670" s="0" t="n">
        <v>0</v>
      </c>
      <c r="H670" s="0" t="n">
        <v>0</v>
      </c>
    </row>
    <row r="671" customFormat="false" ht="15" hidden="false" customHeight="false" outlineLevel="0" collapsed="false">
      <c r="A671" s="0" t="n">
        <v>670</v>
      </c>
      <c r="B671" s="0" t="s">
        <v>1154</v>
      </c>
      <c r="C671" s="0" t="s">
        <v>494</v>
      </c>
      <c r="D671" s="0" t="s">
        <v>416</v>
      </c>
      <c r="E671" s="0" t="s">
        <v>418</v>
      </c>
      <c r="F671" s="0" t="n">
        <v>2534653</v>
      </c>
      <c r="G671" s="0" t="n">
        <v>0</v>
      </c>
      <c r="H671" s="0" t="n">
        <v>0</v>
      </c>
    </row>
    <row r="672" customFormat="false" ht="15" hidden="false" customHeight="false" outlineLevel="0" collapsed="false">
      <c r="A672" s="0" t="n">
        <v>671</v>
      </c>
      <c r="B672" s="0" t="s">
        <v>1155</v>
      </c>
      <c r="C672" s="0" t="s">
        <v>494</v>
      </c>
      <c r="D672" s="0" t="s">
        <v>416</v>
      </c>
      <c r="E672" s="0" t="s">
        <v>418</v>
      </c>
      <c r="F672" s="0" t="n">
        <v>2518088</v>
      </c>
      <c r="G672" s="0" t="n">
        <v>0</v>
      </c>
      <c r="H672" s="0" t="n">
        <v>0</v>
      </c>
    </row>
    <row r="673" customFormat="false" ht="15" hidden="false" customHeight="false" outlineLevel="0" collapsed="false">
      <c r="A673" s="0" t="n">
        <v>672</v>
      </c>
      <c r="B673" s="0" t="s">
        <v>1156</v>
      </c>
      <c r="C673" s="0" t="s">
        <v>494</v>
      </c>
      <c r="D673" s="0" t="s">
        <v>416</v>
      </c>
      <c r="E673" s="0" t="s">
        <v>418</v>
      </c>
      <c r="F673" s="0" t="n">
        <v>2466390</v>
      </c>
      <c r="G673" s="0" t="n">
        <v>0</v>
      </c>
      <c r="H673" s="0" t="n">
        <v>0</v>
      </c>
    </row>
    <row r="674" customFormat="false" ht="15" hidden="false" customHeight="false" outlineLevel="0" collapsed="false">
      <c r="A674" s="0" t="n">
        <v>673</v>
      </c>
      <c r="B674" s="0" t="s">
        <v>1157</v>
      </c>
      <c r="C674" s="0" t="s">
        <v>494</v>
      </c>
      <c r="D674" s="0" t="s">
        <v>416</v>
      </c>
      <c r="E674" s="0" t="s">
        <v>418</v>
      </c>
      <c r="F674" s="0" t="n">
        <v>2442319</v>
      </c>
      <c r="G674" s="0" t="n">
        <v>0</v>
      </c>
      <c r="H674" s="0" t="n">
        <v>0</v>
      </c>
    </row>
    <row r="675" customFormat="false" ht="15" hidden="false" customHeight="false" outlineLevel="0" collapsed="false">
      <c r="A675" s="0" t="n">
        <v>674</v>
      </c>
      <c r="B675" s="0" t="s">
        <v>1158</v>
      </c>
      <c r="C675" s="0" t="s">
        <v>494</v>
      </c>
      <c r="D675" s="0" t="s">
        <v>416</v>
      </c>
      <c r="E675" s="0" t="s">
        <v>418</v>
      </c>
      <c r="F675" s="0" t="n">
        <v>2384626</v>
      </c>
      <c r="G675" s="0" t="n">
        <v>0</v>
      </c>
      <c r="H675" s="0" t="n">
        <v>0</v>
      </c>
    </row>
    <row r="676" customFormat="false" ht="15" hidden="false" customHeight="false" outlineLevel="0" collapsed="false">
      <c r="A676" s="0" t="n">
        <v>675</v>
      </c>
      <c r="B676" s="0" t="s">
        <v>1159</v>
      </c>
      <c r="C676" s="0" t="s">
        <v>494</v>
      </c>
      <c r="D676" s="0" t="s">
        <v>416</v>
      </c>
      <c r="E676" s="0" t="s">
        <v>418</v>
      </c>
      <c r="F676" s="0" t="n">
        <v>1880763</v>
      </c>
      <c r="G676" s="0" t="n">
        <v>0</v>
      </c>
      <c r="H676" s="0" t="n">
        <v>0</v>
      </c>
    </row>
    <row r="677" customFormat="false" ht="15" hidden="false" customHeight="false" outlineLevel="0" collapsed="false">
      <c r="A677" s="0" t="n">
        <v>676</v>
      </c>
      <c r="B677" s="0" t="s">
        <v>1160</v>
      </c>
      <c r="C677" s="0" t="s">
        <v>494</v>
      </c>
      <c r="D677" s="0" t="s">
        <v>416</v>
      </c>
      <c r="E677" s="0" t="s">
        <v>418</v>
      </c>
      <c r="F677" s="0" t="n">
        <v>1838507</v>
      </c>
      <c r="G677" s="0" t="n">
        <v>0</v>
      </c>
      <c r="H677" s="0" t="n">
        <v>0</v>
      </c>
    </row>
    <row r="678" customFormat="false" ht="15" hidden="false" customHeight="false" outlineLevel="0" collapsed="false">
      <c r="A678" s="0" t="n">
        <v>677</v>
      </c>
      <c r="B678" s="0" t="s">
        <v>1161</v>
      </c>
      <c r="C678" s="0" t="s">
        <v>494</v>
      </c>
      <c r="D678" s="0" t="s">
        <v>416</v>
      </c>
      <c r="E678" s="0" t="s">
        <v>418</v>
      </c>
      <c r="F678" s="0" t="n">
        <v>1570297</v>
      </c>
      <c r="G678" s="0" t="n">
        <v>0</v>
      </c>
      <c r="H678" s="0" t="n">
        <v>0</v>
      </c>
    </row>
    <row r="679" customFormat="false" ht="15" hidden="false" customHeight="false" outlineLevel="0" collapsed="false">
      <c r="A679" s="0" t="n">
        <v>678</v>
      </c>
      <c r="B679" s="0" t="s">
        <v>1162</v>
      </c>
      <c r="C679" s="0" t="s">
        <v>494</v>
      </c>
      <c r="D679" s="0" t="s">
        <v>416</v>
      </c>
      <c r="E679" s="0" t="s">
        <v>418</v>
      </c>
      <c r="F679" s="0" t="n">
        <v>1177484</v>
      </c>
      <c r="G679" s="0" t="n">
        <v>0</v>
      </c>
      <c r="H679" s="0" t="n">
        <v>0</v>
      </c>
    </row>
    <row r="680" customFormat="false" ht="15" hidden="false" customHeight="false" outlineLevel="0" collapsed="false">
      <c r="A680" s="0" t="n">
        <v>679</v>
      </c>
      <c r="B680" s="0" t="s">
        <v>1163</v>
      </c>
      <c r="C680" s="0" t="s">
        <v>494</v>
      </c>
      <c r="D680" s="0" t="s">
        <v>416</v>
      </c>
      <c r="E680" s="0" t="s">
        <v>418</v>
      </c>
      <c r="F680" s="0" t="n">
        <v>1050120</v>
      </c>
      <c r="G680" s="0" t="n">
        <v>0</v>
      </c>
      <c r="H680" s="0" t="n">
        <v>0</v>
      </c>
    </row>
    <row r="681" customFormat="false" ht="15" hidden="false" customHeight="false" outlineLevel="0" collapsed="false">
      <c r="A681" s="0" t="n">
        <v>680</v>
      </c>
      <c r="B681" s="0" t="s">
        <v>1164</v>
      </c>
      <c r="C681" s="0" t="s">
        <v>494</v>
      </c>
      <c r="D681" s="0" t="s">
        <v>416</v>
      </c>
      <c r="E681" s="0" t="s">
        <v>418</v>
      </c>
      <c r="F681" s="0" t="n">
        <v>21423</v>
      </c>
      <c r="G681" s="0" t="n">
        <v>0</v>
      </c>
      <c r="H68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39B"/>
    <pageSetUpPr fitToPage="false"/>
  </sheetPr>
  <dimension ref="A1:H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4"/>
    <col collapsed="false" customWidth="true" hidden="false" outlineLevel="0" max="8" min="7" style="0" width="12"/>
  </cols>
  <sheetData>
    <row r="1" customFormat="false" ht="15" hidden="false" customHeight="false" outlineLevel="0" collapsed="false">
      <c r="A1" s="62" t="s">
        <v>1165</v>
      </c>
      <c r="B1" s="62" t="s">
        <v>1166</v>
      </c>
      <c r="C1" s="62" t="s">
        <v>1167</v>
      </c>
      <c r="D1" s="62" t="s">
        <v>1168</v>
      </c>
      <c r="E1" s="62" t="s">
        <v>1169</v>
      </c>
      <c r="F1" s="62" t="s">
        <v>1170</v>
      </c>
      <c r="G1" s="62" t="s">
        <v>1171</v>
      </c>
      <c r="H1" s="62" t="s">
        <v>1172</v>
      </c>
    </row>
    <row r="2" customFormat="false" ht="15" hidden="false" customHeight="false" outlineLevel="0" collapsed="false">
      <c r="A2" s="0" t="n">
        <v>4</v>
      </c>
      <c r="B2" s="0" t="s">
        <v>1173</v>
      </c>
      <c r="C2" s="0" t="s">
        <v>1174</v>
      </c>
      <c r="D2" s="0" t="n">
        <v>3798184735378</v>
      </c>
      <c r="E2" s="0" t="n">
        <v>3875687837224</v>
      </c>
      <c r="F2" s="0" t="n">
        <v>2756.4943792617</v>
      </c>
      <c r="G2" s="0" t="s">
        <v>1175</v>
      </c>
      <c r="H2" s="0" t="s">
        <v>1176</v>
      </c>
    </row>
    <row r="3" customFormat="false" ht="15" hidden="false" customHeight="false" outlineLevel="0" collapsed="false">
      <c r="A3" s="0" t="n">
        <v>6</v>
      </c>
      <c r="B3" s="0" t="s">
        <v>1177</v>
      </c>
      <c r="C3" s="0" t="s">
        <v>1178</v>
      </c>
      <c r="D3" s="0" t="n">
        <v>175335.727905818</v>
      </c>
      <c r="E3" s="0" t="n">
        <v>176794.48</v>
      </c>
      <c r="F3" s="0" t="n">
        <v>1458.75209418249</v>
      </c>
      <c r="G3" s="0" t="s">
        <v>1175</v>
      </c>
      <c r="H3" s="0" t="s">
        <v>1179</v>
      </c>
    </row>
    <row r="4" customFormat="false" ht="15" hidden="false" customHeight="false" outlineLevel="0" collapsed="false">
      <c r="A4" s="0" t="n">
        <v>8</v>
      </c>
      <c r="B4" s="0" t="s">
        <v>1180</v>
      </c>
      <c r="C4" s="0" t="s">
        <v>1181</v>
      </c>
      <c r="D4" s="0" t="n">
        <v>314743752869</v>
      </c>
      <c r="E4" s="0" t="n">
        <v>306560000000</v>
      </c>
      <c r="F4" s="0" t="n">
        <v>-326.5317394731</v>
      </c>
      <c r="G4" s="0" t="s">
        <v>1175</v>
      </c>
      <c r="H4" s="0" t="s">
        <v>1182</v>
      </c>
    </row>
    <row r="5" customFormat="false" ht="15" hidden="false" customHeight="false" outlineLevel="0" collapsed="false">
      <c r="A5" s="0" t="n">
        <v>10</v>
      </c>
      <c r="B5" s="0" t="s">
        <v>1183</v>
      </c>
      <c r="C5" s="0" t="s">
        <v>1184</v>
      </c>
      <c r="D5" s="0" t="n">
        <v>15000</v>
      </c>
      <c r="E5" s="0" t="n">
        <v>9731.6831071656</v>
      </c>
      <c r="F5" s="0" t="n">
        <v>5268.3168928344</v>
      </c>
      <c r="G5" s="0" t="s">
        <v>1185</v>
      </c>
      <c r="H5" s="0" t="s">
        <v>1186</v>
      </c>
    </row>
    <row r="6" customFormat="false" ht="15" hidden="false" customHeight="false" outlineLevel="0" collapsed="false">
      <c r="A6" s="0" t="n">
        <v>10</v>
      </c>
      <c r="B6" s="0" t="s">
        <v>1183</v>
      </c>
      <c r="C6" s="0" t="s">
        <v>1187</v>
      </c>
      <c r="D6" s="0" t="n">
        <v>40000</v>
      </c>
      <c r="E6" s="0" t="n">
        <v>26079.2116111968</v>
      </c>
      <c r="F6" s="0" t="n">
        <v>13920.7883888032</v>
      </c>
      <c r="G6" s="0" t="s">
        <v>1185</v>
      </c>
      <c r="H6" s="0" t="s">
        <v>1186</v>
      </c>
    </row>
    <row r="7" customFormat="false" ht="15" hidden="false" customHeight="false" outlineLevel="0" collapsed="false">
      <c r="A7" s="0" t="n">
        <v>10</v>
      </c>
      <c r="B7" s="0" t="s">
        <v>1183</v>
      </c>
      <c r="C7" s="0" t="s">
        <v>1188</v>
      </c>
      <c r="D7" s="0" t="n">
        <v>12500</v>
      </c>
      <c r="E7" s="0" t="n">
        <v>5834.676275064</v>
      </c>
      <c r="F7" s="0" t="n">
        <v>6665.323724936</v>
      </c>
      <c r="G7" s="0" t="s">
        <v>1185</v>
      </c>
      <c r="H7" s="0" t="s">
        <v>1189</v>
      </c>
    </row>
    <row r="8" customFormat="false" ht="15" hidden="false" customHeight="false" outlineLevel="0" collapsed="false">
      <c r="A8" s="0" t="n">
        <v>10</v>
      </c>
      <c r="B8" s="0" t="s">
        <v>1183</v>
      </c>
      <c r="C8" s="0" t="s">
        <v>1190</v>
      </c>
      <c r="D8" s="0" t="n">
        <v>12500</v>
      </c>
      <c r="E8" s="0" t="n">
        <v>8675.3028367824</v>
      </c>
      <c r="F8" s="0" t="n">
        <v>3824.6971632176</v>
      </c>
      <c r="G8" s="0" t="s">
        <v>1185</v>
      </c>
      <c r="H8" s="0" t="s">
        <v>1191</v>
      </c>
    </row>
    <row r="9" customFormat="false" ht="15" hidden="false" customHeight="false" outlineLevel="0" collapsed="false">
      <c r="A9" s="0" t="n">
        <v>10</v>
      </c>
      <c r="B9" s="0" t="s">
        <v>1183</v>
      </c>
      <c r="C9" s="0" t="s">
        <v>1192</v>
      </c>
      <c r="D9" s="0" t="n">
        <v>20000</v>
      </c>
      <c r="E9" s="0" t="n">
        <v>7777.3879521534</v>
      </c>
      <c r="F9" s="0" t="n">
        <v>12222.6120478466</v>
      </c>
      <c r="G9" s="0" t="s">
        <v>1185</v>
      </c>
      <c r="H9" s="0" t="s">
        <v>1193</v>
      </c>
    </row>
    <row r="10" customFormat="false" ht="15" hidden="false" customHeight="false" outlineLevel="0" collapsed="false">
      <c r="A10" s="0" t="n">
        <v>10</v>
      </c>
      <c r="B10" s="0" t="s">
        <v>1183</v>
      </c>
      <c r="C10" s="0" t="s">
        <v>1194</v>
      </c>
      <c r="D10" s="0" t="n">
        <v>20000</v>
      </c>
      <c r="E10" s="0" t="n">
        <v>9624.0228684285</v>
      </c>
      <c r="F10" s="0" t="n">
        <v>10375.9771315715</v>
      </c>
      <c r="G10" s="0" t="s">
        <v>1185</v>
      </c>
      <c r="H10" s="0" t="s">
        <v>1195</v>
      </c>
    </row>
    <row r="11" customFormat="false" ht="15" hidden="false" customHeight="false" outlineLevel="0" collapsed="false">
      <c r="A11" s="0" t="n">
        <v>10</v>
      </c>
      <c r="B11" s="0" t="s">
        <v>1183</v>
      </c>
      <c r="C11" s="0" t="s">
        <v>1196</v>
      </c>
      <c r="D11" s="0" t="n">
        <v>20000</v>
      </c>
      <c r="E11" s="0" t="n">
        <v>9112.6607104638</v>
      </c>
      <c r="F11" s="0" t="n">
        <v>10887.3392895362</v>
      </c>
      <c r="G11" s="0" t="s">
        <v>1185</v>
      </c>
      <c r="H11" s="0" t="s">
        <v>1197</v>
      </c>
    </row>
    <row r="12" customFormat="false" ht="15" hidden="false" customHeight="false" outlineLevel="0" collapsed="false">
      <c r="A12" s="0" t="n">
        <v>10</v>
      </c>
      <c r="B12" s="0" t="s">
        <v>1183</v>
      </c>
      <c r="C12" s="0" t="s">
        <v>1198</v>
      </c>
      <c r="D12" s="0" t="n">
        <v>17500</v>
      </c>
      <c r="E12" s="0" t="n">
        <v>12418.1236852239</v>
      </c>
      <c r="F12" s="0" t="n">
        <v>5081.8763147761</v>
      </c>
      <c r="G12" s="0" t="s">
        <v>1185</v>
      </c>
      <c r="H12" s="0" t="s">
        <v>1199</v>
      </c>
    </row>
    <row r="13" customFormat="false" ht="15" hidden="false" customHeight="false" outlineLevel="0" collapsed="false">
      <c r="A13" s="0" t="n">
        <v>1</v>
      </c>
      <c r="B13" s="0" t="s">
        <v>1200</v>
      </c>
      <c r="C13" s="0" t="s">
        <v>1201</v>
      </c>
      <c r="D13" s="0" t="n">
        <v>0</v>
      </c>
      <c r="F13" s="0" t="n">
        <v>0</v>
      </c>
      <c r="G13" s="0" t="s">
        <v>1202</v>
      </c>
      <c r="H13" s="0" t="s">
        <v>1203</v>
      </c>
    </row>
    <row r="14" customFormat="false" ht="15" hidden="false" customHeight="false" outlineLevel="0" collapsed="false">
      <c r="A14" s="0" t="n">
        <v>2</v>
      </c>
      <c r="B14" s="0" t="s">
        <v>1204</v>
      </c>
      <c r="C14" s="0" t="s">
        <v>1205</v>
      </c>
      <c r="D14" s="0" t="n">
        <v>167</v>
      </c>
      <c r="E14" s="0" t="n">
        <v>167</v>
      </c>
      <c r="F14" s="0" t="n">
        <v>0</v>
      </c>
      <c r="G14" s="0" t="s">
        <v>1206</v>
      </c>
      <c r="H14" s="0" t="s">
        <v>1207</v>
      </c>
    </row>
    <row r="15" customFormat="false" ht="15" hidden="false" customHeight="false" outlineLevel="0" collapsed="false">
      <c r="A15" s="0" t="n">
        <v>3</v>
      </c>
      <c r="B15" s="0" t="s">
        <v>1208</v>
      </c>
      <c r="C15" s="0" t="s">
        <v>1209</v>
      </c>
      <c r="D15" s="0" t="n">
        <v>0</v>
      </c>
      <c r="E15" s="0" t="n">
        <v>0</v>
      </c>
      <c r="F15" s="0" t="n">
        <v>0</v>
      </c>
      <c r="G15" s="0" t="s">
        <v>1206</v>
      </c>
      <c r="H15" s="0" t="s">
        <v>1210</v>
      </c>
    </row>
    <row r="16" customFormat="false" ht="15" hidden="false" customHeight="false" outlineLevel="0" collapsed="false">
      <c r="A16" s="0" t="n">
        <v>4</v>
      </c>
      <c r="B16" s="0" t="s">
        <v>1173</v>
      </c>
      <c r="C16" s="0" t="s">
        <v>1211</v>
      </c>
      <c r="D16" s="0" t="n">
        <v>3100670156</v>
      </c>
      <c r="E16" s="0" t="n">
        <v>3100670156</v>
      </c>
      <c r="F16" s="0" t="n">
        <v>0</v>
      </c>
      <c r="G16" s="0" t="s">
        <v>1206</v>
      </c>
      <c r="H16" s="0" t="s">
        <v>1212</v>
      </c>
    </row>
    <row r="17" customFormat="false" ht="15" hidden="false" customHeight="false" outlineLevel="0" collapsed="false">
      <c r="A17" s="0" t="n">
        <v>4</v>
      </c>
      <c r="B17" s="0" t="s">
        <v>1173</v>
      </c>
      <c r="C17" s="0" t="s">
        <v>1213</v>
      </c>
      <c r="D17" s="0" t="n">
        <v>620098291596</v>
      </c>
      <c r="E17" s="0" t="n">
        <v>620098291596</v>
      </c>
      <c r="F17" s="0" t="n">
        <v>0</v>
      </c>
      <c r="G17" s="0" t="s">
        <v>1206</v>
      </c>
      <c r="H17" s="0" t="s">
        <v>1212</v>
      </c>
    </row>
    <row r="18" customFormat="false" ht="15" hidden="false" customHeight="false" outlineLevel="0" collapsed="false">
      <c r="A18" s="0" t="n">
        <v>4</v>
      </c>
      <c r="B18" s="0" t="s">
        <v>1173</v>
      </c>
      <c r="C18" s="0" t="s">
        <v>1214</v>
      </c>
      <c r="D18" s="0" t="n">
        <v>2026111033189</v>
      </c>
      <c r="E18" s="0" t="n">
        <v>2026111033189</v>
      </c>
      <c r="F18" s="0" t="n">
        <v>0</v>
      </c>
      <c r="G18" s="0" t="s">
        <v>1206</v>
      </c>
      <c r="H18" s="0" t="s">
        <v>1212</v>
      </c>
    </row>
    <row r="19" customFormat="false" ht="15" hidden="false" customHeight="false" outlineLevel="0" collapsed="false">
      <c r="A19" s="0" t="n">
        <v>4</v>
      </c>
      <c r="B19" s="0" t="s">
        <v>1173</v>
      </c>
      <c r="C19" s="0" t="s">
        <v>1178</v>
      </c>
      <c r="D19" s="0" t="n">
        <v>4910016675784</v>
      </c>
      <c r="E19" s="0" t="n">
        <v>4910016675784</v>
      </c>
      <c r="F19" s="0" t="n">
        <v>0</v>
      </c>
      <c r="G19" s="0" t="s">
        <v>1206</v>
      </c>
      <c r="H19" s="0" t="s">
        <v>1212</v>
      </c>
    </row>
    <row r="20" customFormat="false" ht="15" hidden="false" customHeight="false" outlineLevel="0" collapsed="false">
      <c r="A20" s="0" t="n">
        <v>4</v>
      </c>
      <c r="B20" s="0" t="s">
        <v>1173</v>
      </c>
      <c r="C20" s="0" t="s">
        <v>1215</v>
      </c>
      <c r="D20" s="0" t="n">
        <v>5198170656463</v>
      </c>
      <c r="E20" s="0" t="n">
        <v>5198170656463</v>
      </c>
      <c r="F20" s="0" t="n">
        <v>0</v>
      </c>
      <c r="G20" s="0" t="s">
        <v>1206</v>
      </c>
      <c r="H20" s="0" t="s">
        <v>1212</v>
      </c>
    </row>
    <row r="21" customFormat="false" ht="15" hidden="false" customHeight="false" outlineLevel="0" collapsed="false">
      <c r="A21" s="0" t="n">
        <v>5</v>
      </c>
      <c r="B21" s="0" t="s">
        <v>1216</v>
      </c>
      <c r="C21" s="0" t="s">
        <v>1209</v>
      </c>
      <c r="D21" s="0" t="n">
        <v>0</v>
      </c>
      <c r="E21" s="0" t="n">
        <v>0</v>
      </c>
      <c r="F21" s="0" t="n">
        <v>0</v>
      </c>
      <c r="G21" s="0" t="s">
        <v>1206</v>
      </c>
      <c r="H21" s="0" t="s">
        <v>1217</v>
      </c>
    </row>
    <row r="22" customFormat="false" ht="15" hidden="false" customHeight="false" outlineLevel="0" collapsed="false">
      <c r="A22" s="0" t="n">
        <v>6</v>
      </c>
      <c r="B22" s="0" t="s">
        <v>1177</v>
      </c>
      <c r="C22" s="0" t="s">
        <v>1211</v>
      </c>
      <c r="D22" s="0" t="n">
        <v>8.000959722</v>
      </c>
      <c r="E22" s="0" t="n">
        <v>8</v>
      </c>
      <c r="F22" s="0" t="n">
        <v>-0.000959722000000662</v>
      </c>
      <c r="G22" s="0" t="s">
        <v>1206</v>
      </c>
      <c r="H22" s="0" t="s">
        <v>1218</v>
      </c>
    </row>
    <row r="23" customFormat="false" ht="15" hidden="false" customHeight="false" outlineLevel="0" collapsed="false">
      <c r="A23" s="0" t="n">
        <v>6</v>
      </c>
      <c r="B23" s="0" t="s">
        <v>1177</v>
      </c>
      <c r="C23" s="0" t="s">
        <v>1213</v>
      </c>
      <c r="D23" s="0" t="n">
        <v>21735.1293171243</v>
      </c>
      <c r="E23" s="0" t="n">
        <v>21735.14</v>
      </c>
      <c r="F23" s="0" t="n">
        <v>0.0106828756981419</v>
      </c>
      <c r="G23" s="0" t="s">
        <v>1206</v>
      </c>
      <c r="H23" s="0" t="s">
        <v>1218</v>
      </c>
    </row>
    <row r="24" customFormat="false" ht="15" hidden="false" customHeight="false" outlineLevel="0" collapsed="false">
      <c r="A24" s="0" t="n">
        <v>6</v>
      </c>
      <c r="B24" s="0" t="s">
        <v>1177</v>
      </c>
      <c r="C24" s="0" t="s">
        <v>1214</v>
      </c>
      <c r="D24" s="0" t="n">
        <v>71340.1356766329</v>
      </c>
      <c r="E24" s="0" t="n">
        <v>71340.12</v>
      </c>
      <c r="F24" s="0" t="n">
        <v>-0.0156766328990123</v>
      </c>
      <c r="G24" s="0" t="s">
        <v>1206</v>
      </c>
      <c r="H24" s="0" t="s">
        <v>1218</v>
      </c>
    </row>
    <row r="25" customFormat="false" ht="15" hidden="false" customHeight="false" outlineLevel="0" collapsed="false">
      <c r="A25" s="0" t="n">
        <v>6</v>
      </c>
      <c r="B25" s="0" t="s">
        <v>1177</v>
      </c>
      <c r="C25" s="0" t="s">
        <v>1174</v>
      </c>
      <c r="D25" s="0" t="n">
        <v>137442.99179554</v>
      </c>
      <c r="E25" s="0" t="n">
        <v>137443.02</v>
      </c>
      <c r="F25" s="0" t="n">
        <v>0.0282044597980256</v>
      </c>
      <c r="G25" s="0" t="s">
        <v>1206</v>
      </c>
      <c r="H25" s="0" t="s">
        <v>1218</v>
      </c>
    </row>
    <row r="26" customFormat="false" ht="15" hidden="false" customHeight="false" outlineLevel="0" collapsed="false">
      <c r="A26" s="0" t="n">
        <v>6</v>
      </c>
      <c r="B26" s="0" t="s">
        <v>1177</v>
      </c>
      <c r="C26" s="0" t="s">
        <v>1215</v>
      </c>
      <c r="D26" s="0" t="n">
        <v>186569.476268446</v>
      </c>
      <c r="E26" s="0" t="n">
        <v>186569.45</v>
      </c>
      <c r="F26" s="0" t="n">
        <v>-0.026268445903476</v>
      </c>
      <c r="G26" s="0" t="s">
        <v>1206</v>
      </c>
      <c r="H26" s="0" t="s">
        <v>1218</v>
      </c>
    </row>
    <row r="27" customFormat="false" ht="15" hidden="false" customHeight="false" outlineLevel="0" collapsed="false">
      <c r="A27" s="0" t="n">
        <v>7</v>
      </c>
      <c r="B27" s="0" t="s">
        <v>1219</v>
      </c>
      <c r="C27" s="0" t="s">
        <v>1220</v>
      </c>
      <c r="D27" s="0" t="n">
        <v>5</v>
      </c>
      <c r="E27" s="0" t="n">
        <v>4.999999998</v>
      </c>
      <c r="F27" s="0" t="n">
        <v>0</v>
      </c>
      <c r="G27" s="0" t="s">
        <v>1206</v>
      </c>
      <c r="H27" s="0" t="s">
        <v>1221</v>
      </c>
    </row>
    <row r="28" customFormat="false" ht="15" hidden="false" customHeight="false" outlineLevel="0" collapsed="false">
      <c r="A28" s="0" t="n">
        <v>8</v>
      </c>
      <c r="B28" s="0" t="s">
        <v>1180</v>
      </c>
      <c r="C28" s="0" t="s">
        <v>1222</v>
      </c>
      <c r="D28" s="0" t="n">
        <v>426469684</v>
      </c>
      <c r="E28" s="0" t="n">
        <v>426000000</v>
      </c>
      <c r="F28" s="0" t="n">
        <v>-0.01814858976</v>
      </c>
      <c r="G28" s="0" t="s">
        <v>1206</v>
      </c>
      <c r="H28" s="0" t="s">
        <v>1223</v>
      </c>
    </row>
    <row r="29" customFormat="false" ht="15" hidden="false" customHeight="false" outlineLevel="0" collapsed="false">
      <c r="A29" s="0" t="n">
        <v>8</v>
      </c>
      <c r="B29" s="0" t="s">
        <v>1180</v>
      </c>
      <c r="C29" s="0" t="s">
        <v>1224</v>
      </c>
      <c r="D29" s="0" t="n">
        <v>1055669350</v>
      </c>
      <c r="E29" s="0" t="n">
        <v>1056000000</v>
      </c>
      <c r="F29" s="0" t="n">
        <v>0.012776316</v>
      </c>
      <c r="G29" s="0" t="s">
        <v>1206</v>
      </c>
      <c r="H29" s="0" t="s">
        <v>1225</v>
      </c>
    </row>
    <row r="30" customFormat="false" ht="15" hidden="false" customHeight="false" outlineLevel="0" collapsed="false">
      <c r="A30" s="0" t="n">
        <v>8</v>
      </c>
      <c r="B30" s="0" t="s">
        <v>1180</v>
      </c>
      <c r="C30" s="0" t="s">
        <v>1226</v>
      </c>
      <c r="D30" s="0" t="n">
        <v>2114605799</v>
      </c>
      <c r="E30" s="0" t="n">
        <v>2115000000</v>
      </c>
      <c r="F30" s="0" t="n">
        <v>0.01523192664</v>
      </c>
      <c r="G30" s="0" t="s">
        <v>1206</v>
      </c>
      <c r="H30" s="0" t="s">
        <v>1227</v>
      </c>
    </row>
    <row r="31" customFormat="false" ht="15" hidden="false" customHeight="false" outlineLevel="0" collapsed="false">
      <c r="A31" s="0" t="n">
        <v>8</v>
      </c>
      <c r="B31" s="0" t="s">
        <v>1180</v>
      </c>
      <c r="C31" s="0" t="s">
        <v>1228</v>
      </c>
      <c r="D31" s="0" t="n">
        <v>7466089971</v>
      </c>
      <c r="E31" s="0" t="n">
        <v>7466000000</v>
      </c>
      <c r="F31" s="0" t="n">
        <v>-0.00347647944</v>
      </c>
      <c r="G31" s="0" t="s">
        <v>1206</v>
      </c>
      <c r="H31" s="0" t="s">
        <v>1229</v>
      </c>
    </row>
    <row r="32" customFormat="false" ht="15" hidden="false" customHeight="false" outlineLevel="0" collapsed="false">
      <c r="A32" s="0" t="n">
        <v>8</v>
      </c>
      <c r="B32" s="0" t="s">
        <v>1180</v>
      </c>
      <c r="C32" s="0" t="s">
        <v>1230</v>
      </c>
      <c r="D32" s="0" t="n">
        <v>12737283801</v>
      </c>
      <c r="E32" s="0" t="n">
        <v>12737000000</v>
      </c>
      <c r="F32" s="0" t="n">
        <v>-0.01096607064</v>
      </c>
      <c r="G32" s="0" t="s">
        <v>1206</v>
      </c>
      <c r="H32" s="0" t="s">
        <v>1229</v>
      </c>
    </row>
    <row r="33" customFormat="false" ht="15" hidden="false" customHeight="false" outlineLevel="0" collapsed="false">
      <c r="A33" s="0" t="n">
        <v>8</v>
      </c>
      <c r="B33" s="0" t="s">
        <v>1180</v>
      </c>
      <c r="C33" s="0" t="s">
        <v>1231</v>
      </c>
      <c r="D33" s="0" t="n">
        <v>14986734199</v>
      </c>
      <c r="E33" s="0" t="n">
        <v>14987000000</v>
      </c>
      <c r="F33" s="0" t="n">
        <v>0.01027055064</v>
      </c>
      <c r="G33" s="0" t="s">
        <v>1206</v>
      </c>
      <c r="H33" s="0" t="s">
        <v>1232</v>
      </c>
    </row>
    <row r="34" customFormat="false" ht="15" hidden="false" customHeight="false" outlineLevel="0" collapsed="false">
      <c r="A34" s="0" t="n">
        <v>8</v>
      </c>
      <c r="B34" s="0" t="s">
        <v>1180</v>
      </c>
      <c r="C34" s="0" t="s">
        <v>1233</v>
      </c>
      <c r="D34" s="0" t="n">
        <v>1226175518</v>
      </c>
      <c r="E34" s="0" t="n">
        <v>1226000000</v>
      </c>
      <c r="F34" s="0" t="n">
        <v>-0.0070031682</v>
      </c>
      <c r="G34" s="0" t="s">
        <v>1206</v>
      </c>
      <c r="H34" s="0" t="s">
        <v>1234</v>
      </c>
    </row>
    <row r="35" customFormat="false" ht="15" hidden="false" customHeight="false" outlineLevel="0" collapsed="false">
      <c r="A35" s="0" t="n">
        <v>8</v>
      </c>
      <c r="B35" s="0" t="s">
        <v>1180</v>
      </c>
      <c r="C35" s="0" t="s">
        <v>1235</v>
      </c>
      <c r="D35" s="0" t="n">
        <v>10059494302</v>
      </c>
      <c r="E35" s="0" t="n">
        <v>10059000000</v>
      </c>
      <c r="F35" s="0" t="n">
        <v>-0.0197226498</v>
      </c>
      <c r="G35" s="0" t="s">
        <v>1206</v>
      </c>
      <c r="H35" s="0" t="s">
        <v>1229</v>
      </c>
    </row>
    <row r="36" customFormat="false" ht="15" hidden="false" customHeight="false" outlineLevel="0" collapsed="false">
      <c r="A36" s="0" t="n">
        <v>8</v>
      </c>
      <c r="B36" s="0" t="s">
        <v>1180</v>
      </c>
      <c r="C36" s="0" t="s">
        <v>1236</v>
      </c>
      <c r="D36" s="0" t="n">
        <v>46369863095</v>
      </c>
      <c r="E36" s="0" t="n">
        <v>46370000000</v>
      </c>
      <c r="F36" s="0" t="n">
        <v>0.0054625095</v>
      </c>
      <c r="G36" s="0" t="s">
        <v>1206</v>
      </c>
      <c r="H36" s="0" t="s">
        <v>1232</v>
      </c>
    </row>
    <row r="37" customFormat="false" ht="15" hidden="false" customHeight="false" outlineLevel="0" collapsed="false">
      <c r="A37" s="0" t="n">
        <v>8</v>
      </c>
      <c r="B37" s="0" t="s">
        <v>1180</v>
      </c>
      <c r="C37" s="0" t="s">
        <v>1237</v>
      </c>
      <c r="D37" s="0" t="n">
        <v>165493359479</v>
      </c>
      <c r="E37" s="0" t="n">
        <v>165493000000</v>
      </c>
      <c r="F37" s="0" t="n">
        <v>-0.0143432121</v>
      </c>
      <c r="G37" s="0" t="s">
        <v>1206</v>
      </c>
      <c r="H37" s="0" t="s">
        <v>1229</v>
      </c>
    </row>
    <row r="38" customFormat="false" ht="15" hidden="false" customHeight="false" outlineLevel="0" collapsed="false">
      <c r="A38" s="0" t="n">
        <v>8</v>
      </c>
      <c r="B38" s="0" t="s">
        <v>1180</v>
      </c>
      <c r="C38" s="0" t="s">
        <v>1238</v>
      </c>
      <c r="D38" s="0" t="n">
        <v>370518908817</v>
      </c>
      <c r="E38" s="0" t="n">
        <v>370519000000</v>
      </c>
      <c r="F38" s="0" t="n">
        <v>0.0036382017</v>
      </c>
      <c r="G38" s="0" t="s">
        <v>1206</v>
      </c>
      <c r="H38" s="0" t="s">
        <v>1232</v>
      </c>
    </row>
    <row r="39" customFormat="false" ht="15" hidden="false" customHeight="false" outlineLevel="0" collapsed="false">
      <c r="A39" s="0" t="n">
        <v>8</v>
      </c>
      <c r="B39" s="0" t="s">
        <v>1180</v>
      </c>
      <c r="C39" s="0" t="s">
        <v>1239</v>
      </c>
      <c r="D39" s="0" t="n">
        <v>2516245521</v>
      </c>
      <c r="E39" s="0" t="n">
        <v>2516000000</v>
      </c>
      <c r="F39" s="0" t="n">
        <v>-0.0097962879</v>
      </c>
      <c r="G39" s="0" t="s">
        <v>1206</v>
      </c>
      <c r="H39" s="0" t="s">
        <v>1234</v>
      </c>
    </row>
    <row r="40" customFormat="false" ht="15" hidden="false" customHeight="false" outlineLevel="0" collapsed="false">
      <c r="A40" s="0" t="n">
        <v>8</v>
      </c>
      <c r="B40" s="0" t="s">
        <v>1180</v>
      </c>
      <c r="C40" s="0" t="s">
        <v>1240</v>
      </c>
      <c r="D40" s="0" t="n">
        <v>16337845301</v>
      </c>
      <c r="E40" s="0" t="n">
        <v>16338000000</v>
      </c>
      <c r="F40" s="0" t="n">
        <v>0.0061724901</v>
      </c>
      <c r="G40" s="0" t="s">
        <v>1206</v>
      </c>
      <c r="H40" s="0" t="s">
        <v>1232</v>
      </c>
    </row>
    <row r="41" customFormat="false" ht="15" hidden="false" customHeight="false" outlineLevel="0" collapsed="false">
      <c r="A41" s="0" t="n">
        <v>8</v>
      </c>
      <c r="B41" s="0" t="s">
        <v>1180</v>
      </c>
      <c r="C41" s="0" t="s">
        <v>1241</v>
      </c>
      <c r="D41" s="0" t="n">
        <v>113741699989</v>
      </c>
      <c r="E41" s="0" t="n">
        <v>113742000000</v>
      </c>
      <c r="F41" s="0" t="n">
        <v>0.0119704389</v>
      </c>
      <c r="G41" s="0" t="s">
        <v>1206</v>
      </c>
      <c r="H41" s="0" t="s">
        <v>1232</v>
      </c>
    </row>
    <row r="42" customFormat="false" ht="15" hidden="false" customHeight="false" outlineLevel="0" collapsed="false">
      <c r="A42" s="0" t="n">
        <v>8</v>
      </c>
      <c r="B42" s="0" t="s">
        <v>1180</v>
      </c>
      <c r="C42" s="0" t="s">
        <v>1242</v>
      </c>
      <c r="D42" s="0" t="n">
        <v>319660762488</v>
      </c>
      <c r="E42" s="0" t="n">
        <v>319661000000</v>
      </c>
      <c r="F42" s="0" t="n">
        <v>0.0094767288</v>
      </c>
      <c r="G42" s="0" t="s">
        <v>1206</v>
      </c>
      <c r="H42" s="0" t="s">
        <v>1232</v>
      </c>
    </row>
    <row r="43" customFormat="false" ht="15" hidden="false" customHeight="false" outlineLevel="0" collapsed="false">
      <c r="A43" s="0" t="n">
        <v>8</v>
      </c>
      <c r="B43" s="0" t="s">
        <v>1180</v>
      </c>
      <c r="C43" s="0" t="s">
        <v>1243</v>
      </c>
      <c r="D43" s="0" t="n">
        <v>410116582141</v>
      </c>
      <c r="E43" s="0" t="n">
        <v>410117000000</v>
      </c>
      <c r="F43" s="0" t="n">
        <v>0.0166725741</v>
      </c>
      <c r="G43" s="0" t="s">
        <v>1206</v>
      </c>
      <c r="H43" s="0" t="s">
        <v>1232</v>
      </c>
    </row>
    <row r="44" customFormat="false" ht="15" hidden="false" customHeight="false" outlineLevel="0" collapsed="false">
      <c r="A44" s="0" t="n">
        <v>8</v>
      </c>
      <c r="B44" s="0" t="s">
        <v>1180</v>
      </c>
      <c r="C44" s="0" t="s">
        <v>1244</v>
      </c>
      <c r="D44" s="0" t="n">
        <v>456562117440</v>
      </c>
      <c r="E44" s="0" t="n">
        <v>456562000000</v>
      </c>
      <c r="F44" s="0" t="n">
        <v>-0.004685856</v>
      </c>
      <c r="G44" s="0" t="s">
        <v>1206</v>
      </c>
      <c r="H44" s="0" t="s">
        <v>1229</v>
      </c>
    </row>
    <row r="45" customFormat="false" ht="15" hidden="false" customHeight="false" outlineLevel="0" collapsed="false">
      <c r="A45" s="0" t="n">
        <v>9</v>
      </c>
      <c r="B45" s="0" t="s">
        <v>1245</v>
      </c>
      <c r="C45" s="0" t="s">
        <v>1222</v>
      </c>
      <c r="D45" s="0" t="n">
        <v>16.4588</v>
      </c>
      <c r="E45" s="0" t="n">
        <v>16.46</v>
      </c>
      <c r="F45" s="0" t="n">
        <v>0.00120000000000076</v>
      </c>
      <c r="G45" s="0" t="s">
        <v>1206</v>
      </c>
      <c r="H45" s="0" t="s">
        <v>1246</v>
      </c>
    </row>
    <row r="46" customFormat="false" ht="15" hidden="false" customHeight="false" outlineLevel="0" collapsed="false">
      <c r="A46" s="0" t="n">
        <v>9</v>
      </c>
      <c r="B46" s="0" t="s">
        <v>1245</v>
      </c>
      <c r="C46" s="0" t="s">
        <v>1224</v>
      </c>
      <c r="D46" s="0" t="n">
        <v>40.802</v>
      </c>
      <c r="E46" s="0" t="n">
        <v>40.8</v>
      </c>
      <c r="F46" s="0" t="n">
        <v>-0.00200000000000244</v>
      </c>
      <c r="G46" s="0" t="s">
        <v>1206</v>
      </c>
      <c r="H46" s="0" t="s">
        <v>1246</v>
      </c>
    </row>
    <row r="47" customFormat="false" ht="15" hidden="false" customHeight="false" outlineLevel="0" collapsed="false">
      <c r="A47" s="0" t="n">
        <v>9</v>
      </c>
      <c r="B47" s="0" t="s">
        <v>1245</v>
      </c>
      <c r="C47" s="0" t="s">
        <v>1226</v>
      </c>
      <c r="D47" s="0" t="n">
        <v>81.7236</v>
      </c>
      <c r="E47" s="0" t="n">
        <v>81.72</v>
      </c>
      <c r="F47" s="0" t="n">
        <v>-0.00360000000000582</v>
      </c>
      <c r="G47" s="0" t="s">
        <v>1206</v>
      </c>
      <c r="H47" s="0" t="s">
        <v>1246</v>
      </c>
    </row>
    <row r="48" customFormat="false" ht="15" hidden="false" customHeight="false" outlineLevel="0" collapsed="false">
      <c r="A48" s="0" t="n">
        <v>9</v>
      </c>
      <c r="B48" s="0" t="s">
        <v>1245</v>
      </c>
      <c r="C48" s="0" t="s">
        <v>1228</v>
      </c>
      <c r="D48" s="0" t="n">
        <v>288.4844</v>
      </c>
      <c r="E48" s="0" t="n">
        <v>288.48</v>
      </c>
      <c r="F48" s="0" t="n">
        <v>-0.00439999999997554</v>
      </c>
      <c r="G48" s="0" t="s">
        <v>1206</v>
      </c>
      <c r="H48" s="0" t="s">
        <v>1246</v>
      </c>
    </row>
    <row r="49" customFormat="false" ht="15" hidden="false" customHeight="false" outlineLevel="0" collapsed="false">
      <c r="A49" s="0" t="n">
        <v>9</v>
      </c>
      <c r="B49" s="0" t="s">
        <v>1245</v>
      </c>
      <c r="C49" s="0" t="s">
        <v>1230</v>
      </c>
      <c r="D49" s="0" t="n">
        <v>492.154</v>
      </c>
      <c r="E49" s="0" t="n">
        <v>492.15</v>
      </c>
      <c r="F49" s="0" t="n">
        <v>-0.00400000000007594</v>
      </c>
      <c r="G49" s="0" t="s">
        <v>1206</v>
      </c>
      <c r="H49" s="0" t="s">
        <v>1246</v>
      </c>
    </row>
    <row r="50" customFormat="false" ht="15" hidden="false" customHeight="false" outlineLevel="0" collapsed="false">
      <c r="A50" s="0" t="n">
        <v>9</v>
      </c>
      <c r="B50" s="0" t="s">
        <v>1245</v>
      </c>
      <c r="C50" s="0" t="s">
        <v>1231</v>
      </c>
      <c r="D50" s="0" t="n">
        <v>579.094</v>
      </c>
      <c r="E50" s="0" t="n">
        <v>579.09</v>
      </c>
      <c r="F50" s="0" t="n">
        <v>-0.0040000000000191</v>
      </c>
      <c r="G50" s="0" t="s">
        <v>1206</v>
      </c>
      <c r="H50" s="0" t="s">
        <v>1246</v>
      </c>
    </row>
    <row r="51" customFormat="false" ht="15" hidden="false" customHeight="false" outlineLevel="0" collapsed="false">
      <c r="A51" s="0" t="n">
        <v>9</v>
      </c>
      <c r="B51" s="0" t="s">
        <v>1245</v>
      </c>
      <c r="C51" s="0" t="s">
        <v>1233</v>
      </c>
      <c r="D51" s="0" t="n">
        <v>48.9155</v>
      </c>
      <c r="E51" s="0" t="n">
        <v>48.92</v>
      </c>
      <c r="F51" s="0" t="n">
        <v>0.00450000000000017</v>
      </c>
      <c r="G51" s="0" t="s">
        <v>1206</v>
      </c>
      <c r="H51" s="0" t="s">
        <v>1247</v>
      </c>
    </row>
    <row r="52" customFormat="false" ht="15" hidden="false" customHeight="false" outlineLevel="0" collapsed="false">
      <c r="A52" s="0" t="n">
        <v>9</v>
      </c>
      <c r="B52" s="0" t="s">
        <v>1245</v>
      </c>
      <c r="C52" s="0" t="s">
        <v>1235</v>
      </c>
      <c r="D52" s="0" t="n">
        <v>401.356</v>
      </c>
      <c r="E52" s="0" t="n">
        <v>401.36</v>
      </c>
      <c r="F52" s="0" t="n">
        <v>0.0040000000000191</v>
      </c>
      <c r="G52" s="0" t="s">
        <v>1206</v>
      </c>
      <c r="H52" s="0" t="s">
        <v>1247</v>
      </c>
    </row>
    <row r="53" customFormat="false" ht="15" hidden="false" customHeight="false" outlineLevel="0" collapsed="false">
      <c r="A53" s="0" t="n">
        <v>9</v>
      </c>
      <c r="B53" s="0" t="s">
        <v>1245</v>
      </c>
      <c r="C53" s="0" t="s">
        <v>1236</v>
      </c>
      <c r="D53" s="0" t="n">
        <v>1850.163</v>
      </c>
      <c r="E53" s="0" t="n">
        <v>1850.16</v>
      </c>
      <c r="F53" s="0" t="n">
        <v>-0.00299999999970169</v>
      </c>
      <c r="G53" s="0" t="s">
        <v>1206</v>
      </c>
      <c r="H53" s="0" t="s">
        <v>1247</v>
      </c>
    </row>
    <row r="54" customFormat="false" ht="15" hidden="false" customHeight="false" outlineLevel="0" collapsed="false">
      <c r="A54" s="0" t="n">
        <v>9</v>
      </c>
      <c r="B54" s="0" t="s">
        <v>1245</v>
      </c>
      <c r="C54" s="0" t="s">
        <v>1237</v>
      </c>
      <c r="D54" s="0" t="n">
        <v>6603.1745</v>
      </c>
      <c r="E54" s="0" t="n">
        <v>6603.17</v>
      </c>
      <c r="F54" s="0" t="n">
        <v>-0.00450000000000728</v>
      </c>
      <c r="G54" s="0" t="s">
        <v>1206</v>
      </c>
      <c r="H54" s="0" t="s">
        <v>1247</v>
      </c>
    </row>
    <row r="55" customFormat="false" ht="15" hidden="false" customHeight="false" outlineLevel="0" collapsed="false">
      <c r="A55" s="0" t="n">
        <v>9</v>
      </c>
      <c r="B55" s="0" t="s">
        <v>1245</v>
      </c>
      <c r="C55" s="0" t="s">
        <v>1181</v>
      </c>
      <c r="D55" s="0" t="n">
        <v>12231.744</v>
      </c>
      <c r="E55" s="0" t="n">
        <v>12231.74</v>
      </c>
      <c r="F55" s="0" t="n">
        <v>-0.00400000000081491</v>
      </c>
      <c r="G55" s="0" t="s">
        <v>1206</v>
      </c>
      <c r="H55" s="0" t="s">
        <v>1247</v>
      </c>
    </row>
    <row r="56" customFormat="false" ht="15" hidden="false" customHeight="false" outlineLevel="0" collapsed="false">
      <c r="A56" s="0" t="n">
        <v>9</v>
      </c>
      <c r="B56" s="0" t="s">
        <v>1245</v>
      </c>
      <c r="C56" s="0" t="s">
        <v>1238</v>
      </c>
      <c r="D56" s="0" t="n">
        <v>14783.71</v>
      </c>
      <c r="E56" s="0" t="n">
        <v>14783.71</v>
      </c>
      <c r="F56" s="0" t="n">
        <v>0</v>
      </c>
      <c r="G56" s="0" t="s">
        <v>1206</v>
      </c>
      <c r="H56" s="0" t="s">
        <v>1247</v>
      </c>
    </row>
    <row r="57" customFormat="false" ht="15" hidden="false" customHeight="false" outlineLevel="0" collapsed="false">
      <c r="A57" s="0" t="n">
        <v>9</v>
      </c>
      <c r="B57" s="0" t="s">
        <v>1245</v>
      </c>
      <c r="C57" s="0" t="s">
        <v>1239</v>
      </c>
      <c r="D57" s="0" t="n">
        <v>100.3865</v>
      </c>
      <c r="E57" s="0" t="n">
        <v>100.39</v>
      </c>
      <c r="F57" s="0" t="n">
        <v>0.0035000000000025</v>
      </c>
      <c r="G57" s="0" t="s">
        <v>1206</v>
      </c>
      <c r="H57" s="0" t="s">
        <v>1247</v>
      </c>
    </row>
    <row r="58" customFormat="false" ht="15" hidden="false" customHeight="false" outlineLevel="0" collapsed="false">
      <c r="A58" s="0" t="n">
        <v>9</v>
      </c>
      <c r="B58" s="0" t="s">
        <v>1245</v>
      </c>
      <c r="C58" s="0" t="s">
        <v>1240</v>
      </c>
      <c r="D58" s="0" t="n">
        <v>651.89</v>
      </c>
      <c r="E58" s="0" t="n">
        <v>651.89</v>
      </c>
      <c r="F58" s="0" t="n">
        <v>0</v>
      </c>
      <c r="G58" s="0" t="s">
        <v>1206</v>
      </c>
      <c r="H58" s="0" t="s">
        <v>1247</v>
      </c>
    </row>
    <row r="59" customFormat="false" ht="15" hidden="false" customHeight="false" outlineLevel="0" collapsed="false">
      <c r="A59" s="0" t="n">
        <v>9</v>
      </c>
      <c r="B59" s="0" t="s">
        <v>1245</v>
      </c>
      <c r="C59" s="0" t="s">
        <v>1241</v>
      </c>
      <c r="D59" s="0" t="n">
        <v>4538.302</v>
      </c>
      <c r="E59" s="0" t="n">
        <v>4538.3</v>
      </c>
      <c r="F59" s="0" t="n">
        <v>-0.00199999999949796</v>
      </c>
      <c r="G59" s="0" t="s">
        <v>1206</v>
      </c>
      <c r="H59" s="0" t="s">
        <v>1247</v>
      </c>
    </row>
    <row r="60" customFormat="false" ht="15" hidden="false" customHeight="false" outlineLevel="0" collapsed="false">
      <c r="A60" s="0" t="n">
        <v>9</v>
      </c>
      <c r="B60" s="0" t="s">
        <v>1245</v>
      </c>
      <c r="C60" s="0" t="s">
        <v>1242</v>
      </c>
      <c r="D60" s="0" t="n">
        <v>12754.472</v>
      </c>
      <c r="E60" s="0" t="n">
        <v>12754.47</v>
      </c>
      <c r="F60" s="0" t="n">
        <v>-0.00200000000040745</v>
      </c>
      <c r="G60" s="0" t="s">
        <v>1206</v>
      </c>
      <c r="H60" s="0" t="s">
        <v>1247</v>
      </c>
    </row>
    <row r="61" customFormat="false" ht="15" hidden="false" customHeight="false" outlineLevel="0" collapsed="false">
      <c r="A61" s="0" t="n">
        <v>9</v>
      </c>
      <c r="B61" s="0" t="s">
        <v>1245</v>
      </c>
      <c r="C61" s="0" t="s">
        <v>1243</v>
      </c>
      <c r="D61" s="0" t="n">
        <v>16363.6645</v>
      </c>
      <c r="E61" s="0" t="n">
        <v>16363.66</v>
      </c>
      <c r="F61" s="0" t="n">
        <v>-0.00449999999909778</v>
      </c>
      <c r="G61" s="0" t="s">
        <v>1206</v>
      </c>
      <c r="H61" s="0" t="s">
        <v>1247</v>
      </c>
    </row>
    <row r="62" customFormat="false" ht="15" hidden="false" customHeight="false" outlineLevel="0" collapsed="false">
      <c r="A62" s="0" t="n">
        <v>9</v>
      </c>
      <c r="B62" s="0" t="s">
        <v>1245</v>
      </c>
      <c r="C62" s="0" t="s">
        <v>1244</v>
      </c>
      <c r="D62" s="0" t="n">
        <v>18216.82</v>
      </c>
      <c r="E62" s="0" t="n">
        <v>18216.82</v>
      </c>
      <c r="F62" s="0" t="n">
        <v>3.63797880709171E-012</v>
      </c>
      <c r="G62" s="0" t="s">
        <v>1206</v>
      </c>
      <c r="H62" s="0" t="s">
        <v>1247</v>
      </c>
    </row>
    <row r="63" customFormat="false" ht="15" hidden="false" customHeight="false" outlineLevel="0" collapsed="false">
      <c r="A63" s="0" t="n">
        <v>11</v>
      </c>
      <c r="B63" s="0" t="s">
        <v>1248</v>
      </c>
      <c r="C63" s="0" t="s">
        <v>1215</v>
      </c>
      <c r="D63" s="0" t="n">
        <v>0.5</v>
      </c>
      <c r="E63" s="0" t="n">
        <v>0.462407600835446</v>
      </c>
      <c r="F63" s="0" t="n">
        <v>0</v>
      </c>
      <c r="G63" s="0" t="s">
        <v>1206</v>
      </c>
      <c r="H63" s="0" t="s">
        <v>1249</v>
      </c>
    </row>
    <row r="64" customFormat="false" ht="15" hidden="false" customHeight="false" outlineLevel="0" collapsed="false">
      <c r="A64" s="0" t="n">
        <v>12</v>
      </c>
      <c r="B64" s="0" t="s">
        <v>1250</v>
      </c>
      <c r="C64" s="0" t="s">
        <v>1215</v>
      </c>
      <c r="D64" s="0" t="n">
        <v>0.2</v>
      </c>
      <c r="E64" s="0" t="n">
        <v>0</v>
      </c>
      <c r="F64" s="0" t="n">
        <v>0</v>
      </c>
      <c r="G64" s="0" t="s">
        <v>1206</v>
      </c>
      <c r="H64" s="0" t="s">
        <v>1251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39B"/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62" t="s">
        <v>400</v>
      </c>
      <c r="B1" s="62" t="s">
        <v>1252</v>
      </c>
      <c r="C1" s="62" t="s">
        <v>1253</v>
      </c>
    </row>
    <row r="2" customFormat="false" ht="15" hidden="false" customHeight="false" outlineLevel="0" collapsed="false">
      <c r="A2" s="63" t="n">
        <v>46082</v>
      </c>
      <c r="B2" s="0" t="n">
        <v>0</v>
      </c>
      <c r="C2" s="0" t="n">
        <v>0</v>
      </c>
    </row>
    <row r="3" customFormat="false" ht="15" hidden="false" customHeight="false" outlineLevel="0" collapsed="false">
      <c r="A3" s="63" t="n">
        <v>46113</v>
      </c>
      <c r="B3" s="0" t="n">
        <v>0</v>
      </c>
      <c r="C3" s="0" t="n">
        <v>0</v>
      </c>
    </row>
    <row r="4" customFormat="false" ht="15" hidden="false" customHeight="false" outlineLevel="0" collapsed="false">
      <c r="A4" s="63" t="n">
        <v>46143</v>
      </c>
      <c r="B4" s="0" t="n">
        <v>0</v>
      </c>
      <c r="C4" s="0" t="n">
        <v>0</v>
      </c>
    </row>
    <row r="5" customFormat="false" ht="15" hidden="false" customHeight="false" outlineLevel="0" collapsed="false">
      <c r="A5" s="63" t="n">
        <v>46174</v>
      </c>
      <c r="B5" s="0" t="n">
        <v>0</v>
      </c>
      <c r="C5" s="0" t="n">
        <v>0</v>
      </c>
    </row>
    <row r="6" customFormat="false" ht="15" hidden="false" customHeight="false" outlineLevel="0" collapsed="false">
      <c r="A6" s="63" t="n">
        <v>46204</v>
      </c>
      <c r="B6" s="0" t="n">
        <v>0</v>
      </c>
      <c r="C6" s="0" t="n">
        <v>0</v>
      </c>
    </row>
    <row r="7" customFormat="false" ht="15" hidden="false" customHeight="false" outlineLevel="0" collapsed="false">
      <c r="A7" s="63" t="n">
        <v>46235</v>
      </c>
      <c r="B7" s="0" t="n">
        <v>0</v>
      </c>
      <c r="C7" s="0" t="n">
        <v>0</v>
      </c>
    </row>
    <row r="8" customFormat="false" ht="15" hidden="false" customHeight="false" outlineLevel="0" collapsed="false">
      <c r="A8" s="63" t="n">
        <v>46266</v>
      </c>
      <c r="B8" s="0" t="n">
        <v>6884151</v>
      </c>
      <c r="C8" s="0" t="n">
        <v>25912</v>
      </c>
    </row>
    <row r="9" customFormat="false" ht="15" hidden="false" customHeight="false" outlineLevel="0" collapsed="false">
      <c r="A9" s="63" t="n">
        <v>46296</v>
      </c>
      <c r="B9" s="0" t="n">
        <v>662282868</v>
      </c>
      <c r="C9" s="0" t="n">
        <v>3929333</v>
      </c>
    </row>
    <row r="10" customFormat="false" ht="15" hidden="false" customHeight="false" outlineLevel="0" collapsed="false">
      <c r="A10" s="63" t="n">
        <v>46327</v>
      </c>
      <c r="B10" s="0" t="n">
        <v>1967963535</v>
      </c>
      <c r="C10" s="0" t="n">
        <v>11741639</v>
      </c>
    </row>
    <row r="11" customFormat="false" ht="15" hidden="false" customHeight="false" outlineLevel="0" collapsed="false">
      <c r="A11" s="63" t="n">
        <v>46357</v>
      </c>
      <c r="B11" s="0" t="n">
        <v>3736941686</v>
      </c>
      <c r="C11" s="0" t="n">
        <v>96492825</v>
      </c>
    </row>
    <row r="12" customFormat="false" ht="15" hidden="false" customHeight="false" outlineLevel="0" collapsed="false">
      <c r="A12" s="63" t="n">
        <v>46388</v>
      </c>
      <c r="B12" s="0" t="n">
        <v>4885998682</v>
      </c>
      <c r="C12" s="0" t="n">
        <v>29195823</v>
      </c>
    </row>
    <row r="13" customFormat="false" ht="15" hidden="false" customHeight="false" outlineLevel="0" collapsed="false">
      <c r="A13" s="63" t="n">
        <v>46419</v>
      </c>
      <c r="B13" s="0" t="n">
        <v>5270185889</v>
      </c>
      <c r="C13" s="0" t="n">
        <v>31491295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39B"/>
    <pageSetUpPr fitToPage="false"/>
  </sheetPr>
  <dimension ref="A1:B1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62" t="s">
        <v>1254</v>
      </c>
      <c r="B1" s="62" t="s">
        <v>1255</v>
      </c>
    </row>
    <row r="2" customFormat="false" ht="15" hidden="false" customHeight="false" outlineLevel="0" collapsed="false">
      <c r="A2" s="63" t="n">
        <v>46440</v>
      </c>
      <c r="B2" s="0" t="n">
        <v>15872595511</v>
      </c>
    </row>
    <row r="3" customFormat="false" ht="15" hidden="false" customHeight="false" outlineLevel="0" collapsed="false">
      <c r="A3" s="65" t="n">
        <v>46440.0416666667</v>
      </c>
      <c r="B3" s="0" t="n">
        <v>15872595511</v>
      </c>
    </row>
    <row r="4" customFormat="false" ht="15" hidden="false" customHeight="false" outlineLevel="0" collapsed="false">
      <c r="A4" s="65" t="n">
        <v>46440.0833333333</v>
      </c>
      <c r="B4" s="0" t="n">
        <v>15872595511</v>
      </c>
    </row>
    <row r="5" customFormat="false" ht="15" hidden="false" customHeight="false" outlineLevel="0" collapsed="false">
      <c r="A5" s="65" t="n">
        <v>46440.125</v>
      </c>
      <c r="B5" s="0" t="n">
        <v>15872595511</v>
      </c>
    </row>
    <row r="6" customFormat="false" ht="15" hidden="false" customHeight="false" outlineLevel="0" collapsed="false">
      <c r="A6" s="65" t="n">
        <v>46440.1666666667</v>
      </c>
      <c r="B6" s="0" t="n">
        <v>15872595511</v>
      </c>
    </row>
    <row r="7" customFormat="false" ht="15" hidden="false" customHeight="false" outlineLevel="0" collapsed="false">
      <c r="A7" s="65" t="n">
        <v>46440.2083333333</v>
      </c>
      <c r="B7" s="0" t="n">
        <v>15872595511</v>
      </c>
    </row>
    <row r="8" customFormat="false" ht="15" hidden="false" customHeight="false" outlineLevel="0" collapsed="false">
      <c r="A8" s="65" t="n">
        <v>46440.25</v>
      </c>
      <c r="B8" s="0" t="n">
        <v>5316673992</v>
      </c>
    </row>
    <row r="9" customFormat="false" ht="15" hidden="false" customHeight="false" outlineLevel="0" collapsed="false">
      <c r="A9" s="65" t="n">
        <v>46440.2916666667</v>
      </c>
      <c r="B9" s="0" t="n">
        <v>7538806808</v>
      </c>
    </row>
    <row r="10" customFormat="false" ht="15" hidden="false" customHeight="false" outlineLevel="0" collapsed="false">
      <c r="A10" s="65" t="n">
        <v>46440.3333333333</v>
      </c>
      <c r="B10" s="0" t="n">
        <v>8765098787</v>
      </c>
    </row>
    <row r="11" customFormat="false" ht="15" hidden="false" customHeight="false" outlineLevel="0" collapsed="false">
      <c r="A11" s="65" t="n">
        <v>46440.375</v>
      </c>
      <c r="B11" s="0" t="n">
        <v>8765098787</v>
      </c>
    </row>
    <row r="12" customFormat="false" ht="15" hidden="false" customHeight="false" outlineLevel="0" collapsed="false">
      <c r="A12" s="65" t="n">
        <v>46440.4166666667</v>
      </c>
      <c r="B12" s="0" t="n">
        <v>8765098787</v>
      </c>
    </row>
    <row r="13" customFormat="false" ht="15" hidden="false" customHeight="false" outlineLevel="0" collapsed="false">
      <c r="A13" s="65" t="n">
        <v>46440.4583333333</v>
      </c>
      <c r="B13" s="0" t="n">
        <v>8765098787</v>
      </c>
    </row>
    <row r="14" customFormat="false" ht="15" hidden="false" customHeight="false" outlineLevel="0" collapsed="false">
      <c r="A14" s="65" t="n">
        <v>46440.5</v>
      </c>
      <c r="B14" s="0" t="n">
        <v>8765098787</v>
      </c>
    </row>
    <row r="15" customFormat="false" ht="15" hidden="false" customHeight="false" outlineLevel="0" collapsed="false">
      <c r="A15" s="65" t="n">
        <v>46440.5416666667</v>
      </c>
      <c r="B15" s="0" t="n">
        <v>8765098787</v>
      </c>
    </row>
    <row r="16" customFormat="false" ht="15" hidden="false" customHeight="false" outlineLevel="0" collapsed="false">
      <c r="A16" s="65" t="n">
        <v>46440.5833333333</v>
      </c>
      <c r="B16" s="0" t="n">
        <v>8765098787</v>
      </c>
    </row>
    <row r="17" customFormat="false" ht="15" hidden="false" customHeight="false" outlineLevel="0" collapsed="false">
      <c r="A17" s="65" t="n">
        <v>46440.625</v>
      </c>
      <c r="B17" s="0" t="n">
        <v>8765098787</v>
      </c>
    </row>
    <row r="18" customFormat="false" ht="15" hidden="false" customHeight="false" outlineLevel="0" collapsed="false">
      <c r="A18" s="65" t="n">
        <v>46440.6666666667</v>
      </c>
      <c r="B18" s="0" t="n">
        <v>8765098787</v>
      </c>
    </row>
    <row r="19" customFormat="false" ht="15" hidden="false" customHeight="false" outlineLevel="0" collapsed="false">
      <c r="A19" s="65" t="n">
        <v>46440.7083333333</v>
      </c>
      <c r="B19" s="0" t="n">
        <v>8765098787</v>
      </c>
    </row>
    <row r="20" customFormat="false" ht="15" hidden="false" customHeight="false" outlineLevel="0" collapsed="false">
      <c r="A20" s="65" t="n">
        <v>46440.75</v>
      </c>
      <c r="B20" s="0" t="n">
        <v>7538806808</v>
      </c>
    </row>
    <row r="21" customFormat="false" ht="15" hidden="false" customHeight="false" outlineLevel="0" collapsed="false">
      <c r="A21" s="65" t="n">
        <v>46440.7916666667</v>
      </c>
      <c r="B21" s="0" t="n">
        <v>7538806808</v>
      </c>
    </row>
    <row r="22" customFormat="false" ht="15" hidden="false" customHeight="false" outlineLevel="0" collapsed="false">
      <c r="A22" s="65" t="n">
        <v>46440.8333333333</v>
      </c>
      <c r="B22" s="0" t="n">
        <v>5316673992</v>
      </c>
    </row>
    <row r="23" customFormat="false" ht="15" hidden="false" customHeight="false" outlineLevel="0" collapsed="false">
      <c r="A23" s="65" t="n">
        <v>46440.875</v>
      </c>
      <c r="B23" s="0" t="n">
        <v>5316673992</v>
      </c>
    </row>
    <row r="24" customFormat="false" ht="15" hidden="false" customHeight="false" outlineLevel="0" collapsed="false">
      <c r="A24" s="65" t="n">
        <v>46440.9166666667</v>
      </c>
      <c r="B24" s="0" t="n">
        <v>5316673992</v>
      </c>
    </row>
    <row r="25" customFormat="false" ht="15" hidden="false" customHeight="false" outlineLevel="0" collapsed="false">
      <c r="A25" s="65" t="n">
        <v>46440.9583333333</v>
      </c>
      <c r="B25" s="0" t="n">
        <v>5316673992</v>
      </c>
    </row>
    <row r="26" customFormat="false" ht="15" hidden="false" customHeight="false" outlineLevel="0" collapsed="false">
      <c r="A26" s="63" t="n">
        <v>46441</v>
      </c>
      <c r="B26" s="0" t="n">
        <v>16288302788</v>
      </c>
    </row>
    <row r="27" customFormat="false" ht="15" hidden="false" customHeight="false" outlineLevel="0" collapsed="false">
      <c r="A27" s="65" t="n">
        <v>46441.0416666667</v>
      </c>
      <c r="B27" s="0" t="n">
        <v>16288302788</v>
      </c>
    </row>
    <row r="28" customFormat="false" ht="15" hidden="false" customHeight="false" outlineLevel="0" collapsed="false">
      <c r="A28" s="65" t="n">
        <v>46441.0833333333</v>
      </c>
      <c r="B28" s="0" t="n">
        <v>16288302788</v>
      </c>
    </row>
    <row r="29" customFormat="false" ht="15" hidden="false" customHeight="false" outlineLevel="0" collapsed="false">
      <c r="A29" s="65" t="n">
        <v>46441.125</v>
      </c>
      <c r="B29" s="0" t="n">
        <v>16288302788</v>
      </c>
    </row>
    <row r="30" customFormat="false" ht="15" hidden="false" customHeight="false" outlineLevel="0" collapsed="false">
      <c r="A30" s="65" t="n">
        <v>46441.1666666667</v>
      </c>
      <c r="B30" s="0" t="n">
        <v>16288302788</v>
      </c>
    </row>
    <row r="31" customFormat="false" ht="15" hidden="false" customHeight="false" outlineLevel="0" collapsed="false">
      <c r="A31" s="65" t="n">
        <v>46441.2083333333</v>
      </c>
      <c r="B31" s="0" t="n">
        <v>16288302788</v>
      </c>
    </row>
    <row r="32" customFormat="false" ht="15" hidden="false" customHeight="false" outlineLevel="0" collapsed="false">
      <c r="A32" s="65" t="n">
        <v>46441.25</v>
      </c>
      <c r="B32" s="0" t="n">
        <v>5256535857</v>
      </c>
    </row>
    <row r="33" customFormat="false" ht="15" hidden="false" customHeight="false" outlineLevel="0" collapsed="false">
      <c r="A33" s="65" t="n">
        <v>46441.2916666667</v>
      </c>
      <c r="B33" s="0" t="n">
        <v>7527989049</v>
      </c>
    </row>
    <row r="34" customFormat="false" ht="15" hidden="false" customHeight="false" outlineLevel="0" collapsed="false">
      <c r="A34" s="65" t="n">
        <v>46441.3333333333</v>
      </c>
      <c r="B34" s="0" t="n">
        <v>8736963143</v>
      </c>
    </row>
    <row r="35" customFormat="false" ht="15" hidden="false" customHeight="false" outlineLevel="0" collapsed="false">
      <c r="A35" s="65" t="n">
        <v>46441.375</v>
      </c>
      <c r="B35" s="0" t="n">
        <v>8736963143</v>
      </c>
    </row>
    <row r="36" customFormat="false" ht="15" hidden="false" customHeight="false" outlineLevel="0" collapsed="false">
      <c r="A36" s="65" t="n">
        <v>46441.4166666667</v>
      </c>
      <c r="B36" s="0" t="n">
        <v>8736963143</v>
      </c>
    </row>
    <row r="37" customFormat="false" ht="15" hidden="false" customHeight="false" outlineLevel="0" collapsed="false">
      <c r="A37" s="65" t="n">
        <v>46441.4583333333</v>
      </c>
      <c r="B37" s="0" t="n">
        <v>8736963143</v>
      </c>
    </row>
    <row r="38" customFormat="false" ht="15" hidden="false" customHeight="false" outlineLevel="0" collapsed="false">
      <c r="A38" s="65" t="n">
        <v>46441.5</v>
      </c>
      <c r="B38" s="0" t="n">
        <v>8736963143</v>
      </c>
    </row>
    <row r="39" customFormat="false" ht="15" hidden="false" customHeight="false" outlineLevel="0" collapsed="false">
      <c r="A39" s="65" t="n">
        <v>46441.5416666667</v>
      </c>
      <c r="B39" s="0" t="n">
        <v>8736963143</v>
      </c>
    </row>
    <row r="40" customFormat="false" ht="15" hidden="false" customHeight="false" outlineLevel="0" collapsed="false">
      <c r="A40" s="65" t="n">
        <v>46441.5833333333</v>
      </c>
      <c r="B40" s="0" t="n">
        <v>8736963143</v>
      </c>
    </row>
    <row r="41" customFormat="false" ht="15" hidden="false" customHeight="false" outlineLevel="0" collapsed="false">
      <c r="A41" s="65" t="n">
        <v>46441.625</v>
      </c>
      <c r="B41" s="0" t="n">
        <v>8736963143</v>
      </c>
    </row>
    <row r="42" customFormat="false" ht="15" hidden="false" customHeight="false" outlineLevel="0" collapsed="false">
      <c r="A42" s="65" t="n">
        <v>46441.6666666667</v>
      </c>
      <c r="B42" s="0" t="n">
        <v>8736963143</v>
      </c>
    </row>
    <row r="43" customFormat="false" ht="15" hidden="false" customHeight="false" outlineLevel="0" collapsed="false">
      <c r="A43" s="65" t="n">
        <v>46441.7083333333</v>
      </c>
      <c r="B43" s="0" t="n">
        <v>8736963143</v>
      </c>
    </row>
    <row r="44" customFormat="false" ht="15" hidden="false" customHeight="false" outlineLevel="0" collapsed="false">
      <c r="A44" s="65" t="n">
        <v>46441.75</v>
      </c>
      <c r="B44" s="0" t="n">
        <v>7527989049</v>
      </c>
    </row>
    <row r="45" customFormat="false" ht="15" hidden="false" customHeight="false" outlineLevel="0" collapsed="false">
      <c r="A45" s="65" t="n">
        <v>46441.7916666667</v>
      </c>
      <c r="B45" s="0" t="n">
        <v>7527989049</v>
      </c>
    </row>
    <row r="46" customFormat="false" ht="15" hidden="false" customHeight="false" outlineLevel="0" collapsed="false">
      <c r="A46" s="65" t="n">
        <v>46441.8333333333</v>
      </c>
      <c r="B46" s="0" t="n">
        <v>5256535857</v>
      </c>
    </row>
    <row r="47" customFormat="false" ht="15" hidden="false" customHeight="false" outlineLevel="0" collapsed="false">
      <c r="A47" s="65" t="n">
        <v>46441.875</v>
      </c>
      <c r="B47" s="0" t="n">
        <v>5256535857</v>
      </c>
    </row>
    <row r="48" customFormat="false" ht="15" hidden="false" customHeight="false" outlineLevel="0" collapsed="false">
      <c r="A48" s="65" t="n">
        <v>46441.9166666667</v>
      </c>
      <c r="B48" s="0" t="n">
        <v>5256535857</v>
      </c>
    </row>
    <row r="49" customFormat="false" ht="15" hidden="false" customHeight="false" outlineLevel="0" collapsed="false">
      <c r="A49" s="65" t="n">
        <v>46441.9583333333</v>
      </c>
      <c r="B49" s="0" t="n">
        <v>5256535857</v>
      </c>
    </row>
    <row r="50" customFormat="false" ht="15" hidden="false" customHeight="false" outlineLevel="0" collapsed="false">
      <c r="A50" s="63" t="n">
        <v>46442</v>
      </c>
      <c r="B50" s="0" t="n">
        <v>15963576718</v>
      </c>
    </row>
    <row r="51" customFormat="false" ht="15" hidden="false" customHeight="false" outlineLevel="0" collapsed="false">
      <c r="A51" s="65" t="n">
        <v>46442.0416666667</v>
      </c>
      <c r="B51" s="0" t="n">
        <v>15963576718</v>
      </c>
    </row>
    <row r="52" customFormat="false" ht="15" hidden="false" customHeight="false" outlineLevel="0" collapsed="false">
      <c r="A52" s="65" t="n">
        <v>46442.0833333333</v>
      </c>
      <c r="B52" s="0" t="n">
        <v>15963576718</v>
      </c>
    </row>
    <row r="53" customFormat="false" ht="15" hidden="false" customHeight="false" outlineLevel="0" collapsed="false">
      <c r="A53" s="65" t="n">
        <v>46442.125</v>
      </c>
      <c r="B53" s="0" t="n">
        <v>15963576718</v>
      </c>
    </row>
    <row r="54" customFormat="false" ht="15" hidden="false" customHeight="false" outlineLevel="0" collapsed="false">
      <c r="A54" s="65" t="n">
        <v>46442.1666666667</v>
      </c>
      <c r="B54" s="0" t="n">
        <v>15963576718</v>
      </c>
    </row>
    <row r="55" customFormat="false" ht="15" hidden="false" customHeight="false" outlineLevel="0" collapsed="false">
      <c r="A55" s="65" t="n">
        <v>46442.2083333333</v>
      </c>
      <c r="B55" s="0" t="n">
        <v>15963576718</v>
      </c>
    </row>
    <row r="56" customFormat="false" ht="15" hidden="false" customHeight="false" outlineLevel="0" collapsed="false">
      <c r="A56" s="65" t="n">
        <v>46442.25</v>
      </c>
      <c r="B56" s="0" t="n">
        <v>5152847311</v>
      </c>
    </row>
    <row r="57" customFormat="false" ht="15" hidden="false" customHeight="false" outlineLevel="0" collapsed="false">
      <c r="A57" s="65" t="n">
        <v>46442.2916666667</v>
      </c>
      <c r="B57" s="0" t="n">
        <v>7348657643</v>
      </c>
    </row>
    <row r="58" customFormat="false" ht="15" hidden="false" customHeight="false" outlineLevel="0" collapsed="false">
      <c r="A58" s="65" t="n">
        <v>46442.3333333333</v>
      </c>
      <c r="B58" s="0" t="n">
        <v>8535211586</v>
      </c>
    </row>
    <row r="59" customFormat="false" ht="15" hidden="false" customHeight="false" outlineLevel="0" collapsed="false">
      <c r="A59" s="65" t="n">
        <v>46442.375</v>
      </c>
      <c r="B59" s="0" t="n">
        <v>8535211586</v>
      </c>
    </row>
    <row r="60" customFormat="false" ht="15" hidden="false" customHeight="false" outlineLevel="0" collapsed="false">
      <c r="A60" s="65" t="n">
        <v>46442.4166666667</v>
      </c>
      <c r="B60" s="0" t="n">
        <v>8535211586</v>
      </c>
    </row>
    <row r="61" customFormat="false" ht="15" hidden="false" customHeight="false" outlineLevel="0" collapsed="false">
      <c r="A61" s="65" t="n">
        <v>46442.4583333333</v>
      </c>
      <c r="B61" s="0" t="n">
        <v>8535211586</v>
      </c>
    </row>
    <row r="62" customFormat="false" ht="15" hidden="false" customHeight="false" outlineLevel="0" collapsed="false">
      <c r="A62" s="65" t="n">
        <v>46442.5</v>
      </c>
      <c r="B62" s="0" t="n">
        <v>8535211586</v>
      </c>
    </row>
    <row r="63" customFormat="false" ht="15" hidden="false" customHeight="false" outlineLevel="0" collapsed="false">
      <c r="A63" s="65" t="n">
        <v>46442.5416666667</v>
      </c>
      <c r="B63" s="0" t="n">
        <v>8535211586</v>
      </c>
    </row>
    <row r="64" customFormat="false" ht="15" hidden="false" customHeight="false" outlineLevel="0" collapsed="false">
      <c r="A64" s="65" t="n">
        <v>46442.5833333333</v>
      </c>
      <c r="B64" s="0" t="n">
        <v>8535211586</v>
      </c>
    </row>
    <row r="65" customFormat="false" ht="15" hidden="false" customHeight="false" outlineLevel="0" collapsed="false">
      <c r="A65" s="65" t="n">
        <v>46442.625</v>
      </c>
      <c r="B65" s="0" t="n">
        <v>8535211586</v>
      </c>
    </row>
    <row r="66" customFormat="false" ht="15" hidden="false" customHeight="false" outlineLevel="0" collapsed="false">
      <c r="A66" s="65" t="n">
        <v>46442.6666666667</v>
      </c>
      <c r="B66" s="0" t="n">
        <v>8535211586</v>
      </c>
    </row>
    <row r="67" customFormat="false" ht="15" hidden="false" customHeight="false" outlineLevel="0" collapsed="false">
      <c r="A67" s="65" t="n">
        <v>46442.7083333333</v>
      </c>
      <c r="B67" s="0" t="n">
        <v>8535211586</v>
      </c>
    </row>
    <row r="68" customFormat="false" ht="15" hidden="false" customHeight="false" outlineLevel="0" collapsed="false">
      <c r="A68" s="65" t="n">
        <v>46442.75</v>
      </c>
      <c r="B68" s="0" t="n">
        <v>7348657643</v>
      </c>
    </row>
    <row r="69" customFormat="false" ht="15" hidden="false" customHeight="false" outlineLevel="0" collapsed="false">
      <c r="A69" s="65" t="n">
        <v>46442.7916666667</v>
      </c>
      <c r="B69" s="0" t="n">
        <v>7348657643</v>
      </c>
    </row>
    <row r="70" customFormat="false" ht="15" hidden="false" customHeight="false" outlineLevel="0" collapsed="false">
      <c r="A70" s="65" t="n">
        <v>46442.8333333333</v>
      </c>
      <c r="B70" s="0" t="n">
        <v>5152847311</v>
      </c>
    </row>
    <row r="71" customFormat="false" ht="15" hidden="false" customHeight="false" outlineLevel="0" collapsed="false">
      <c r="A71" s="65" t="n">
        <v>46442.875</v>
      </c>
      <c r="B71" s="0" t="n">
        <v>5152847311</v>
      </c>
    </row>
    <row r="72" customFormat="false" ht="15" hidden="false" customHeight="false" outlineLevel="0" collapsed="false">
      <c r="A72" s="65" t="n">
        <v>46442.9166666667</v>
      </c>
      <c r="B72" s="0" t="n">
        <v>5152847311</v>
      </c>
    </row>
    <row r="73" customFormat="false" ht="15" hidden="false" customHeight="false" outlineLevel="0" collapsed="false">
      <c r="A73" s="65" t="n">
        <v>46442.9583333333</v>
      </c>
      <c r="B73" s="0" t="n">
        <v>5152847311</v>
      </c>
    </row>
    <row r="74" customFormat="false" ht="15" hidden="false" customHeight="false" outlineLevel="0" collapsed="false">
      <c r="A74" s="63" t="n">
        <v>46443</v>
      </c>
      <c r="B74" s="0" t="n">
        <v>15871640777</v>
      </c>
    </row>
    <row r="75" customFormat="false" ht="15" hidden="false" customHeight="false" outlineLevel="0" collapsed="false">
      <c r="A75" s="65" t="n">
        <v>46443.0416666667</v>
      </c>
      <c r="B75" s="0" t="n">
        <v>15871640777</v>
      </c>
    </row>
    <row r="76" customFormat="false" ht="15" hidden="false" customHeight="false" outlineLevel="0" collapsed="false">
      <c r="A76" s="65" t="n">
        <v>46443.0833333333</v>
      </c>
      <c r="B76" s="0" t="n">
        <v>15871640777</v>
      </c>
    </row>
    <row r="77" customFormat="false" ht="15" hidden="false" customHeight="false" outlineLevel="0" collapsed="false">
      <c r="A77" s="65" t="n">
        <v>46443.125</v>
      </c>
      <c r="B77" s="0" t="n">
        <v>15871640777</v>
      </c>
    </row>
    <row r="78" customFormat="false" ht="15" hidden="false" customHeight="false" outlineLevel="0" collapsed="false">
      <c r="A78" s="65" t="n">
        <v>46443.1666666667</v>
      </c>
      <c r="B78" s="0" t="n">
        <v>15871640777</v>
      </c>
    </row>
    <row r="79" customFormat="false" ht="15" hidden="false" customHeight="false" outlineLevel="0" collapsed="false">
      <c r="A79" s="65" t="n">
        <v>46443.2083333333</v>
      </c>
      <c r="B79" s="0" t="n">
        <v>15871640777</v>
      </c>
    </row>
    <row r="80" customFormat="false" ht="15" hidden="false" customHeight="false" outlineLevel="0" collapsed="false">
      <c r="A80" s="65" t="n">
        <v>46443.25</v>
      </c>
      <c r="B80" s="0" t="n">
        <v>5300401079</v>
      </c>
    </row>
    <row r="81" customFormat="false" ht="15" hidden="false" customHeight="false" outlineLevel="0" collapsed="false">
      <c r="A81" s="65" t="n">
        <v>46443.2916666667</v>
      </c>
      <c r="B81" s="0" t="n">
        <v>7600649602</v>
      </c>
    </row>
    <row r="82" customFormat="false" ht="15" hidden="false" customHeight="false" outlineLevel="0" collapsed="false">
      <c r="A82" s="65" t="n">
        <v>46443.3333333333</v>
      </c>
      <c r="B82" s="0" t="n">
        <v>8819256885</v>
      </c>
    </row>
    <row r="83" customFormat="false" ht="15" hidden="false" customHeight="false" outlineLevel="0" collapsed="false">
      <c r="A83" s="65" t="n">
        <v>46443.375</v>
      </c>
      <c r="B83" s="0" t="n">
        <v>8819256885</v>
      </c>
    </row>
    <row r="84" customFormat="false" ht="15" hidden="false" customHeight="false" outlineLevel="0" collapsed="false">
      <c r="A84" s="65" t="n">
        <v>46443.4166666667</v>
      </c>
      <c r="B84" s="0" t="n">
        <v>8819256885</v>
      </c>
    </row>
    <row r="85" customFormat="false" ht="15" hidden="false" customHeight="false" outlineLevel="0" collapsed="false">
      <c r="A85" s="65" t="n">
        <v>46443.4583333333</v>
      </c>
      <c r="B85" s="0" t="n">
        <v>8819256885</v>
      </c>
    </row>
    <row r="86" customFormat="false" ht="15" hidden="false" customHeight="false" outlineLevel="0" collapsed="false">
      <c r="A86" s="65" t="n">
        <v>46443.5</v>
      </c>
      <c r="B86" s="0" t="n">
        <v>8819256885</v>
      </c>
    </row>
    <row r="87" customFormat="false" ht="15" hidden="false" customHeight="false" outlineLevel="0" collapsed="false">
      <c r="A87" s="65" t="n">
        <v>46443.5416666667</v>
      </c>
      <c r="B87" s="0" t="n">
        <v>8819256885</v>
      </c>
    </row>
    <row r="88" customFormat="false" ht="15" hidden="false" customHeight="false" outlineLevel="0" collapsed="false">
      <c r="A88" s="65" t="n">
        <v>46443.5833333333</v>
      </c>
      <c r="B88" s="0" t="n">
        <v>8819256885</v>
      </c>
    </row>
    <row r="89" customFormat="false" ht="15" hidden="false" customHeight="false" outlineLevel="0" collapsed="false">
      <c r="A89" s="65" t="n">
        <v>46443.625</v>
      </c>
      <c r="B89" s="0" t="n">
        <v>8819256885</v>
      </c>
    </row>
    <row r="90" customFormat="false" ht="15" hidden="false" customHeight="false" outlineLevel="0" collapsed="false">
      <c r="A90" s="65" t="n">
        <v>46443.6666666667</v>
      </c>
      <c r="B90" s="0" t="n">
        <v>8819256885</v>
      </c>
    </row>
    <row r="91" customFormat="false" ht="15" hidden="false" customHeight="false" outlineLevel="0" collapsed="false">
      <c r="A91" s="65" t="n">
        <v>46443.7083333333</v>
      </c>
      <c r="B91" s="0" t="n">
        <v>8819256885</v>
      </c>
    </row>
    <row r="92" customFormat="false" ht="15" hidden="false" customHeight="false" outlineLevel="0" collapsed="false">
      <c r="A92" s="65" t="n">
        <v>46443.75</v>
      </c>
      <c r="B92" s="0" t="n">
        <v>7600649602</v>
      </c>
    </row>
    <row r="93" customFormat="false" ht="15" hidden="false" customHeight="false" outlineLevel="0" collapsed="false">
      <c r="A93" s="65" t="n">
        <v>46443.7916666667</v>
      </c>
      <c r="B93" s="0" t="n">
        <v>7600649602</v>
      </c>
    </row>
    <row r="94" customFormat="false" ht="15" hidden="false" customHeight="false" outlineLevel="0" collapsed="false">
      <c r="A94" s="65" t="n">
        <v>46443.8333333333</v>
      </c>
      <c r="B94" s="0" t="n">
        <v>5300401079</v>
      </c>
    </row>
    <row r="95" customFormat="false" ht="15" hidden="false" customHeight="false" outlineLevel="0" collapsed="false">
      <c r="A95" s="65" t="n">
        <v>46443.875</v>
      </c>
      <c r="B95" s="0" t="n">
        <v>5300401079</v>
      </c>
    </row>
    <row r="96" customFormat="false" ht="15" hidden="false" customHeight="false" outlineLevel="0" collapsed="false">
      <c r="A96" s="65" t="n">
        <v>46443.9166666667</v>
      </c>
      <c r="B96" s="0" t="n">
        <v>5300401079</v>
      </c>
    </row>
    <row r="97" customFormat="false" ht="15" hidden="false" customHeight="false" outlineLevel="0" collapsed="false">
      <c r="A97" s="65" t="n">
        <v>46443.9583333333</v>
      </c>
      <c r="B97" s="0" t="n">
        <v>5300401079</v>
      </c>
    </row>
    <row r="98" customFormat="false" ht="15" hidden="false" customHeight="false" outlineLevel="0" collapsed="false">
      <c r="A98" s="63" t="n">
        <v>46444</v>
      </c>
      <c r="B98" s="0" t="n">
        <v>16199580366</v>
      </c>
    </row>
    <row r="99" customFormat="false" ht="15" hidden="false" customHeight="false" outlineLevel="0" collapsed="false">
      <c r="A99" s="65" t="n">
        <v>46444.0416666667</v>
      </c>
      <c r="B99" s="0" t="n">
        <v>16199580366</v>
      </c>
    </row>
    <row r="100" customFormat="false" ht="15" hidden="false" customHeight="false" outlineLevel="0" collapsed="false">
      <c r="A100" s="65" t="n">
        <v>46444.0833333333</v>
      </c>
      <c r="B100" s="0" t="n">
        <v>16199580366</v>
      </c>
    </row>
    <row r="101" customFormat="false" ht="15" hidden="false" customHeight="false" outlineLevel="0" collapsed="false">
      <c r="A101" s="65" t="n">
        <v>46444.125</v>
      </c>
      <c r="B101" s="0" t="n">
        <v>16199580366</v>
      </c>
    </row>
    <row r="102" customFormat="false" ht="15" hidden="false" customHeight="false" outlineLevel="0" collapsed="false">
      <c r="A102" s="65" t="n">
        <v>46444.1666666667</v>
      </c>
      <c r="B102" s="0" t="n">
        <v>16199580366</v>
      </c>
    </row>
    <row r="103" customFormat="false" ht="15" hidden="false" customHeight="false" outlineLevel="0" collapsed="false">
      <c r="A103" s="65" t="n">
        <v>46444.2083333333</v>
      </c>
      <c r="B103" s="0" t="n">
        <v>16199580366</v>
      </c>
    </row>
    <row r="104" customFormat="false" ht="15" hidden="false" customHeight="false" outlineLevel="0" collapsed="false">
      <c r="A104" s="65" t="n">
        <v>46444.25</v>
      </c>
      <c r="B104" s="0" t="n">
        <v>5318215968</v>
      </c>
    </row>
    <row r="105" customFormat="false" ht="15" hidden="false" customHeight="false" outlineLevel="0" collapsed="false">
      <c r="A105" s="65" t="n">
        <v>46444.2916666667</v>
      </c>
      <c r="B105" s="0" t="n">
        <v>7517804454</v>
      </c>
    </row>
    <row r="106" customFormat="false" ht="15" hidden="false" customHeight="false" outlineLevel="0" collapsed="false">
      <c r="A106" s="65" t="n">
        <v>46444.3333333333</v>
      </c>
      <c r="B106" s="0" t="n">
        <v>8745525646</v>
      </c>
    </row>
    <row r="107" customFormat="false" ht="15" hidden="false" customHeight="false" outlineLevel="0" collapsed="false">
      <c r="A107" s="65" t="n">
        <v>46444.375</v>
      </c>
      <c r="B107" s="0" t="n">
        <v>8745525646</v>
      </c>
    </row>
    <row r="108" customFormat="false" ht="15" hidden="false" customHeight="false" outlineLevel="0" collapsed="false">
      <c r="A108" s="65" t="n">
        <v>46444.4166666667</v>
      </c>
      <c r="B108" s="0" t="n">
        <v>8745525646</v>
      </c>
    </row>
    <row r="109" customFormat="false" ht="15" hidden="false" customHeight="false" outlineLevel="0" collapsed="false">
      <c r="A109" s="65" t="n">
        <v>46444.4583333333</v>
      </c>
      <c r="B109" s="0" t="n">
        <v>8745525646</v>
      </c>
    </row>
    <row r="110" customFormat="false" ht="15" hidden="false" customHeight="false" outlineLevel="0" collapsed="false">
      <c r="A110" s="65" t="n">
        <v>46444.5</v>
      </c>
      <c r="B110" s="0" t="n">
        <v>8745525646</v>
      </c>
    </row>
    <row r="111" customFormat="false" ht="15" hidden="false" customHeight="false" outlineLevel="0" collapsed="false">
      <c r="A111" s="65" t="n">
        <v>46444.5416666667</v>
      </c>
      <c r="B111" s="0" t="n">
        <v>8745525646</v>
      </c>
    </row>
    <row r="112" customFormat="false" ht="15" hidden="false" customHeight="false" outlineLevel="0" collapsed="false">
      <c r="A112" s="65" t="n">
        <v>46444.5833333333</v>
      </c>
      <c r="B112" s="0" t="n">
        <v>8745525646</v>
      </c>
    </row>
    <row r="113" customFormat="false" ht="15" hidden="false" customHeight="false" outlineLevel="0" collapsed="false">
      <c r="A113" s="65" t="n">
        <v>46444.625</v>
      </c>
      <c r="B113" s="0" t="n">
        <v>8745525646</v>
      </c>
    </row>
    <row r="114" customFormat="false" ht="15" hidden="false" customHeight="false" outlineLevel="0" collapsed="false">
      <c r="A114" s="65" t="n">
        <v>46444.6666666667</v>
      </c>
      <c r="B114" s="0" t="n">
        <v>8745525646</v>
      </c>
    </row>
    <row r="115" customFormat="false" ht="15" hidden="false" customHeight="false" outlineLevel="0" collapsed="false">
      <c r="A115" s="65" t="n">
        <v>46444.7083333333</v>
      </c>
      <c r="B115" s="0" t="n">
        <v>8745525646</v>
      </c>
    </row>
    <row r="116" customFormat="false" ht="15" hidden="false" customHeight="false" outlineLevel="0" collapsed="false">
      <c r="A116" s="65" t="n">
        <v>46444.75</v>
      </c>
      <c r="B116" s="0" t="n">
        <v>7517804454</v>
      </c>
    </row>
    <row r="117" customFormat="false" ht="15" hidden="false" customHeight="false" outlineLevel="0" collapsed="false">
      <c r="A117" s="65" t="n">
        <v>46444.7916666667</v>
      </c>
      <c r="B117" s="0" t="n">
        <v>7517804454</v>
      </c>
    </row>
    <row r="118" customFormat="false" ht="15" hidden="false" customHeight="false" outlineLevel="0" collapsed="false">
      <c r="A118" s="65" t="n">
        <v>46444.8333333333</v>
      </c>
      <c r="B118" s="0" t="n">
        <v>5318215968</v>
      </c>
    </row>
    <row r="119" customFormat="false" ht="15" hidden="false" customHeight="false" outlineLevel="0" collapsed="false">
      <c r="A119" s="65" t="n">
        <v>46444.875</v>
      </c>
      <c r="B119" s="0" t="n">
        <v>5318215968</v>
      </c>
    </row>
    <row r="120" customFormat="false" ht="15" hidden="false" customHeight="false" outlineLevel="0" collapsed="false">
      <c r="A120" s="65" t="n">
        <v>46444.9166666667</v>
      </c>
      <c r="B120" s="0" t="n">
        <v>5318215968</v>
      </c>
    </row>
    <row r="121" customFormat="false" ht="15" hidden="false" customHeight="false" outlineLevel="0" collapsed="false">
      <c r="A121" s="65" t="n">
        <v>46444.9583333333</v>
      </c>
      <c r="B121" s="0" t="n">
        <v>5318215968</v>
      </c>
    </row>
    <row r="122" customFormat="false" ht="15" hidden="false" customHeight="false" outlineLevel="0" collapsed="false">
      <c r="A122" s="63" t="n">
        <v>46445</v>
      </c>
      <c r="B122" s="0" t="n">
        <v>14937575337</v>
      </c>
    </row>
    <row r="123" customFormat="false" ht="15" hidden="false" customHeight="false" outlineLevel="0" collapsed="false">
      <c r="A123" s="65" t="n">
        <v>46445.0416666667</v>
      </c>
      <c r="B123" s="0" t="n">
        <v>14937575337</v>
      </c>
    </row>
    <row r="124" customFormat="false" ht="15" hidden="false" customHeight="false" outlineLevel="0" collapsed="false">
      <c r="A124" s="65" t="n">
        <v>46445.0833333333</v>
      </c>
      <c r="B124" s="0" t="n">
        <v>14937575337</v>
      </c>
    </row>
    <row r="125" customFormat="false" ht="15" hidden="false" customHeight="false" outlineLevel="0" collapsed="false">
      <c r="A125" s="65" t="n">
        <v>46445.125</v>
      </c>
      <c r="B125" s="0" t="n">
        <v>14937575337</v>
      </c>
    </row>
    <row r="126" customFormat="false" ht="15" hidden="false" customHeight="false" outlineLevel="0" collapsed="false">
      <c r="A126" s="65" t="n">
        <v>46445.1666666667</v>
      </c>
      <c r="B126" s="0" t="n">
        <v>14937575337</v>
      </c>
    </row>
    <row r="127" customFormat="false" ht="15" hidden="false" customHeight="false" outlineLevel="0" collapsed="false">
      <c r="A127" s="65" t="n">
        <v>46445.2083333333</v>
      </c>
      <c r="B127" s="0" t="n">
        <v>14937575337</v>
      </c>
    </row>
    <row r="128" customFormat="false" ht="15" hidden="false" customHeight="false" outlineLevel="0" collapsed="false">
      <c r="A128" s="65" t="n">
        <v>46445.25</v>
      </c>
      <c r="B128" s="0" t="n">
        <v>5171701253</v>
      </c>
    </row>
    <row r="129" customFormat="false" ht="15" hidden="false" customHeight="false" outlineLevel="0" collapsed="false">
      <c r="A129" s="65" t="n">
        <v>46445.2916666667</v>
      </c>
      <c r="B129" s="0" t="n">
        <v>5941970946</v>
      </c>
    </row>
    <row r="130" customFormat="false" ht="15" hidden="false" customHeight="false" outlineLevel="0" collapsed="false">
      <c r="A130" s="65" t="n">
        <v>46445.3333333333</v>
      </c>
      <c r="B130" s="0" t="n">
        <v>7199235626</v>
      </c>
    </row>
    <row r="131" customFormat="false" ht="15" hidden="false" customHeight="false" outlineLevel="0" collapsed="false">
      <c r="A131" s="65" t="n">
        <v>46445.375</v>
      </c>
      <c r="B131" s="0" t="n">
        <v>7199235626</v>
      </c>
    </row>
    <row r="132" customFormat="false" ht="15" hidden="false" customHeight="false" outlineLevel="0" collapsed="false">
      <c r="A132" s="65" t="n">
        <v>46445.4166666667</v>
      </c>
      <c r="B132" s="0" t="n">
        <v>7199235626</v>
      </c>
    </row>
    <row r="133" customFormat="false" ht="15" hidden="false" customHeight="false" outlineLevel="0" collapsed="false">
      <c r="A133" s="65" t="n">
        <v>46445.4583333333</v>
      </c>
      <c r="B133" s="0" t="n">
        <v>7199235626</v>
      </c>
    </row>
    <row r="134" customFormat="false" ht="15" hidden="false" customHeight="false" outlineLevel="0" collapsed="false">
      <c r="A134" s="65" t="n">
        <v>46445.5</v>
      </c>
      <c r="B134" s="0" t="n">
        <v>7199235626</v>
      </c>
    </row>
    <row r="135" customFormat="false" ht="15" hidden="false" customHeight="false" outlineLevel="0" collapsed="false">
      <c r="A135" s="65" t="n">
        <v>46445.5416666667</v>
      </c>
      <c r="B135" s="0" t="n">
        <v>7199235626</v>
      </c>
    </row>
    <row r="136" customFormat="false" ht="15" hidden="false" customHeight="false" outlineLevel="0" collapsed="false">
      <c r="A136" s="65" t="n">
        <v>46445.5833333333</v>
      </c>
      <c r="B136" s="0" t="n">
        <v>7199235626</v>
      </c>
    </row>
    <row r="137" customFormat="false" ht="15" hidden="false" customHeight="false" outlineLevel="0" collapsed="false">
      <c r="A137" s="65" t="n">
        <v>46445.625</v>
      </c>
      <c r="B137" s="0" t="n">
        <v>7199235626</v>
      </c>
    </row>
    <row r="138" customFormat="false" ht="15" hidden="false" customHeight="false" outlineLevel="0" collapsed="false">
      <c r="A138" s="65" t="n">
        <v>46445.6666666667</v>
      </c>
      <c r="B138" s="0" t="n">
        <v>7199235626</v>
      </c>
    </row>
    <row r="139" customFormat="false" ht="15" hidden="false" customHeight="false" outlineLevel="0" collapsed="false">
      <c r="A139" s="65" t="n">
        <v>46445.7083333333</v>
      </c>
      <c r="B139" s="0" t="n">
        <v>7199235626</v>
      </c>
    </row>
    <row r="140" customFormat="false" ht="15" hidden="false" customHeight="false" outlineLevel="0" collapsed="false">
      <c r="A140" s="65" t="n">
        <v>46445.75</v>
      </c>
      <c r="B140" s="0" t="n">
        <v>5941970946</v>
      </c>
    </row>
    <row r="141" customFormat="false" ht="15" hidden="false" customHeight="false" outlineLevel="0" collapsed="false">
      <c r="A141" s="65" t="n">
        <v>46445.7916666667</v>
      </c>
      <c r="B141" s="0" t="n">
        <v>5941970946</v>
      </c>
    </row>
    <row r="142" customFormat="false" ht="15" hidden="false" customHeight="false" outlineLevel="0" collapsed="false">
      <c r="A142" s="65" t="n">
        <v>46445.8333333333</v>
      </c>
      <c r="B142" s="0" t="n">
        <v>5171701253</v>
      </c>
    </row>
    <row r="143" customFormat="false" ht="15" hidden="false" customHeight="false" outlineLevel="0" collapsed="false">
      <c r="A143" s="65" t="n">
        <v>46445.875</v>
      </c>
      <c r="B143" s="0" t="n">
        <v>5171701253</v>
      </c>
    </row>
    <row r="144" customFormat="false" ht="15" hidden="false" customHeight="false" outlineLevel="0" collapsed="false">
      <c r="A144" s="65" t="n">
        <v>46445.9166666667</v>
      </c>
      <c r="B144" s="0" t="n">
        <v>5171701253</v>
      </c>
    </row>
    <row r="145" customFormat="false" ht="15" hidden="false" customHeight="false" outlineLevel="0" collapsed="false">
      <c r="A145" s="65" t="n">
        <v>46445.9583333333</v>
      </c>
      <c r="B145" s="0" t="n">
        <v>5171701253</v>
      </c>
    </row>
    <row r="146" customFormat="false" ht="15" hidden="false" customHeight="false" outlineLevel="0" collapsed="false">
      <c r="A146" s="63" t="n">
        <v>46446</v>
      </c>
      <c r="B146" s="0" t="n">
        <v>14651949377</v>
      </c>
    </row>
    <row r="147" customFormat="false" ht="15" hidden="false" customHeight="false" outlineLevel="0" collapsed="false">
      <c r="A147" s="65" t="n">
        <v>46446.0416666667</v>
      </c>
      <c r="B147" s="0" t="n">
        <v>14651949377</v>
      </c>
    </row>
    <row r="148" customFormat="false" ht="15" hidden="false" customHeight="false" outlineLevel="0" collapsed="false">
      <c r="A148" s="65" t="n">
        <v>46446.0833333333</v>
      </c>
      <c r="B148" s="0" t="n">
        <v>14651949377</v>
      </c>
    </row>
    <row r="149" customFormat="false" ht="15" hidden="false" customHeight="false" outlineLevel="0" collapsed="false">
      <c r="A149" s="65" t="n">
        <v>46446.125</v>
      </c>
      <c r="B149" s="0" t="n">
        <v>14651949377</v>
      </c>
    </row>
    <row r="150" customFormat="false" ht="15" hidden="false" customHeight="false" outlineLevel="0" collapsed="false">
      <c r="A150" s="65" t="n">
        <v>46446.1666666667</v>
      </c>
      <c r="B150" s="0" t="n">
        <v>14651949377</v>
      </c>
    </row>
    <row r="151" customFormat="false" ht="15" hidden="false" customHeight="false" outlineLevel="0" collapsed="false">
      <c r="A151" s="65" t="n">
        <v>46446.2083333333</v>
      </c>
      <c r="B151" s="0" t="n">
        <v>14651949377</v>
      </c>
    </row>
    <row r="152" customFormat="false" ht="15" hidden="false" customHeight="false" outlineLevel="0" collapsed="false">
      <c r="A152" s="65" t="n">
        <v>46446.25</v>
      </c>
      <c r="B152" s="0" t="n">
        <v>4958095956</v>
      </c>
    </row>
    <row r="153" customFormat="false" ht="15" hidden="false" customHeight="false" outlineLevel="0" collapsed="false">
      <c r="A153" s="65" t="n">
        <v>46446.2916666667</v>
      </c>
      <c r="B153" s="0" t="n">
        <v>5792293387</v>
      </c>
    </row>
    <row r="154" customFormat="false" ht="15" hidden="false" customHeight="false" outlineLevel="0" collapsed="false">
      <c r="A154" s="65" t="n">
        <v>46446.3333333333</v>
      </c>
      <c r="B154" s="0" t="n">
        <v>6993197124</v>
      </c>
    </row>
    <row r="155" customFormat="false" ht="15" hidden="false" customHeight="false" outlineLevel="0" collapsed="false">
      <c r="A155" s="65" t="n">
        <v>46446.375</v>
      </c>
      <c r="B155" s="0" t="n">
        <v>6993197124</v>
      </c>
    </row>
    <row r="156" customFormat="false" ht="15" hidden="false" customHeight="false" outlineLevel="0" collapsed="false">
      <c r="A156" s="65" t="n">
        <v>46446.4166666667</v>
      </c>
      <c r="B156" s="0" t="n">
        <v>6993197124</v>
      </c>
    </row>
    <row r="157" customFormat="false" ht="15" hidden="false" customHeight="false" outlineLevel="0" collapsed="false">
      <c r="A157" s="65" t="n">
        <v>46446.4583333333</v>
      </c>
      <c r="B157" s="0" t="n">
        <v>6993197124</v>
      </c>
    </row>
    <row r="158" customFormat="false" ht="15" hidden="false" customHeight="false" outlineLevel="0" collapsed="false">
      <c r="A158" s="65" t="n">
        <v>46446.5</v>
      </c>
      <c r="B158" s="0" t="n">
        <v>6993197124</v>
      </c>
    </row>
    <row r="159" customFormat="false" ht="15" hidden="false" customHeight="false" outlineLevel="0" collapsed="false">
      <c r="A159" s="65" t="n">
        <v>46446.5416666667</v>
      </c>
      <c r="B159" s="0" t="n">
        <v>6993197124</v>
      </c>
    </row>
    <row r="160" customFormat="false" ht="15" hidden="false" customHeight="false" outlineLevel="0" collapsed="false">
      <c r="A160" s="65" t="n">
        <v>46446.5833333333</v>
      </c>
      <c r="B160" s="0" t="n">
        <v>6993197124</v>
      </c>
    </row>
    <row r="161" customFormat="false" ht="15" hidden="false" customHeight="false" outlineLevel="0" collapsed="false">
      <c r="A161" s="65" t="n">
        <v>46446.625</v>
      </c>
      <c r="B161" s="0" t="n">
        <v>6993197124</v>
      </c>
    </row>
    <row r="162" customFormat="false" ht="15" hidden="false" customHeight="false" outlineLevel="0" collapsed="false">
      <c r="A162" s="65" t="n">
        <v>46446.6666666667</v>
      </c>
      <c r="B162" s="0" t="n">
        <v>6993197124</v>
      </c>
    </row>
    <row r="163" customFormat="false" ht="15" hidden="false" customHeight="false" outlineLevel="0" collapsed="false">
      <c r="A163" s="65" t="n">
        <v>46446.7083333333</v>
      </c>
      <c r="B163" s="0" t="n">
        <v>6993197124</v>
      </c>
    </row>
    <row r="164" customFormat="false" ht="15" hidden="false" customHeight="false" outlineLevel="0" collapsed="false">
      <c r="A164" s="65" t="n">
        <v>46446.75</v>
      </c>
      <c r="B164" s="0" t="n">
        <v>5792293387</v>
      </c>
    </row>
    <row r="165" customFormat="false" ht="15" hidden="false" customHeight="false" outlineLevel="0" collapsed="false">
      <c r="A165" s="65" t="n">
        <v>46446.7916666667</v>
      </c>
      <c r="B165" s="0" t="n">
        <v>5792293387</v>
      </c>
    </row>
    <row r="166" customFormat="false" ht="15" hidden="false" customHeight="false" outlineLevel="0" collapsed="false">
      <c r="A166" s="65" t="n">
        <v>46446.8333333333</v>
      </c>
      <c r="B166" s="0" t="n">
        <v>4958095956</v>
      </c>
    </row>
    <row r="167" customFormat="false" ht="15" hidden="false" customHeight="false" outlineLevel="0" collapsed="false">
      <c r="A167" s="65" t="n">
        <v>46446.875</v>
      </c>
      <c r="B167" s="0" t="n">
        <v>4958095956</v>
      </c>
    </row>
    <row r="168" customFormat="false" ht="15" hidden="false" customHeight="false" outlineLevel="0" collapsed="false">
      <c r="A168" s="65" t="n">
        <v>46446.9166666667</v>
      </c>
      <c r="B168" s="0" t="n">
        <v>4958095956</v>
      </c>
    </row>
    <row r="169" customFormat="false" ht="15" hidden="false" customHeight="false" outlineLevel="0" collapsed="false">
      <c r="A169" s="65" t="n">
        <v>46446.9583333333</v>
      </c>
      <c r="B169" s="0" t="n">
        <v>4958095956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39B"/>
    <pageSetUpPr fitToPage="false"/>
  </sheetPr>
  <dimension ref="A1:E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62" t="s">
        <v>1256</v>
      </c>
      <c r="B1" s="62" t="s">
        <v>1257</v>
      </c>
      <c r="C1" s="62" t="s">
        <v>1258</v>
      </c>
      <c r="D1" s="62" t="s">
        <v>1259</v>
      </c>
      <c r="E1" s="62" t="s">
        <v>1260</v>
      </c>
    </row>
    <row r="2" customFormat="false" ht="15" hidden="false" customHeight="false" outlineLevel="0" collapsed="false">
      <c r="A2" s="63" t="n">
        <v>46388</v>
      </c>
      <c r="B2" s="63" t="n">
        <v>46419</v>
      </c>
      <c r="C2" s="64" t="s">
        <v>1261</v>
      </c>
      <c r="D2" s="64" t="s">
        <v>420</v>
      </c>
      <c r="E2" s="0" t="n">
        <v>170.988605</v>
      </c>
    </row>
    <row r="3" customFormat="false" ht="15" hidden="false" customHeight="false" outlineLevel="0" collapsed="false">
      <c r="A3" s="63" t="n">
        <v>46388</v>
      </c>
      <c r="B3" s="63" t="n">
        <v>46419</v>
      </c>
      <c r="C3" s="64" t="s">
        <v>1261</v>
      </c>
      <c r="D3" s="64" t="s">
        <v>414</v>
      </c>
      <c r="E3" s="0" t="n">
        <v>14.731283</v>
      </c>
    </row>
    <row r="4" customFormat="false" ht="15" hidden="false" customHeight="false" outlineLevel="0" collapsed="false">
      <c r="A4" s="63" t="n">
        <v>46388</v>
      </c>
      <c r="B4" s="63" t="n">
        <v>46419</v>
      </c>
      <c r="C4" s="64" t="s">
        <v>1261</v>
      </c>
      <c r="D4" s="64" t="s">
        <v>416</v>
      </c>
      <c r="E4" s="0" t="n">
        <v>39.352295</v>
      </c>
    </row>
    <row r="5" customFormat="false" ht="15" hidden="false" customHeight="false" outlineLevel="0" collapsed="false">
      <c r="A5" s="63" t="n">
        <v>46388</v>
      </c>
      <c r="B5" s="63" t="n">
        <v>46419</v>
      </c>
      <c r="C5" s="64" t="s">
        <v>1261</v>
      </c>
      <c r="D5" s="64" t="s">
        <v>1262</v>
      </c>
      <c r="E5" s="0" t="n">
        <v>225.072183</v>
      </c>
    </row>
    <row r="6" customFormat="false" ht="15" hidden="false" customHeight="false" outlineLevel="0" collapsed="false">
      <c r="A6" s="63" t="n">
        <v>46388</v>
      </c>
      <c r="B6" s="63" t="n">
        <v>46419</v>
      </c>
      <c r="C6" s="64" t="s">
        <v>1263</v>
      </c>
      <c r="D6" s="64" t="s">
        <v>420</v>
      </c>
      <c r="E6" s="0" t="n">
        <v>181.981705</v>
      </c>
    </row>
    <row r="7" customFormat="false" ht="15" hidden="false" customHeight="false" outlineLevel="0" collapsed="false">
      <c r="A7" s="63" t="n">
        <v>46388</v>
      </c>
      <c r="B7" s="63" t="n">
        <v>46419</v>
      </c>
      <c r="C7" s="64" t="s">
        <v>1263</v>
      </c>
      <c r="D7" s="64" t="s">
        <v>414</v>
      </c>
      <c r="E7" s="0" t="n">
        <v>19.309542</v>
      </c>
    </row>
    <row r="8" customFormat="false" ht="15" hidden="false" customHeight="false" outlineLevel="0" collapsed="false">
      <c r="A8" s="63" t="n">
        <v>46388</v>
      </c>
      <c r="B8" s="63" t="n">
        <v>46419</v>
      </c>
      <c r="C8" s="64" t="s">
        <v>1263</v>
      </c>
      <c r="D8" s="64" t="s">
        <v>416</v>
      </c>
      <c r="E8" s="0" t="n">
        <v>42.782819</v>
      </c>
    </row>
    <row r="9" customFormat="false" ht="15" hidden="false" customHeight="false" outlineLevel="0" collapsed="false">
      <c r="A9" s="63" t="n">
        <v>46388</v>
      </c>
      <c r="B9" s="63" t="n">
        <v>46419</v>
      </c>
      <c r="C9" s="64" t="s">
        <v>1263</v>
      </c>
      <c r="D9" s="64" t="s">
        <v>1262</v>
      </c>
      <c r="E9" s="0" t="n">
        <v>244.074065</v>
      </c>
    </row>
    <row r="10" customFormat="false" ht="15" hidden="false" customHeight="false" outlineLevel="0" collapsed="false">
      <c r="A10" s="63" t="n">
        <v>46388</v>
      </c>
      <c r="B10" s="63" t="n">
        <v>46419</v>
      </c>
      <c r="C10" s="64" t="s">
        <v>1264</v>
      </c>
      <c r="D10" s="64" t="s">
        <v>420</v>
      </c>
      <c r="E10" s="0" t="n">
        <v>160.335855</v>
      </c>
    </row>
    <row r="11" customFormat="false" ht="15" hidden="false" customHeight="false" outlineLevel="0" collapsed="false">
      <c r="A11" s="63" t="n">
        <v>46388</v>
      </c>
      <c r="B11" s="63" t="n">
        <v>46419</v>
      </c>
      <c r="C11" s="64" t="s">
        <v>1264</v>
      </c>
      <c r="D11" s="64" t="s">
        <v>414</v>
      </c>
      <c r="E11" s="0" t="n">
        <v>10.153024</v>
      </c>
    </row>
    <row r="12" customFormat="false" ht="15" hidden="false" customHeight="false" outlineLevel="0" collapsed="false">
      <c r="A12" s="63" t="n">
        <v>46388</v>
      </c>
      <c r="B12" s="63" t="n">
        <v>46419</v>
      </c>
      <c r="C12" s="64" t="s">
        <v>1264</v>
      </c>
      <c r="D12" s="64" t="s">
        <v>416</v>
      </c>
      <c r="E12" s="0" t="n">
        <v>32.632895</v>
      </c>
    </row>
    <row r="13" customFormat="false" ht="15" hidden="false" customHeight="false" outlineLevel="0" collapsed="false">
      <c r="A13" s="63" t="n">
        <v>46388</v>
      </c>
      <c r="B13" s="63" t="n">
        <v>46419</v>
      </c>
      <c r="C13" s="64" t="s">
        <v>1264</v>
      </c>
      <c r="D13" s="64" t="s">
        <v>1262</v>
      </c>
      <c r="E13" s="0" t="n">
        <v>203.121774</v>
      </c>
    </row>
    <row r="14" customFormat="false" ht="15" hidden="false" customHeight="false" outlineLevel="0" collapsed="false">
      <c r="A14" s="63" t="n">
        <v>46388</v>
      </c>
      <c r="B14" s="63" t="n">
        <v>46447</v>
      </c>
      <c r="C14" s="64" t="s">
        <v>1261</v>
      </c>
      <c r="D14" s="64" t="s">
        <v>420</v>
      </c>
      <c r="E14" s="0" t="n">
        <v>176.118263</v>
      </c>
    </row>
    <row r="15" customFormat="false" ht="15" hidden="false" customHeight="false" outlineLevel="0" collapsed="false">
      <c r="A15" s="63" t="n">
        <v>46388</v>
      </c>
      <c r="B15" s="63" t="n">
        <v>46447</v>
      </c>
      <c r="C15" s="64" t="s">
        <v>1261</v>
      </c>
      <c r="D15" s="64" t="s">
        <v>414</v>
      </c>
      <c r="E15" s="0" t="n">
        <v>21.373996</v>
      </c>
    </row>
    <row r="16" customFormat="false" ht="15" hidden="false" customHeight="false" outlineLevel="0" collapsed="false">
      <c r="A16" s="63" t="n">
        <v>46388</v>
      </c>
      <c r="B16" s="63" t="n">
        <v>46447</v>
      </c>
      <c r="C16" s="64" t="s">
        <v>1261</v>
      </c>
      <c r="D16" s="64" t="s">
        <v>416</v>
      </c>
      <c r="E16" s="0" t="n">
        <v>54.000654</v>
      </c>
    </row>
    <row r="17" customFormat="false" ht="15" hidden="false" customHeight="false" outlineLevel="0" collapsed="false">
      <c r="A17" s="63" t="n">
        <v>46388</v>
      </c>
      <c r="B17" s="63" t="n">
        <v>46447</v>
      </c>
      <c r="C17" s="64" t="s">
        <v>1261</v>
      </c>
      <c r="D17" s="64" t="s">
        <v>1262</v>
      </c>
      <c r="E17" s="0" t="n">
        <v>251.492913</v>
      </c>
    </row>
    <row r="18" customFormat="false" ht="15" hidden="false" customHeight="false" outlineLevel="0" collapsed="false">
      <c r="A18" s="63" t="n">
        <v>46388</v>
      </c>
      <c r="B18" s="63" t="n">
        <v>46447</v>
      </c>
      <c r="C18" s="64" t="s">
        <v>1263</v>
      </c>
      <c r="D18" s="64" t="s">
        <v>420</v>
      </c>
      <c r="E18" s="0" t="n">
        <v>192.900607</v>
      </c>
    </row>
    <row r="19" customFormat="false" ht="15" hidden="false" customHeight="false" outlineLevel="0" collapsed="false">
      <c r="A19" s="63" t="n">
        <v>46388</v>
      </c>
      <c r="B19" s="63" t="n">
        <v>46447</v>
      </c>
      <c r="C19" s="64" t="s">
        <v>1263</v>
      </c>
      <c r="D19" s="64" t="s">
        <v>414</v>
      </c>
      <c r="E19" s="0" t="n">
        <v>36.723877</v>
      </c>
    </row>
    <row r="20" customFormat="false" ht="15" hidden="false" customHeight="false" outlineLevel="0" collapsed="false">
      <c r="A20" s="63" t="n">
        <v>46388</v>
      </c>
      <c r="B20" s="63" t="n">
        <v>46447</v>
      </c>
      <c r="C20" s="64" t="s">
        <v>1263</v>
      </c>
      <c r="D20" s="64" t="s">
        <v>416</v>
      </c>
      <c r="E20" s="0" t="n">
        <v>68.195069</v>
      </c>
    </row>
    <row r="21" customFormat="false" ht="15" hidden="false" customHeight="false" outlineLevel="0" collapsed="false">
      <c r="A21" s="63" t="n">
        <v>46388</v>
      </c>
      <c r="B21" s="63" t="n">
        <v>46447</v>
      </c>
      <c r="C21" s="64" t="s">
        <v>1263</v>
      </c>
      <c r="D21" s="64" t="s">
        <v>1262</v>
      </c>
      <c r="E21" s="0" t="n">
        <v>297.819553</v>
      </c>
    </row>
    <row r="22" customFormat="false" ht="15" hidden="false" customHeight="false" outlineLevel="0" collapsed="false">
      <c r="A22" s="63" t="n">
        <v>46388</v>
      </c>
      <c r="B22" s="63" t="n">
        <v>46447</v>
      </c>
      <c r="C22" s="64" t="s">
        <v>1264</v>
      </c>
      <c r="D22" s="64" t="s">
        <v>420</v>
      </c>
      <c r="E22" s="0" t="n">
        <v>160.335855</v>
      </c>
    </row>
    <row r="23" customFormat="false" ht="15" hidden="false" customHeight="false" outlineLevel="0" collapsed="false">
      <c r="A23" s="63" t="n">
        <v>46388</v>
      </c>
      <c r="B23" s="63" t="n">
        <v>46447</v>
      </c>
      <c r="C23" s="64" t="s">
        <v>1264</v>
      </c>
      <c r="D23" s="64" t="s">
        <v>414</v>
      </c>
      <c r="E23" s="0" t="n">
        <v>10.153024</v>
      </c>
    </row>
    <row r="24" customFormat="false" ht="15" hidden="false" customHeight="false" outlineLevel="0" collapsed="false">
      <c r="A24" s="63" t="n">
        <v>46388</v>
      </c>
      <c r="B24" s="63" t="n">
        <v>46447</v>
      </c>
      <c r="C24" s="64" t="s">
        <v>1264</v>
      </c>
      <c r="D24" s="64" t="s">
        <v>416</v>
      </c>
      <c r="E24" s="0" t="n">
        <v>34.738739</v>
      </c>
    </row>
    <row r="25" customFormat="false" ht="15" hidden="false" customHeight="false" outlineLevel="0" collapsed="false">
      <c r="A25" s="63" t="n">
        <v>46388</v>
      </c>
      <c r="B25" s="63" t="n">
        <v>46447</v>
      </c>
      <c r="C25" s="64" t="s">
        <v>1264</v>
      </c>
      <c r="D25" s="64" t="s">
        <v>1262</v>
      </c>
      <c r="E25" s="0" t="n">
        <v>205.227618</v>
      </c>
    </row>
    <row r="26" customFormat="false" ht="15" hidden="false" customHeight="false" outlineLevel="0" collapsed="false">
      <c r="A26" s="63" t="n">
        <v>46388</v>
      </c>
      <c r="B26" s="63" t="n">
        <v>46478</v>
      </c>
      <c r="C26" s="64" t="s">
        <v>1261</v>
      </c>
      <c r="D26" s="64" t="s">
        <v>420</v>
      </c>
      <c r="E26" s="0" t="n">
        <v>181.401811</v>
      </c>
    </row>
    <row r="27" customFormat="false" ht="15" hidden="false" customHeight="false" outlineLevel="0" collapsed="false">
      <c r="A27" s="63" t="n">
        <v>46388</v>
      </c>
      <c r="B27" s="63" t="n">
        <v>46478</v>
      </c>
      <c r="C27" s="64" t="s">
        <v>1261</v>
      </c>
      <c r="D27" s="64" t="s">
        <v>414</v>
      </c>
      <c r="E27" s="0" t="n">
        <v>31.012079</v>
      </c>
    </row>
    <row r="28" customFormat="false" ht="15" hidden="false" customHeight="false" outlineLevel="0" collapsed="false">
      <c r="A28" s="63" t="n">
        <v>46388</v>
      </c>
      <c r="B28" s="63" t="n">
        <v>46478</v>
      </c>
      <c r="C28" s="64" t="s">
        <v>1261</v>
      </c>
      <c r="D28" s="64" t="s">
        <v>416</v>
      </c>
      <c r="E28" s="0" t="n">
        <v>66.598984</v>
      </c>
    </row>
    <row r="29" customFormat="false" ht="15" hidden="false" customHeight="false" outlineLevel="0" collapsed="false">
      <c r="A29" s="63" t="n">
        <v>46388</v>
      </c>
      <c r="B29" s="63" t="n">
        <v>46478</v>
      </c>
      <c r="C29" s="64" t="s">
        <v>1261</v>
      </c>
      <c r="D29" s="64" t="s">
        <v>1262</v>
      </c>
      <c r="E29" s="0" t="n">
        <v>279.012874</v>
      </c>
    </row>
    <row r="30" customFormat="false" ht="15" hidden="false" customHeight="false" outlineLevel="0" collapsed="false">
      <c r="A30" s="63" t="n">
        <v>46388</v>
      </c>
      <c r="B30" s="63" t="n">
        <v>46478</v>
      </c>
      <c r="C30" s="64" t="s">
        <v>1263</v>
      </c>
      <c r="D30" s="64" t="s">
        <v>420</v>
      </c>
      <c r="E30" s="0" t="n">
        <v>204.474643</v>
      </c>
    </row>
    <row r="31" customFormat="false" ht="15" hidden="false" customHeight="false" outlineLevel="0" collapsed="false">
      <c r="A31" s="63" t="n">
        <v>46388</v>
      </c>
      <c r="B31" s="63" t="n">
        <v>46478</v>
      </c>
      <c r="C31" s="64" t="s">
        <v>1263</v>
      </c>
      <c r="D31" s="64" t="s">
        <v>414</v>
      </c>
      <c r="E31" s="0" t="n">
        <v>69.843351</v>
      </c>
    </row>
    <row r="32" customFormat="false" ht="15" hidden="false" customHeight="false" outlineLevel="0" collapsed="false">
      <c r="A32" s="63" t="n">
        <v>46388</v>
      </c>
      <c r="B32" s="63" t="n">
        <v>46478</v>
      </c>
      <c r="C32" s="64" t="s">
        <v>1263</v>
      </c>
      <c r="D32" s="64" t="s">
        <v>416</v>
      </c>
      <c r="E32" s="0" t="n">
        <v>99.721808</v>
      </c>
    </row>
    <row r="33" customFormat="false" ht="15" hidden="false" customHeight="false" outlineLevel="0" collapsed="false">
      <c r="A33" s="63" t="n">
        <v>46388</v>
      </c>
      <c r="B33" s="63" t="n">
        <v>46478</v>
      </c>
      <c r="C33" s="64" t="s">
        <v>1263</v>
      </c>
      <c r="D33" s="64" t="s">
        <v>1262</v>
      </c>
      <c r="E33" s="0" t="n">
        <v>374.039802</v>
      </c>
    </row>
    <row r="34" customFormat="false" ht="15" hidden="false" customHeight="false" outlineLevel="0" collapsed="false">
      <c r="A34" s="63" t="n">
        <v>46388</v>
      </c>
      <c r="B34" s="63" t="n">
        <v>46478</v>
      </c>
      <c r="C34" s="64" t="s">
        <v>1264</v>
      </c>
      <c r="D34" s="64" t="s">
        <v>420</v>
      </c>
      <c r="E34" s="0" t="n">
        <v>160.335855</v>
      </c>
    </row>
    <row r="35" customFormat="false" ht="15" hidden="false" customHeight="false" outlineLevel="0" collapsed="false">
      <c r="A35" s="63" t="n">
        <v>46388</v>
      </c>
      <c r="B35" s="63" t="n">
        <v>46478</v>
      </c>
      <c r="C35" s="64" t="s">
        <v>1264</v>
      </c>
      <c r="D35" s="64" t="s">
        <v>414</v>
      </c>
      <c r="E35" s="0" t="n">
        <v>10.153024</v>
      </c>
    </row>
    <row r="36" customFormat="false" ht="15" hidden="false" customHeight="false" outlineLevel="0" collapsed="false">
      <c r="A36" s="63" t="n">
        <v>46388</v>
      </c>
      <c r="B36" s="63" t="n">
        <v>46478</v>
      </c>
      <c r="C36" s="64" t="s">
        <v>1264</v>
      </c>
      <c r="D36" s="64" t="s">
        <v>416</v>
      </c>
      <c r="E36" s="0" t="n">
        <v>34.544137</v>
      </c>
    </row>
    <row r="37" customFormat="false" ht="15" hidden="false" customHeight="false" outlineLevel="0" collapsed="false">
      <c r="A37" s="63" t="n">
        <v>46388</v>
      </c>
      <c r="B37" s="63" t="n">
        <v>46478</v>
      </c>
      <c r="C37" s="64" t="s">
        <v>1264</v>
      </c>
      <c r="D37" s="64" t="s">
        <v>1262</v>
      </c>
      <c r="E37" s="0" t="n">
        <v>205.033017</v>
      </c>
    </row>
    <row r="38" customFormat="false" ht="15" hidden="false" customHeight="false" outlineLevel="0" collapsed="false">
      <c r="A38" s="63" t="n">
        <v>46419</v>
      </c>
      <c r="B38" s="63" t="n">
        <v>46447</v>
      </c>
      <c r="C38" s="64" t="s">
        <v>1261</v>
      </c>
      <c r="D38" s="64" t="s">
        <v>420</v>
      </c>
      <c r="E38" s="0" t="n">
        <v>182.347776</v>
      </c>
    </row>
    <row r="39" customFormat="false" ht="15" hidden="false" customHeight="false" outlineLevel="0" collapsed="false">
      <c r="A39" s="63" t="n">
        <v>46419</v>
      </c>
      <c r="B39" s="63" t="n">
        <v>46447</v>
      </c>
      <c r="C39" s="64" t="s">
        <v>1261</v>
      </c>
      <c r="D39" s="64" t="s">
        <v>414</v>
      </c>
      <c r="E39" s="0" t="n">
        <v>15.239824</v>
      </c>
    </row>
    <row r="40" customFormat="false" ht="15" hidden="false" customHeight="false" outlineLevel="0" collapsed="false">
      <c r="A40" s="63" t="n">
        <v>46419</v>
      </c>
      <c r="B40" s="63" t="n">
        <v>46447</v>
      </c>
      <c r="C40" s="64" t="s">
        <v>1261</v>
      </c>
      <c r="D40" s="64" t="s">
        <v>416</v>
      </c>
      <c r="E40" s="0" t="n">
        <v>50.976781</v>
      </c>
    </row>
    <row r="41" customFormat="false" ht="15" hidden="false" customHeight="false" outlineLevel="0" collapsed="false">
      <c r="A41" s="63" t="n">
        <v>46419</v>
      </c>
      <c r="B41" s="63" t="n">
        <v>46447</v>
      </c>
      <c r="C41" s="64" t="s">
        <v>1261</v>
      </c>
      <c r="D41" s="64" t="s">
        <v>1262</v>
      </c>
      <c r="E41" s="0" t="n">
        <v>248.564381</v>
      </c>
    </row>
    <row r="42" customFormat="false" ht="15" hidden="false" customHeight="false" outlineLevel="0" collapsed="false">
      <c r="A42" s="63" t="n">
        <v>46419</v>
      </c>
      <c r="B42" s="63" t="n">
        <v>46447</v>
      </c>
      <c r="C42" s="64" t="s">
        <v>1263</v>
      </c>
      <c r="D42" s="64" t="s">
        <v>420</v>
      </c>
      <c r="E42" s="0" t="n">
        <v>193.476252</v>
      </c>
    </row>
    <row r="43" customFormat="false" ht="15" hidden="false" customHeight="false" outlineLevel="0" collapsed="false">
      <c r="A43" s="63" t="n">
        <v>46419</v>
      </c>
      <c r="B43" s="63" t="n">
        <v>46447</v>
      </c>
      <c r="C43" s="64" t="s">
        <v>1263</v>
      </c>
      <c r="D43" s="64" t="s">
        <v>414</v>
      </c>
      <c r="E43" s="0" t="n">
        <v>17.246829</v>
      </c>
    </row>
    <row r="44" customFormat="false" ht="15" hidden="false" customHeight="false" outlineLevel="0" collapsed="false">
      <c r="A44" s="63" t="n">
        <v>46419</v>
      </c>
      <c r="B44" s="63" t="n">
        <v>46447</v>
      </c>
      <c r="C44" s="64" t="s">
        <v>1263</v>
      </c>
      <c r="D44" s="64" t="s">
        <v>416</v>
      </c>
      <c r="E44" s="0" t="n">
        <v>55.690556</v>
      </c>
    </row>
    <row r="45" customFormat="false" ht="15" hidden="false" customHeight="false" outlineLevel="0" collapsed="false">
      <c r="A45" s="63" t="n">
        <v>46419</v>
      </c>
      <c r="B45" s="63" t="n">
        <v>46447</v>
      </c>
      <c r="C45" s="64" t="s">
        <v>1263</v>
      </c>
      <c r="D45" s="64" t="s">
        <v>1262</v>
      </c>
      <c r="E45" s="0" t="n">
        <v>266.413638</v>
      </c>
    </row>
    <row r="46" customFormat="false" ht="15" hidden="false" customHeight="false" outlineLevel="0" collapsed="false">
      <c r="A46" s="63" t="n">
        <v>46419</v>
      </c>
      <c r="B46" s="63" t="n">
        <v>46447</v>
      </c>
      <c r="C46" s="64" t="s">
        <v>1264</v>
      </c>
      <c r="D46" s="64" t="s">
        <v>420</v>
      </c>
      <c r="E46" s="0" t="n">
        <v>170.508514</v>
      </c>
    </row>
    <row r="47" customFormat="false" ht="15" hidden="false" customHeight="false" outlineLevel="0" collapsed="false">
      <c r="A47" s="63" t="n">
        <v>46419</v>
      </c>
      <c r="B47" s="63" t="n">
        <v>46447</v>
      </c>
      <c r="C47" s="64" t="s">
        <v>1264</v>
      </c>
      <c r="D47" s="64" t="s">
        <v>414</v>
      </c>
      <c r="E47" s="0" t="n">
        <v>13.232818</v>
      </c>
    </row>
    <row r="48" customFormat="false" ht="15" hidden="false" customHeight="false" outlineLevel="0" collapsed="false">
      <c r="A48" s="63" t="n">
        <v>46419</v>
      </c>
      <c r="B48" s="63" t="n">
        <v>46447</v>
      </c>
      <c r="C48" s="64" t="s">
        <v>1264</v>
      </c>
      <c r="D48" s="64" t="s">
        <v>416</v>
      </c>
      <c r="E48" s="0" t="n">
        <v>43.23646</v>
      </c>
    </row>
    <row r="49" customFormat="false" ht="15" hidden="false" customHeight="false" outlineLevel="0" collapsed="false">
      <c r="A49" s="63" t="n">
        <v>46419</v>
      </c>
      <c r="B49" s="63" t="n">
        <v>46447</v>
      </c>
      <c r="C49" s="64" t="s">
        <v>1264</v>
      </c>
      <c r="D49" s="64" t="s">
        <v>1262</v>
      </c>
      <c r="E49" s="0" t="n">
        <v>226.977792</v>
      </c>
    </row>
    <row r="50" customFormat="false" ht="15" hidden="false" customHeight="false" outlineLevel="0" collapsed="false">
      <c r="A50" s="63" t="n">
        <v>46419</v>
      </c>
      <c r="B50" s="63" t="n">
        <v>46478</v>
      </c>
      <c r="C50" s="64" t="s">
        <v>1261</v>
      </c>
      <c r="D50" s="64" t="s">
        <v>420</v>
      </c>
      <c r="E50" s="0" t="n">
        <v>197.35846</v>
      </c>
    </row>
    <row r="51" customFormat="false" ht="15" hidden="false" customHeight="false" outlineLevel="0" collapsed="false">
      <c r="A51" s="63" t="n">
        <v>46419</v>
      </c>
      <c r="B51" s="63" t="n">
        <v>46478</v>
      </c>
      <c r="C51" s="64" t="s">
        <v>1261</v>
      </c>
      <c r="D51" s="64" t="s">
        <v>414</v>
      </c>
      <c r="E51" s="0" t="n">
        <v>17.551229</v>
      </c>
    </row>
    <row r="52" customFormat="false" ht="15" hidden="false" customHeight="false" outlineLevel="0" collapsed="false">
      <c r="A52" s="63" t="n">
        <v>46419</v>
      </c>
      <c r="B52" s="63" t="n">
        <v>46478</v>
      </c>
      <c r="C52" s="64" t="s">
        <v>1261</v>
      </c>
      <c r="D52" s="64" t="s">
        <v>416</v>
      </c>
      <c r="E52" s="0" t="n">
        <v>64.493139</v>
      </c>
    </row>
    <row r="53" customFormat="false" ht="15" hidden="false" customHeight="false" outlineLevel="0" collapsed="false">
      <c r="A53" s="63" t="n">
        <v>46419</v>
      </c>
      <c r="B53" s="63" t="n">
        <v>46478</v>
      </c>
      <c r="C53" s="64" t="s">
        <v>1261</v>
      </c>
      <c r="D53" s="64" t="s">
        <v>1262</v>
      </c>
      <c r="E53" s="0" t="n">
        <v>279.402828</v>
      </c>
    </row>
    <row r="54" customFormat="false" ht="15" hidden="false" customHeight="false" outlineLevel="0" collapsed="false">
      <c r="A54" s="63" t="n">
        <v>46419</v>
      </c>
      <c r="B54" s="63" t="n">
        <v>46478</v>
      </c>
      <c r="C54" s="64" t="s">
        <v>1263</v>
      </c>
      <c r="D54" s="64" t="s">
        <v>420</v>
      </c>
      <c r="E54" s="0" t="n">
        <v>219.712663</v>
      </c>
    </row>
    <row r="55" customFormat="false" ht="15" hidden="false" customHeight="false" outlineLevel="0" collapsed="false">
      <c r="A55" s="63" t="n">
        <v>46419</v>
      </c>
      <c r="B55" s="63" t="n">
        <v>46478</v>
      </c>
      <c r="C55" s="64" t="s">
        <v>1263</v>
      </c>
      <c r="D55" s="64" t="s">
        <v>414</v>
      </c>
      <c r="E55" s="0" t="n">
        <v>22.478441</v>
      </c>
    </row>
    <row r="56" customFormat="false" ht="15" hidden="false" customHeight="false" outlineLevel="0" collapsed="false">
      <c r="A56" s="63" t="n">
        <v>46419</v>
      </c>
      <c r="B56" s="63" t="n">
        <v>46478</v>
      </c>
      <c r="C56" s="64" t="s">
        <v>1263</v>
      </c>
      <c r="D56" s="64" t="s">
        <v>416</v>
      </c>
      <c r="E56" s="0" t="n">
        <v>81.125718</v>
      </c>
    </row>
    <row r="57" customFormat="false" ht="15" hidden="false" customHeight="false" outlineLevel="0" collapsed="false">
      <c r="A57" s="63" t="n">
        <v>46419</v>
      </c>
      <c r="B57" s="63" t="n">
        <v>46478</v>
      </c>
      <c r="C57" s="64" t="s">
        <v>1263</v>
      </c>
      <c r="D57" s="64" t="s">
        <v>1262</v>
      </c>
      <c r="E57" s="0" t="n">
        <v>323.316822</v>
      </c>
    </row>
    <row r="58" customFormat="false" ht="15" hidden="false" customHeight="false" outlineLevel="0" collapsed="false">
      <c r="A58" s="63" t="n">
        <v>46419</v>
      </c>
      <c r="B58" s="63" t="n">
        <v>46478</v>
      </c>
      <c r="C58" s="64" t="s">
        <v>1264</v>
      </c>
      <c r="D58" s="64" t="s">
        <v>420</v>
      </c>
      <c r="E58" s="0" t="n">
        <v>170.795127</v>
      </c>
    </row>
    <row r="59" customFormat="false" ht="15" hidden="false" customHeight="false" outlineLevel="0" collapsed="false">
      <c r="A59" s="63" t="n">
        <v>46419</v>
      </c>
      <c r="B59" s="63" t="n">
        <v>46478</v>
      </c>
      <c r="C59" s="64" t="s">
        <v>1264</v>
      </c>
      <c r="D59" s="64" t="s">
        <v>414</v>
      </c>
      <c r="E59" s="0" t="n">
        <v>13.232818</v>
      </c>
    </row>
    <row r="60" customFormat="false" ht="15" hidden="false" customHeight="false" outlineLevel="0" collapsed="false">
      <c r="A60" s="63" t="n">
        <v>46419</v>
      </c>
      <c r="B60" s="63" t="n">
        <v>46478</v>
      </c>
      <c r="C60" s="64" t="s">
        <v>1264</v>
      </c>
      <c r="D60" s="64" t="s">
        <v>416</v>
      </c>
      <c r="E60" s="0" t="n">
        <v>44.413309</v>
      </c>
    </row>
    <row r="61" customFormat="false" ht="15" hidden="false" customHeight="false" outlineLevel="0" collapsed="false">
      <c r="A61" s="63" t="n">
        <v>46419</v>
      </c>
      <c r="B61" s="63" t="n">
        <v>46478</v>
      </c>
      <c r="C61" s="64" t="s">
        <v>1264</v>
      </c>
      <c r="D61" s="64" t="s">
        <v>1262</v>
      </c>
      <c r="E61" s="0" t="n">
        <v>228.441255</v>
      </c>
    </row>
    <row r="62" customFormat="false" ht="15" hidden="false" customHeight="false" outlineLevel="0" collapsed="false">
      <c r="A62" s="63" t="n">
        <v>46419</v>
      </c>
      <c r="B62" s="63" t="n">
        <v>46508</v>
      </c>
      <c r="C62" s="64" t="s">
        <v>1261</v>
      </c>
      <c r="D62" s="64" t="s">
        <v>420</v>
      </c>
      <c r="E62" s="0" t="n">
        <v>217.331039</v>
      </c>
    </row>
    <row r="63" customFormat="false" ht="15" hidden="false" customHeight="false" outlineLevel="0" collapsed="false">
      <c r="A63" s="63" t="n">
        <v>46419</v>
      </c>
      <c r="B63" s="63" t="n">
        <v>46508</v>
      </c>
      <c r="C63" s="64" t="s">
        <v>1261</v>
      </c>
      <c r="D63" s="64" t="s">
        <v>414</v>
      </c>
      <c r="E63" s="0" t="n">
        <v>20.213203</v>
      </c>
    </row>
    <row r="64" customFormat="false" ht="15" hidden="false" customHeight="false" outlineLevel="0" collapsed="false">
      <c r="A64" s="63" t="n">
        <v>46419</v>
      </c>
      <c r="B64" s="63" t="n">
        <v>46508</v>
      </c>
      <c r="C64" s="64" t="s">
        <v>1261</v>
      </c>
      <c r="D64" s="64" t="s">
        <v>416</v>
      </c>
      <c r="E64" s="0" t="n">
        <v>79.58673</v>
      </c>
    </row>
    <row r="65" customFormat="false" ht="15" hidden="false" customHeight="false" outlineLevel="0" collapsed="false">
      <c r="A65" s="63" t="n">
        <v>46419</v>
      </c>
      <c r="B65" s="63" t="n">
        <v>46508</v>
      </c>
      <c r="C65" s="64" t="s">
        <v>1261</v>
      </c>
      <c r="D65" s="64" t="s">
        <v>1262</v>
      </c>
      <c r="E65" s="0" t="n">
        <v>317.130972</v>
      </c>
    </row>
    <row r="66" customFormat="false" ht="15" hidden="false" customHeight="false" outlineLevel="0" collapsed="false">
      <c r="A66" s="63" t="n">
        <v>46419</v>
      </c>
      <c r="B66" s="63" t="n">
        <v>46508</v>
      </c>
      <c r="C66" s="64" t="s">
        <v>1263</v>
      </c>
      <c r="D66" s="64" t="s">
        <v>420</v>
      </c>
      <c r="E66" s="0" t="n">
        <v>252.095637</v>
      </c>
    </row>
    <row r="67" customFormat="false" ht="15" hidden="false" customHeight="false" outlineLevel="0" collapsed="false">
      <c r="A67" s="63" t="n">
        <v>46419</v>
      </c>
      <c r="B67" s="63" t="n">
        <v>46508</v>
      </c>
      <c r="C67" s="64" t="s">
        <v>1263</v>
      </c>
      <c r="D67" s="64" t="s">
        <v>414</v>
      </c>
      <c r="E67" s="0" t="n">
        <v>29.296997</v>
      </c>
    </row>
    <row r="68" customFormat="false" ht="15" hidden="false" customHeight="false" outlineLevel="0" collapsed="false">
      <c r="A68" s="63" t="n">
        <v>46419</v>
      </c>
      <c r="B68" s="63" t="n">
        <v>46508</v>
      </c>
      <c r="C68" s="64" t="s">
        <v>1263</v>
      </c>
      <c r="D68" s="64" t="s">
        <v>416</v>
      </c>
      <c r="E68" s="0" t="n">
        <v>116.645727</v>
      </c>
    </row>
    <row r="69" customFormat="false" ht="15" hidden="false" customHeight="false" outlineLevel="0" collapsed="false">
      <c r="A69" s="63" t="n">
        <v>46419</v>
      </c>
      <c r="B69" s="63" t="n">
        <v>46508</v>
      </c>
      <c r="C69" s="64" t="s">
        <v>1263</v>
      </c>
      <c r="D69" s="64" t="s">
        <v>1262</v>
      </c>
      <c r="E69" s="0" t="n">
        <v>398.038361</v>
      </c>
    </row>
    <row r="70" customFormat="false" ht="15" hidden="false" customHeight="false" outlineLevel="0" collapsed="false">
      <c r="A70" s="63" t="n">
        <v>46419</v>
      </c>
      <c r="B70" s="63" t="n">
        <v>46508</v>
      </c>
      <c r="C70" s="64" t="s">
        <v>1264</v>
      </c>
      <c r="D70" s="64" t="s">
        <v>420</v>
      </c>
      <c r="E70" s="0" t="n">
        <v>170.795127</v>
      </c>
    </row>
    <row r="71" customFormat="false" ht="15" hidden="false" customHeight="false" outlineLevel="0" collapsed="false">
      <c r="A71" s="63" t="n">
        <v>46419</v>
      </c>
      <c r="B71" s="63" t="n">
        <v>46508</v>
      </c>
      <c r="C71" s="64" t="s">
        <v>1264</v>
      </c>
      <c r="D71" s="64" t="s">
        <v>414</v>
      </c>
      <c r="E71" s="0" t="n">
        <v>13.232818</v>
      </c>
    </row>
    <row r="72" customFormat="false" ht="15" hidden="false" customHeight="false" outlineLevel="0" collapsed="false">
      <c r="A72" s="63" t="n">
        <v>46419</v>
      </c>
      <c r="B72" s="63" t="n">
        <v>46508</v>
      </c>
      <c r="C72" s="64" t="s">
        <v>1264</v>
      </c>
      <c r="D72" s="64" t="s">
        <v>416</v>
      </c>
      <c r="E72" s="0" t="n">
        <v>44.419876</v>
      </c>
    </row>
    <row r="73" customFormat="false" ht="15" hidden="false" customHeight="false" outlineLevel="0" collapsed="false">
      <c r="A73" s="63" t="n">
        <v>46419</v>
      </c>
      <c r="B73" s="63" t="n">
        <v>46508</v>
      </c>
      <c r="C73" s="64" t="s">
        <v>1264</v>
      </c>
      <c r="D73" s="64" t="s">
        <v>1262</v>
      </c>
      <c r="E73" s="0" t="n">
        <v>228.447821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2026-10-08T16:53:54Z</dcterms:created>
  <dc:creator>openpyxl</dc:creator>
  <dc:description/>
  <dc:language>en-US</dc:language>
  <cp:lastModifiedBy/>
  <dcterms:modified xsi:type="dcterms:W3CDTF">2026-10-08T16:54:46Z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