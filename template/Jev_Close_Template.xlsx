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ummary" sheetId="2" state="visible" r:id="rId2"/>
    <sheet xmlns:r="http://schemas.openxmlformats.org/officeDocument/2006/relationships" name="Checks" sheetId="3" state="visible" r:id="rId3"/>
    <sheet xmlns:r="http://schemas.openxmlformats.org/officeDocument/2006/relationships" name="Monthly" sheetId="4" state="visible" r:id="rId4"/>
    <sheet xmlns:r="http://schemas.openxmlformats.org/officeDocument/2006/relationships" name="UseCases" sheetId="5" state="visible" r:id="rId5"/>
    <sheet xmlns:r="http://schemas.openxmlformats.org/officeDocument/2006/relationships" name="Cohorts" sheetId="6" state="visible" r:id="rId6"/>
    <sheet xmlns:r="http://schemas.openxmlformats.org/officeDocument/2006/relationships" name="Enterprise" sheetId="7" state="visible" r:id="rId7"/>
    <sheet xmlns:r="http://schemas.openxmlformats.org/officeDocument/2006/relationships" name="Concentration" sheetId="8" state="visible" r:id="rId8"/>
    <sheet xmlns:r="http://schemas.openxmlformats.org/officeDocument/2006/relationships" name="Forecast" sheetId="9" state="visible" r:id="rId9"/>
    <sheet xmlns:r="http://schemas.openxmlformats.org/officeDocument/2006/relationships" name="Forecast_Ent" sheetId="10" state="visible" r:id="rId10"/>
    <sheet xmlns:r="http://schemas.openxmlformats.org/officeDocument/2006/relationships" name="Capacity" sheetId="11" state="visible" r:id="rId11"/>
    <sheet xmlns:r="http://schemas.openxmlformats.org/officeDocument/2006/relationships" name="Overrides" sheetId="12" state="visible" r:id="rId12"/>
    <sheet xmlns:r="http://schemas.openxmlformats.org/officeDocument/2006/relationships" name="Data_Params" sheetId="13" state="visible" r:id="rId13"/>
    <sheet xmlns:r="http://schemas.openxmlformats.org/officeDocument/2006/relationships" name="Data_Months" sheetId="14" state="visible" r:id="rId14"/>
    <sheet xmlns:r="http://schemas.openxmlformats.org/officeDocument/2006/relationships" name="Data_Monthly" sheetId="15" state="visible" r:id="rId15"/>
    <sheet xmlns:r="http://schemas.openxmlformats.org/officeDocument/2006/relationships" name="Data_Lists" sheetId="16" state="visible" r:id="rId16"/>
    <sheet xmlns:r="http://schemas.openxmlformats.org/officeDocument/2006/relationships" name="Data_UseCase" sheetId="17" state="visible" r:id="rId17"/>
    <sheet xmlns:r="http://schemas.openxmlformats.org/officeDocument/2006/relationships" name="Data_InferenceAcc" sheetId="18" state="visible" r:id="rId18"/>
    <sheet xmlns:r="http://schemas.openxmlformats.org/officeDocument/2006/relationships" name="Data_Cohort" sheetId="19" state="visible" r:id="rId19"/>
    <sheet xmlns:r="http://schemas.openxmlformats.org/officeDocument/2006/relationships" name="Data_EarlierCohorts" sheetId="20" state="visible" r:id="rId20"/>
    <sheet xmlns:r="http://schemas.openxmlformats.org/officeDocument/2006/relationships" name="Data_Signups" sheetId="21" state="visible" r:id="rId21"/>
    <sheet xmlns:r="http://schemas.openxmlformats.org/officeDocument/2006/relationships" name="Data_Contracts" sheetId="22" state="visible" r:id="rId22"/>
    <sheet xmlns:r="http://schemas.openxmlformats.org/officeDocument/2006/relationships" name="Data_EntMonth" sheetId="23" state="visible" r:id="rId23"/>
    <sheet xmlns:r="http://schemas.openxmlformats.org/officeDocument/2006/relationships" name="Data_Pipeline" sheetId="24" state="visible" r:id="rId24"/>
    <sheet xmlns:r="http://schemas.openxmlformats.org/officeDocument/2006/relationships" name="Data_Concentration" sheetId="25" state="visible" r:id="rId25"/>
    <sheet xmlns:r="http://schemas.openxmlformats.org/officeDocument/2006/relationships" name="Data_Checks" sheetId="26" state="visible" r:id="rId26"/>
    <sheet xmlns:r="http://schemas.openxmlformats.org/officeDocument/2006/relationships" name="Data_Reliability" sheetId="27" state="visible" r:id="rId27"/>
    <sheet xmlns:r="http://schemas.openxmlformats.org/officeDocument/2006/relationships" name="Data_Hourly" sheetId="28" state="visible" r:id="rId28"/>
    <sheet xmlns:r="http://schemas.openxmlformats.org/officeDocument/2006/relationships" name="Data_FcHistory" sheetId="29" state="visible" r:id="rId29"/>
  </sheets>
  <definedNames/>
  <calcPr calcId="124519" fullCalcOnLoad="1"/>
</workbook>
</file>

<file path=xl/styles.xml><?xml version="1.0" encoding="utf-8"?>
<styleSheet xmlns="http://schemas.openxmlformats.org/spreadsheetml/2006/main">
  <numFmts count="14">
    <numFmt numFmtId="164" formatCode="yyyy-mm-dd"/>
    <numFmt numFmtId="165" formatCode="$#,##0.00;($#,##0.00);-"/>
    <numFmt numFmtId="166" formatCode="mmm yyyy"/>
    <numFmt numFmtId="167" formatCode="#,##0.0;(#,##0.0);-"/>
    <numFmt numFmtId="168" formatCode="#,##0;(#,##0);-"/>
    <numFmt numFmtId="169" formatCode="#,##0.00;(#,##0.00);-"/>
    <numFmt numFmtId="170" formatCode="0.0%;(0.0%);-"/>
    <numFmt numFmtId="171" formatCode="$#,##0.0000;($#,##0.0000);-"/>
    <numFmt numFmtId="172" formatCode="#,##0.000;(#,##0.000);-"/>
    <numFmt numFmtId="173" formatCode="$#,##0;($#,##0);-"/>
    <numFmt numFmtId="174" formatCode="#,##0.00;(#,##0.00);0"/>
    <numFmt numFmtId="175" formatCode="0.000000"/>
    <numFmt numFmtId="176" formatCode="0.00&quot;x&quot;;(0.00&quot;x&quot;);-"/>
    <numFmt numFmtId="177" formatCode="0%;[Red](0%);-"/>
  </numFmts>
  <fonts count="9">
    <font>
      <name val="Calibri"/>
      <family val="2"/>
      <color theme="1"/>
      <sz val="11"/>
      <scheme val="minor"/>
    </font>
    <font>
      <name val="Arial"/>
      <b val="1"/>
      <color rgb="00FFFFFF"/>
      <sz val="10"/>
    </font>
    <font>
      <name val="Arial"/>
      <color rgb="00000000"/>
      <sz val="10"/>
    </font>
    <font>
      <name val="Arial"/>
      <i val="1"/>
      <color rgb="00555555"/>
      <sz val="9"/>
    </font>
    <font>
      <name val="Arial"/>
      <b val="1"/>
      <sz val="14"/>
    </font>
    <font>
      <name val="Arial"/>
      <b val="1"/>
      <sz val="10"/>
    </font>
    <font>
      <name val="Arial"/>
      <b val="1"/>
      <color rgb="00C00000"/>
      <sz val="11"/>
    </font>
    <font>
      <name val="Arial"/>
      <color rgb="000000FF"/>
      <sz val="10"/>
    </font>
    <font>
      <name val="Arial"/>
      <color rgb="00008000"/>
      <sz val="10"/>
    </font>
  </fonts>
  <fills count="8">
    <fill>
      <patternFill/>
    </fill>
    <fill>
      <patternFill patternType="gray125"/>
    </fill>
    <fill>
      <patternFill patternType="solid">
        <fgColor rgb="005B6770"/>
      </patternFill>
    </fill>
    <fill>
      <patternFill patternType="solid">
        <fgColor rgb="00FFF2CC"/>
      </patternFill>
    </fill>
    <fill>
      <patternFill patternType="solid">
        <fgColor rgb="001F3A5F"/>
      </patternFill>
    </fill>
    <fill>
      <patternFill patternType="solid">
        <fgColor rgb="00F3F6FA"/>
      </patternFill>
    </fill>
    <fill>
      <patternFill patternType="solid">
        <fgColor rgb="00E8EEF5"/>
      </patternFill>
    </fill>
    <fill>
      <patternFill patternType="solid">
        <fgColor rgb="00FFFF00"/>
      </patternFill>
    </fill>
  </fills>
  <borders count="1">
    <border>
      <left/>
      <right/>
      <top/>
      <bottom/>
      <diagonal/>
    </border>
  </borders>
  <cellStyleXfs count="1">
    <xf numFmtId="0" fontId="0" fillId="0" borderId="0"/>
  </cellStyleXfs>
  <cellXfs count="64">
    <xf numFmtId="0" fontId="0" fillId="0" borderId="0" pivotButton="0" quotePrefix="0" xfId="0"/>
    <xf numFmtId="0" fontId="4" fillId="0" borderId="0" pivotButton="0" quotePrefix="0" xfId="0"/>
    <xf numFmtId="0" fontId="5" fillId="0" borderId="0" pivotButton="0" quotePrefix="0" xfId="0"/>
    <xf numFmtId="0" fontId="2" fillId="0" borderId="0" pivotButton="0" quotePrefix="0" xfId="0"/>
    <xf numFmtId="166" fontId="8" fillId="0" borderId="0" pivotButton="0" quotePrefix="0" xfId="0"/>
    <xf numFmtId="0" fontId="8" fillId="0" borderId="0" pivotButton="0" quotePrefix="0" xfId="0"/>
    <xf numFmtId="164" fontId="8" fillId="0" borderId="0" pivotButton="0" quotePrefix="0" xfId="0"/>
    <xf numFmtId="0" fontId="3" fillId="0" borderId="0" pivotButton="0" quotePrefix="0" xfId="0"/>
    <xf numFmtId="0" fontId="1" fillId="4" borderId="0" applyAlignment="1" pivotButton="0" quotePrefix="0" xfId="0">
      <alignment horizontal="center" vertical="center" wrapText="1"/>
    </xf>
    <xf numFmtId="166" fontId="1" fillId="4" borderId="0" applyAlignment="1" pivotButton="0" quotePrefix="0" xfId="0">
      <alignment horizontal="center" vertical="center" wrapText="1"/>
    </xf>
    <xf numFmtId="167" fontId="8" fillId="0" borderId="0" pivotButton="0" quotePrefix="0" xfId="0"/>
    <xf numFmtId="170" fontId="8" fillId="0" borderId="0" pivotButton="0" quotePrefix="0" xfId="0"/>
    <xf numFmtId="168" fontId="8" fillId="0" borderId="0" pivotButton="0" quotePrefix="0" xfId="0"/>
    <xf numFmtId="171" fontId="8" fillId="0" borderId="0" pivotButton="0" quotePrefix="0" xfId="0"/>
    <xf numFmtId="165" fontId="8" fillId="0" borderId="0" pivotButton="0" quotePrefix="0" xfId="0"/>
    <xf numFmtId="0" fontId="0" fillId="5" borderId="0" applyAlignment="1" pivotButton="0" quotePrefix="0" xfId="0">
      <alignment vertical="top" wrapText="1"/>
    </xf>
    <xf numFmtId="174" fontId="2" fillId="0" borderId="0" pivotButton="0" quotePrefix="0" xfId="0"/>
    <xf numFmtId="165" fontId="2" fillId="0" borderId="0" pivotButton="0" quotePrefix="0" xfId="0"/>
    <xf numFmtId="0" fontId="0" fillId="5" borderId="0" pivotButton="0" quotePrefix="0" xfId="0"/>
    <xf numFmtId="0" fontId="5" fillId="6" borderId="0" pivotButton="0" quotePrefix="0" xfId="0"/>
    <xf numFmtId="0" fontId="0" fillId="6" borderId="0" pivotButton="0" quotePrefix="0" xfId="0"/>
    <xf numFmtId="167" fontId="2" fillId="0" borderId="0" pivotButton="0" quotePrefix="0" xfId="0"/>
    <xf numFmtId="167" fontId="5" fillId="0" borderId="0" pivotButton="0" quotePrefix="0" xfId="0"/>
    <xf numFmtId="168" fontId="2" fillId="0" borderId="0" pivotButton="0" quotePrefix="0" xfId="0"/>
    <xf numFmtId="169" fontId="2" fillId="0" borderId="0" pivotButton="0" quotePrefix="0" xfId="0"/>
    <xf numFmtId="170" fontId="2" fillId="0" borderId="0" pivotButton="0" quotePrefix="0" xfId="0"/>
    <xf numFmtId="171" fontId="2" fillId="0" borderId="0" pivotButton="0" quotePrefix="0" xfId="0"/>
    <xf numFmtId="170" fontId="5" fillId="0" borderId="0" pivotButton="0" quotePrefix="0" xfId="0"/>
    <xf numFmtId="166" fontId="2" fillId="0" borderId="0" pivotButton="0" quotePrefix="0" xfId="0"/>
    <xf numFmtId="172" fontId="2" fillId="0" borderId="0" pivotButton="0" quotePrefix="0" xfId="0"/>
    <xf numFmtId="164" fontId="2" fillId="0" borderId="0" pivotButton="0" quotePrefix="0" xfId="0"/>
    <xf numFmtId="173" fontId="2" fillId="0" borderId="0" pivotButton="0" quotePrefix="0" xfId="0"/>
    <xf numFmtId="173" fontId="5" fillId="0" borderId="0" pivotButton="0" quotePrefix="0" xfId="0"/>
    <xf numFmtId="173" fontId="8" fillId="0" borderId="0" pivotButton="0" quotePrefix="0" xfId="0"/>
    <xf numFmtId="176" fontId="8" fillId="0" borderId="0" pivotButton="0" quotePrefix="0" xfId="0"/>
    <xf numFmtId="176" fontId="8" fillId="7" borderId="0" pivotButton="0" quotePrefix="0" xfId="0"/>
    <xf numFmtId="175" fontId="2" fillId="0" borderId="0" pivotButton="0" quotePrefix="0" xfId="0"/>
    <xf numFmtId="170" fontId="8" fillId="7" borderId="0" pivotButton="0" quotePrefix="0" xfId="0"/>
    <xf numFmtId="176" fontId="2" fillId="0" borderId="0" pivotButton="0" quotePrefix="0" xfId="0"/>
    <xf numFmtId="169" fontId="8" fillId="0" borderId="0" pivotButton="0" quotePrefix="0" xfId="0"/>
    <xf numFmtId="0" fontId="6" fillId="0" borderId="0" pivotButton="0" quotePrefix="0" xfId="0"/>
    <xf numFmtId="169" fontId="5" fillId="0" borderId="0" pivotButton="0" quotePrefix="0" xfId="0"/>
    <xf numFmtId="166" fontId="5" fillId="0" borderId="0" pivotButton="0" quotePrefix="0" xfId="0"/>
    <xf numFmtId="168" fontId="8" fillId="7" borderId="0" pivotButton="0" quotePrefix="0" xfId="0"/>
    <xf numFmtId="168" fontId="5" fillId="0" borderId="0" pivotButton="0" quotePrefix="0" xfId="0"/>
    <xf numFmtId="177" fontId="5" fillId="0" borderId="0" pivotButton="0" quotePrefix="0" xfId="0"/>
    <xf numFmtId="0" fontId="6" fillId="3" borderId="0" pivotButton="0" quotePrefix="0" xfId="0"/>
    <xf numFmtId="176" fontId="7" fillId="0" borderId="0" pivotButton="0" quotePrefix="0" xfId="0"/>
    <xf numFmtId="176" fontId="7" fillId="3" borderId="0" pivotButton="0" quotePrefix="0" xfId="0"/>
    <xf numFmtId="176" fontId="5" fillId="0" borderId="0" pivotButton="0" quotePrefix="0" xfId="0"/>
    <xf numFmtId="170" fontId="7" fillId="0" borderId="0" pivotButton="0" quotePrefix="0" xfId="0"/>
    <xf numFmtId="170" fontId="7" fillId="3" borderId="0" pivotButton="0" quotePrefix="0" xfId="0"/>
    <xf numFmtId="168" fontId="7" fillId="0" borderId="0" pivotButton="0" quotePrefix="0" xfId="0"/>
    <xf numFmtId="168" fontId="7" fillId="3" borderId="0" pivotButton="0" quotePrefix="0" xfId="0"/>
    <xf numFmtId="171" fontId="7" fillId="3" borderId="0" pivotButton="0" quotePrefix="0" xfId="0"/>
    <xf numFmtId="171" fontId="5" fillId="0" borderId="0" pivotButton="0" quotePrefix="0" xfId="0"/>
    <xf numFmtId="165" fontId="7" fillId="0" borderId="0" pivotButton="0" quotePrefix="0" xfId="0"/>
    <xf numFmtId="165" fontId="7" fillId="3" borderId="0" pivotButton="0" quotePrefix="0" xfId="0"/>
    <xf numFmtId="165" fontId="5" fillId="0" borderId="0" pivotButton="0" quotePrefix="0" xfId="0"/>
    <xf numFmtId="164" fontId="7" fillId="3" borderId="0" pivotButton="0" quotePrefix="0" xfId="0"/>
    <xf numFmtId="0" fontId="7" fillId="3" borderId="0" pivotButton="0" quotePrefix="0" xfId="0"/>
    <xf numFmtId="0" fontId="7" fillId="5" borderId="0" pivotButton="0" quotePrefix="0" xfId="0"/>
    <xf numFmtId="0" fontId="1" fillId="2" borderId="0" applyAlignment="1" pivotButton="0" quotePrefix="0" xfId="0">
      <alignment horizontal="center" vertical="center" wrapText="1"/>
    </xf>
    <xf numFmtId="164" fontId="0" fillId="0" borderId="0" pivotButton="0" quotePrefix="0" xfId="0"/>
  </cellXfs>
  <cellStyles count="1">
    <cellStyle name="Normal" xfId="0" builtinId="0" hidden="0"/>
  </cellStyles>
  <dxfs count="4">
    <dxf>
      <fill>
        <patternFill patternType="solid">
          <fgColor rgb="00F8D7DA"/>
        </patternFill>
      </fill>
    </dxf>
    <dxf>
      <fill>
        <patternFill patternType="solid">
          <fgColor rgb="00FFF3CD"/>
        </patternFill>
      </fill>
    </dxf>
    <dxf>
      <fill>
        <patternFill patternType="solid">
          <fgColor rgb="00D4EDDA"/>
        </patternFill>
      </fill>
    </dxf>
    <dxf>
      <fill>
        <patternFill patternType="solid">
          <fgColor rgb="00E2E3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40" customWidth="1" min="1" max="1"/>
    <col width="30" customWidth="1" min="2" max="2"/>
  </cols>
  <sheetData>
    <row r="1">
      <c r="A1" s="1" t="inlineStr">
        <is>
          <t>Monthly close workbook</t>
        </is>
      </c>
    </row>
    <row r="3">
      <c r="A3" s="2" t="inlineStr">
        <is>
          <t>How this workbook works</t>
        </is>
      </c>
    </row>
    <row r="4">
      <c r="A4" s="3" t="inlineStr">
        <is>
          <t>1. Numbers enter only through the grey Data_ tabs. The runner fills them from your sources; you can also paste query results by hand.</t>
        </is>
      </c>
    </row>
    <row r="5">
      <c r="A5" s="3" t="inlineStr">
        <is>
          <t>2. Every other tab is formulas reading the Data_ tabs for a 12-month window ending at the as-of month.</t>
        </is>
      </c>
    </row>
    <row r="6">
      <c r="A6" s="3" t="inlineStr">
        <is>
          <t>3. Judgment inputs (forecast and capacity) live on the Overrides tab, seeded from config.yaml. Type an override in a yellow cell to test a scenario.</t>
        </is>
      </c>
    </row>
    <row r="7">
      <c r="A7" s="3" t="inlineStr">
        <is>
          <t xml:space="preserve">   Bad entries are ignored, not fatal: a word, an error or an out-of-range number falls back to the model value. Set the switch on Overrides to OFF to undo every override at once.</t>
        </is>
      </c>
    </row>
    <row r="8">
      <c r="A8" s="3" t="inlineStr">
        <is>
          <t>4. Grey-shaded cells on Checks and Summary are for people and the agent: owners, explanations, commentary.</t>
        </is>
      </c>
    </row>
    <row r="9">
      <c r="A9" s="3" t="inlineStr"/>
    </row>
    <row r="10">
      <c r="A10" s="2" t="inlineStr">
        <is>
          <t>This close</t>
        </is>
      </c>
    </row>
    <row r="11">
      <c r="A11" s="3" t="inlineStr">
        <is>
          <t>As-of month</t>
        </is>
      </c>
      <c r="B11" s="4">
        <f>Data_Params!$B$2</f>
        <v/>
      </c>
    </row>
    <row r="12">
      <c r="A12" s="3" t="inlineStr">
        <is>
          <t>Generated</t>
        </is>
      </c>
      <c r="B12" s="5">
        <f>Data_Params!$B$13</f>
        <v/>
      </c>
    </row>
    <row r="13">
      <c r="A13" s="3" t="inlineStr">
        <is>
          <t>Usage grain</t>
        </is>
      </c>
      <c r="B13" s="5">
        <f>Data_Params!$B$9</f>
        <v/>
      </c>
    </row>
    <row r="14">
      <c r="A14" s="3" t="inlineStr">
        <is>
          <t>Sources connected</t>
        </is>
      </c>
      <c r="B14" s="5">
        <f>Data_Params!$B$12</f>
        <v/>
      </c>
    </row>
    <row r="15">
      <c r="A15" s="3" t="inlineStr">
        <is>
          <t>Usage data from</t>
        </is>
      </c>
      <c r="B15" s="6">
        <f>Data_Params!$B$10</f>
        <v/>
      </c>
    </row>
    <row r="16">
      <c r="A16" s="3" t="inlineStr">
        <is>
          <t>Usage data to</t>
        </is>
      </c>
      <c r="B16" s="6">
        <f>Data_Params!$B$11</f>
        <v/>
      </c>
    </row>
    <row r="17">
      <c r="A17" s="3" t="inlineStr">
        <is>
          <t>Checks flagged</t>
        </is>
      </c>
      <c r="B17" s="5">
        <f>COUNTIF(Checks!$G$5:$G$154,"FLAG")</f>
        <v/>
      </c>
    </row>
    <row r="18">
      <c r="A18" s="3" t="inlineStr">
        <is>
          <t>Overrides</t>
        </is>
      </c>
      <c r="B18" s="5">
        <f>Overrides!$C$5</f>
        <v/>
      </c>
    </row>
    <row r="19">
      <c r="A19" s="3" t="inlineStr"/>
    </row>
    <row r="20">
      <c r="A20" s="7" t="inlineStr">
        <is>
          <t>Color key: blue = input, black = formula, green = link to another tab, yellow = key assumption, grey tab =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
  <sheetViews>
    <sheetView showGridLines="0" workbookViewId="0">
      <selection activeCell="A1" sqref="A1"/>
    </sheetView>
  </sheetViews>
  <sheetFormatPr baseColWidth="8" defaultRowHeight="15"/>
  <cols>
    <col width="44" customWidth="1" min="1" max="1"/>
    <col width="13" customWidth="1" min="2" max="2"/>
    <col width="13" customWidth="1" min="3" max="3"/>
    <col width="13" customWidth="1" min="4" max="4"/>
    <col width="13" customWidth="1" min="5" max="5"/>
    <col width="13" customWidth="1" min="6" max="6"/>
    <col width="13" customWidth="1" min="7" max="7"/>
  </cols>
  <sheetData>
    <row r="1">
      <c r="A1" s="1">
        <f>Data_Params!$B$14&amp;" | Monthly close"</f>
        <v/>
      </c>
    </row>
    <row r="2">
      <c r="A2" s="7" t="inlineStr">
        <is>
          <t>Formulas only. Start here, then Checks. Every figure traces to a Data_ sheet and from there to a query in /sql.</t>
        </is>
      </c>
    </row>
    <row r="3">
      <c r="A3" s="2" t="inlineStr">
        <is>
          <t>As-of month</t>
        </is>
      </c>
      <c r="B3" s="4">
        <f>Data_Params!$B$2</f>
        <v/>
      </c>
      <c r="C3" s="2" t="inlineStr">
        <is>
          <t>Sources</t>
        </is>
      </c>
      <c r="D3" s="5">
        <f>Data_Params!$B$12</f>
        <v/>
      </c>
      <c r="F3" s="2" t="inlineStr">
        <is>
          <t>Overrides</t>
        </is>
      </c>
      <c r="G3" s="5">
        <f>Overrides!$C$5</f>
        <v/>
      </c>
    </row>
    <row r="5">
      <c r="A5" s="8" t="inlineStr">
        <is>
          <t>Metric</t>
        </is>
      </c>
      <c r="B5" s="9">
        <f>Monthly!H4</f>
        <v/>
      </c>
      <c r="C5" s="9">
        <f>Monthly!I4</f>
        <v/>
      </c>
      <c r="D5" s="9">
        <f>Monthly!J4</f>
        <v/>
      </c>
      <c r="E5" s="9">
        <f>Monthly!K4</f>
        <v/>
      </c>
      <c r="F5" s="9">
        <f>Monthly!L4</f>
        <v/>
      </c>
      <c r="G5" s="9">
        <f>Monthly!M4</f>
        <v/>
      </c>
    </row>
    <row r="6">
      <c r="A6" s="3" t="inlineStr">
        <is>
          <t>Billable tokens per day (B)</t>
        </is>
      </c>
      <c r="B6" s="10">
        <f>Monthly!H12</f>
        <v/>
      </c>
      <c r="C6" s="10">
        <f>Monthly!I12</f>
        <v/>
      </c>
      <c r="D6" s="10">
        <f>Monthly!J12</f>
        <v/>
      </c>
      <c r="E6" s="10">
        <f>Monthly!K12</f>
        <v/>
      </c>
      <c r="F6" s="10">
        <f>Monthly!L12</f>
        <v/>
      </c>
      <c r="G6" s="10">
        <f>Monthly!M12</f>
        <v/>
      </c>
    </row>
    <row r="7">
      <c r="A7" s="3" t="inlineStr">
        <is>
          <t>Growth in tokens per day</t>
        </is>
      </c>
      <c r="B7" s="11">
        <f>Monthly!H16</f>
        <v/>
      </c>
      <c r="C7" s="11">
        <f>Monthly!I16</f>
        <v/>
      </c>
      <c r="D7" s="11">
        <f>Monthly!J16</f>
        <v/>
      </c>
      <c r="E7" s="11">
        <f>Monthly!K16</f>
        <v/>
      </c>
      <c r="F7" s="11">
        <f>Monthly!L16</f>
        <v/>
      </c>
      <c r="G7" s="11">
        <f>Monthly!M16</f>
        <v/>
      </c>
    </row>
    <row r="8">
      <c r="A8" s="3" t="inlineStr">
        <is>
          <t>Net revenue ($k)</t>
        </is>
      </c>
      <c r="B8" s="10">
        <f>Monthly!H34</f>
        <v/>
      </c>
      <c r="C8" s="10">
        <f>Monthly!I34</f>
        <v/>
      </c>
      <c r="D8" s="10">
        <f>Monthly!J34</f>
        <v/>
      </c>
      <c r="E8" s="10">
        <f>Monthly!K34</f>
        <v/>
      </c>
      <c r="F8" s="10">
        <f>Monthly!L34</f>
        <v/>
      </c>
      <c r="G8" s="10">
        <f>Monthly!M34</f>
        <v/>
      </c>
    </row>
    <row r="9">
      <c r="A9" s="3" t="inlineStr">
        <is>
          <t>Annualized run-rate ($k)</t>
        </is>
      </c>
      <c r="B9" s="12">
        <f>Monthly!H36</f>
        <v/>
      </c>
      <c r="C9" s="12">
        <f>Monthly!I36</f>
        <v/>
      </c>
      <c r="D9" s="12">
        <f>Monthly!J36</f>
        <v/>
      </c>
      <c r="E9" s="12">
        <f>Monthly!K36</f>
        <v/>
      </c>
      <c r="F9" s="12">
        <f>Monthly!L36</f>
        <v/>
      </c>
      <c r="G9" s="12">
        <f>Monthly!M36</f>
        <v/>
      </c>
    </row>
    <row r="10">
      <c r="A10" s="3" t="inlineStr">
        <is>
          <t>Enterprise share of revenue</t>
        </is>
      </c>
      <c r="B10" s="11">
        <f>Monthly!H37</f>
        <v/>
      </c>
      <c r="C10" s="11">
        <f>Monthly!I37</f>
        <v/>
      </c>
      <c r="D10" s="11">
        <f>Monthly!J37</f>
        <v/>
      </c>
      <c r="E10" s="11">
        <f>Monthly!K37</f>
        <v/>
      </c>
      <c r="F10" s="11">
        <f>Monthly!L37</f>
        <v/>
      </c>
      <c r="G10" s="11">
        <f>Monthly!M37</f>
        <v/>
      </c>
    </row>
    <row r="11">
      <c r="A11" s="3" t="inlineStr">
        <is>
          <t>Realized net price per M tokens</t>
        </is>
      </c>
      <c r="B11" s="13">
        <f>Monthly!H38</f>
        <v/>
      </c>
      <c r="C11" s="13">
        <f>Monthly!I38</f>
        <v/>
      </c>
      <c r="D11" s="13">
        <f>Monthly!J38</f>
        <v/>
      </c>
      <c r="E11" s="13">
        <f>Monthly!K38</f>
        <v/>
      </c>
      <c r="F11" s="13">
        <f>Monthly!L38</f>
        <v/>
      </c>
      <c r="G11" s="13">
        <f>Monthly!M38</f>
        <v/>
      </c>
    </row>
    <row r="12">
      <c r="A12" s="3" t="inlineStr">
        <is>
          <t>Active accounts</t>
        </is>
      </c>
      <c r="B12" s="12">
        <f>Monthly!H44</f>
        <v/>
      </c>
      <c r="C12" s="12">
        <f>Monthly!I44</f>
        <v/>
      </c>
      <c r="D12" s="12">
        <f>Monthly!J44</f>
        <v/>
      </c>
      <c r="E12" s="12">
        <f>Monthly!K44</f>
        <v/>
      </c>
      <c r="F12" s="12">
        <f>Monthly!L44</f>
        <v/>
      </c>
      <c r="G12" s="12">
        <f>Monthly!M44</f>
        <v/>
      </c>
    </row>
    <row r="13">
      <c r="A13" s="3" t="inlineStr">
        <is>
          <t>Paying accounts</t>
        </is>
      </c>
      <c r="B13" s="12">
        <f>Monthly!H45</f>
        <v/>
      </c>
      <c r="C13" s="12">
        <f>Monthly!I45</f>
        <v/>
      </c>
      <c r="D13" s="12">
        <f>Monthly!J45</f>
        <v/>
      </c>
      <c r="E13" s="12">
        <f>Monthly!K45</f>
        <v/>
      </c>
      <c r="F13" s="12">
        <f>Monthly!L45</f>
        <v/>
      </c>
      <c r="G13" s="12">
        <f>Monthly!M45</f>
        <v/>
      </c>
    </row>
    <row r="14">
      <c r="A14" s="3" t="inlineStr">
        <is>
          <t>Failed calls (not billed)</t>
        </is>
      </c>
      <c r="B14" s="11">
        <f>Monthly!H46</f>
        <v/>
      </c>
      <c r="C14" s="11">
        <f>Monthly!I46</f>
        <v/>
      </c>
      <c r="D14" s="11">
        <f>Monthly!J46</f>
        <v/>
      </c>
      <c r="E14" s="11">
        <f>Monthly!K46</f>
        <v/>
      </c>
      <c r="F14" s="11">
        <f>Monthly!L46</f>
        <v/>
      </c>
      <c r="G14" s="11">
        <f>Monthly!M46</f>
        <v/>
      </c>
    </row>
    <row r="16">
      <c r="A16" s="2" t="inlineStr">
        <is>
          <t>Close checks</t>
        </is>
      </c>
    </row>
    <row r="17">
      <c r="A17" s="3" t="inlineStr">
        <is>
          <t>Flagged for review</t>
        </is>
      </c>
      <c r="B17" s="12">
        <f>COUNTIF(Checks!$G$5:$G$154,"FLAG")</f>
        <v/>
      </c>
    </row>
    <row r="18">
      <c r="A18" s="3" t="inlineStr">
        <is>
          <t>Informational</t>
        </is>
      </c>
      <c r="B18" s="12">
        <f>COUNTIF(Checks!$G$5:$G$154,"INFO")</f>
        <v/>
      </c>
    </row>
    <row r="19">
      <c r="A19" s="3" t="inlineStr">
        <is>
          <t>Skipped (source not connected)</t>
        </is>
      </c>
      <c r="B19" s="12">
        <f>COUNTIF(Checks!$G$5:$G$154,"SKIP")</f>
        <v/>
      </c>
    </row>
    <row r="20">
      <c r="A20" s="3" t="inlineStr">
        <is>
          <t>Passed</t>
        </is>
      </c>
      <c r="B20" s="12">
        <f>COUNTIF(Checks!$G$5:$G$154,"PASS")</f>
        <v/>
      </c>
    </row>
    <row r="21">
      <c r="A21" s="3" t="inlineStr">
        <is>
          <t xml:space="preserve">  $ impact of flagged items</t>
        </is>
      </c>
      <c r="B21" s="14">
        <f>SUMIF(Checks!$G$5:$G$154,"FLAG",Checks!$F$5:$F$154)</f>
        <v/>
      </c>
    </row>
    <row r="23">
      <c r="A23" s="2" t="inlineStr">
        <is>
          <t>Forecast, tokens per day (B)</t>
        </is>
      </c>
    </row>
    <row r="24">
      <c r="A24" s="8" t="inlineStr">
        <is>
          <t>Scenario</t>
        </is>
      </c>
      <c r="B24" s="9">
        <f>EDATE(Data_Params!$B$2,1)</f>
        <v/>
      </c>
      <c r="C24" s="9">
        <f>EDATE(Data_Params!$B$2,2)</f>
        <v/>
      </c>
      <c r="D24" s="9">
        <f>EDATE(Data_Params!$B$2,3)</f>
        <v/>
      </c>
    </row>
    <row r="25">
      <c r="A25" s="3" t="inlineStr">
        <is>
          <t>Low</t>
        </is>
      </c>
      <c r="B25" s="10">
        <f>Forecast!B127</f>
        <v/>
      </c>
      <c r="C25" s="10">
        <f>Forecast!C127</f>
        <v/>
      </c>
      <c r="D25" s="10">
        <f>Forecast!D127</f>
        <v/>
      </c>
    </row>
    <row r="26">
      <c r="A26" s="3" t="inlineStr">
        <is>
          <t>Base</t>
        </is>
      </c>
      <c r="B26" s="10">
        <f>Forecast!E127</f>
        <v/>
      </c>
      <c r="C26" s="10">
        <f>Forecast!F127</f>
        <v/>
      </c>
      <c r="D26" s="10">
        <f>Forecast!G127</f>
        <v/>
      </c>
    </row>
    <row r="27">
      <c r="A27" s="3" t="inlineStr">
        <is>
          <t>High</t>
        </is>
      </c>
      <c r="B27" s="10">
        <f>Forecast!H127</f>
        <v/>
      </c>
      <c r="C27" s="10">
        <f>Forecast!I127</f>
        <v/>
      </c>
      <c r="D27" s="10">
        <f>Forecast!J127</f>
        <v/>
      </c>
    </row>
    <row r="28">
      <c r="A28" s="3" t="inlineStr">
        <is>
          <t>Net revenue, base ($k)</t>
        </is>
      </c>
      <c r="B28" s="10">
        <f>Forecast!E135</f>
        <v/>
      </c>
      <c r="C28" s="10">
        <f>Forecast!F135</f>
        <v/>
      </c>
      <c r="D28" s="10">
        <f>Forecast!G135</f>
        <v/>
      </c>
    </row>
    <row r="29">
      <c r="A29" s="3" t="inlineStr">
        <is>
          <t>Last month's forecast vs actual (total)</t>
        </is>
      </c>
      <c r="B29" s="11">
        <f>IF(Forecast!E143="","no forecast on file",Forecast!E143)</f>
        <v/>
      </c>
    </row>
    <row r="30">
      <c r="A30" s="3" t="inlineStr">
        <is>
          <t>GPUs to reserve for serving</t>
        </is>
      </c>
      <c r="B30" s="12">
        <f>Capacity!B27</f>
        <v/>
      </c>
    </row>
    <row r="32">
      <c r="A32" s="2" t="inlineStr">
        <is>
          <t>Commentary (written by finance, or drafted by the agent per AGENT_BRIEF.md and reviewed before it goes anywhere)</t>
        </is>
      </c>
    </row>
    <row r="33" ht="30" customHeight="1">
      <c r="A33" s="15" t="n"/>
    </row>
    <row r="34" ht="30" customHeight="1">
      <c r="A34" s="15" t="n"/>
    </row>
    <row r="35" ht="30" customHeight="1">
      <c r="A35" s="15" t="n"/>
    </row>
    <row r="36" ht="30" customHeight="1">
      <c r="A36" s="15" t="n"/>
    </row>
    <row r="37" ht="30" customHeight="1">
      <c r="A37" s="15" t="n"/>
    </row>
    <row r="38" ht="30" customHeight="1">
      <c r="A38" s="15" t="n"/>
    </row>
  </sheetData>
  <mergeCells count="6">
    <mergeCell ref="A36:G36"/>
    <mergeCell ref="A34:G34"/>
    <mergeCell ref="A35:G35"/>
    <mergeCell ref="A38:G38"/>
    <mergeCell ref="A33:G33"/>
    <mergeCell ref="A37:G37"/>
  </mergeCells>
  <conditionalFormatting sqref="G3">
    <cfRule type="expression" priority="1" dxfId="0">
      <formula>AND(Overrides!$C$4="ON",COUNTIF(Overrides!$F$8:$F$39,"Applied")+COUNTIF(Overrides!$H$46:$H$75,"Applied")&gt;0)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4"/>
  <sheetViews>
    <sheetView showGridLines="0" workbookViewId="0">
      <pane ySplit="4" topLeftCell="A5" activePane="bottomLeft" state="frozen"/>
      <selection pane="bottomLeft" activeCell="A1" sqref="A1"/>
    </sheetView>
  </sheetViews>
  <sheetFormatPr baseColWidth="8" defaultRowHeight="15"/>
  <cols>
    <col width="4" customWidth="1" min="1" max="1"/>
    <col width="40" customWidth="1" min="2" max="2"/>
    <col width="24" customWidth="1" min="3" max="3"/>
    <col width="14" customWidth="1" min="4" max="4"/>
    <col width="14" customWidth="1" min="5" max="5"/>
    <col width="12" customWidth="1" min="6" max="6"/>
    <col width="8" customWidth="1" min="7" max="7"/>
    <col width="52" customWidth="1" min="8" max="8"/>
    <col width="16" customWidth="1" min="9" max="9"/>
    <col width="36" customWidth="1" min="10" max="10"/>
    <col width="44" customWidth="1" min="11" max="11"/>
    <col width="14" customWidth="1" min="12" max="12"/>
  </cols>
  <sheetData>
    <row r="1">
      <c r="A1" s="1">
        <f>Data_Params!$B$14&amp;" | Close checks"</f>
        <v/>
      </c>
    </row>
    <row r="2">
      <c r="A2" s="7" t="inlineStr">
        <is>
          <t>Rules in sql/50_checks.sql (Data_Checks). FLAG = a person must look. Columns I-L are for people and the agent; they are not overwritten by formulas.</t>
        </is>
      </c>
    </row>
    <row r="4">
      <c r="A4" s="8" t="inlineStr">
        <is>
          <t>#</t>
        </is>
      </c>
      <c r="B4" s="8" t="inlineStr">
        <is>
          <t>Check</t>
        </is>
      </c>
      <c r="C4" s="8" t="inlineStr">
        <is>
          <t>Scope</t>
        </is>
      </c>
      <c r="D4" s="8" t="inlineStr">
        <is>
          <t>Expected</t>
        </is>
      </c>
      <c r="E4" s="8" t="inlineStr">
        <is>
          <t>Actual</t>
        </is>
      </c>
      <c r="F4" s="8" t="inlineStr">
        <is>
          <t>$ impact</t>
        </is>
      </c>
      <c r="G4" s="8" t="inlineStr">
        <is>
          <t>Status</t>
        </is>
      </c>
      <c r="H4" s="8" t="inlineStr">
        <is>
          <t>Detail</t>
        </is>
      </c>
      <c r="I4" s="8" t="inlineStr">
        <is>
          <t>Owner</t>
        </is>
      </c>
      <c r="J4" s="8" t="inlineStr">
        <is>
          <t>Next step</t>
        </is>
      </c>
      <c r="K4" s="8" t="inlineStr">
        <is>
          <t>Explanation (agent draft)</t>
        </is>
      </c>
      <c r="L4" s="8" t="inlineStr">
        <is>
          <t>Reviewed by</t>
        </is>
      </c>
    </row>
    <row r="5">
      <c r="A5" s="3">
        <f>IF(INDEX(Data_Checks!$A:$A,1+1)="","",INDEX(Data_Checks!$A:$A,1+1))</f>
        <v/>
      </c>
      <c r="B5" s="3">
        <f>IF(INDEX(Data_Checks!$B:$B,1+1)="","",INDEX(Data_Checks!$B:$B,1+1))</f>
        <v/>
      </c>
      <c r="C5" s="3">
        <f>IF(INDEX(Data_Checks!$C:$C,1+1)="","",INDEX(Data_Checks!$C:$C,1+1))</f>
        <v/>
      </c>
      <c r="D5" s="16">
        <f>IF(INDEX(Data_Checks!$D:$D,1+1)="","",INDEX(Data_Checks!$D:$D,1+1))</f>
        <v/>
      </c>
      <c r="E5" s="16">
        <f>IF(INDEX(Data_Checks!$E:$E,1+1)="","",INDEX(Data_Checks!$E:$E,1+1))</f>
        <v/>
      </c>
      <c r="F5" s="17">
        <f>IF(INDEX(Data_Checks!$F:$F,1+1)="","",INDEX(Data_Checks!$F:$F,1+1))</f>
        <v/>
      </c>
      <c r="G5" s="2">
        <f>IF(INDEX(Data_Checks!$G:$G,1+1)="","",INDEX(Data_Checks!$G:$G,1+1))</f>
        <v/>
      </c>
      <c r="H5" s="3">
        <f>IF(INDEX(Data_Checks!$H:$H,1+1)="","",INDEX(Data_Checks!$H:$H,1+1))</f>
        <v/>
      </c>
      <c r="I5" s="18" t="n"/>
      <c r="J5" s="18" t="n"/>
      <c r="K5" s="18" t="n"/>
      <c r="L5" s="18" t="n"/>
    </row>
    <row r="6">
      <c r="A6" s="3">
        <f>IF(INDEX(Data_Checks!$A:$A,2+1)="","",INDEX(Data_Checks!$A:$A,2+1))</f>
        <v/>
      </c>
      <c r="B6" s="3">
        <f>IF(INDEX(Data_Checks!$B:$B,2+1)="","",INDEX(Data_Checks!$B:$B,2+1))</f>
        <v/>
      </c>
      <c r="C6" s="3">
        <f>IF(INDEX(Data_Checks!$C:$C,2+1)="","",INDEX(Data_Checks!$C:$C,2+1))</f>
        <v/>
      </c>
      <c r="D6" s="16">
        <f>IF(INDEX(Data_Checks!$D:$D,2+1)="","",INDEX(Data_Checks!$D:$D,2+1))</f>
        <v/>
      </c>
      <c r="E6" s="16">
        <f>IF(INDEX(Data_Checks!$E:$E,2+1)="","",INDEX(Data_Checks!$E:$E,2+1))</f>
        <v/>
      </c>
      <c r="F6" s="17">
        <f>IF(INDEX(Data_Checks!$F:$F,2+1)="","",INDEX(Data_Checks!$F:$F,2+1))</f>
        <v/>
      </c>
      <c r="G6" s="2">
        <f>IF(INDEX(Data_Checks!$G:$G,2+1)="","",INDEX(Data_Checks!$G:$G,2+1))</f>
        <v/>
      </c>
      <c r="H6" s="3">
        <f>IF(INDEX(Data_Checks!$H:$H,2+1)="","",INDEX(Data_Checks!$H:$H,2+1))</f>
        <v/>
      </c>
      <c r="I6" s="18" t="n"/>
      <c r="J6" s="18" t="n"/>
      <c r="K6" s="18" t="n"/>
      <c r="L6" s="18" t="n"/>
    </row>
    <row r="7">
      <c r="A7" s="3">
        <f>IF(INDEX(Data_Checks!$A:$A,3+1)="","",INDEX(Data_Checks!$A:$A,3+1))</f>
        <v/>
      </c>
      <c r="B7" s="3">
        <f>IF(INDEX(Data_Checks!$B:$B,3+1)="","",INDEX(Data_Checks!$B:$B,3+1))</f>
        <v/>
      </c>
      <c r="C7" s="3">
        <f>IF(INDEX(Data_Checks!$C:$C,3+1)="","",INDEX(Data_Checks!$C:$C,3+1))</f>
        <v/>
      </c>
      <c r="D7" s="16">
        <f>IF(INDEX(Data_Checks!$D:$D,3+1)="","",INDEX(Data_Checks!$D:$D,3+1))</f>
        <v/>
      </c>
      <c r="E7" s="16">
        <f>IF(INDEX(Data_Checks!$E:$E,3+1)="","",INDEX(Data_Checks!$E:$E,3+1))</f>
        <v/>
      </c>
      <c r="F7" s="17">
        <f>IF(INDEX(Data_Checks!$F:$F,3+1)="","",INDEX(Data_Checks!$F:$F,3+1))</f>
        <v/>
      </c>
      <c r="G7" s="2">
        <f>IF(INDEX(Data_Checks!$G:$G,3+1)="","",INDEX(Data_Checks!$G:$G,3+1))</f>
        <v/>
      </c>
      <c r="H7" s="3">
        <f>IF(INDEX(Data_Checks!$H:$H,3+1)="","",INDEX(Data_Checks!$H:$H,3+1))</f>
        <v/>
      </c>
      <c r="I7" s="18" t="n"/>
      <c r="J7" s="18" t="n"/>
      <c r="K7" s="18" t="n"/>
      <c r="L7" s="18" t="n"/>
    </row>
    <row r="8">
      <c r="A8" s="3">
        <f>IF(INDEX(Data_Checks!$A:$A,4+1)="","",INDEX(Data_Checks!$A:$A,4+1))</f>
        <v/>
      </c>
      <c r="B8" s="3">
        <f>IF(INDEX(Data_Checks!$B:$B,4+1)="","",INDEX(Data_Checks!$B:$B,4+1))</f>
        <v/>
      </c>
      <c r="C8" s="3">
        <f>IF(INDEX(Data_Checks!$C:$C,4+1)="","",INDEX(Data_Checks!$C:$C,4+1))</f>
        <v/>
      </c>
      <c r="D8" s="16">
        <f>IF(INDEX(Data_Checks!$D:$D,4+1)="","",INDEX(Data_Checks!$D:$D,4+1))</f>
        <v/>
      </c>
      <c r="E8" s="16">
        <f>IF(INDEX(Data_Checks!$E:$E,4+1)="","",INDEX(Data_Checks!$E:$E,4+1))</f>
        <v/>
      </c>
      <c r="F8" s="17">
        <f>IF(INDEX(Data_Checks!$F:$F,4+1)="","",INDEX(Data_Checks!$F:$F,4+1))</f>
        <v/>
      </c>
      <c r="G8" s="2">
        <f>IF(INDEX(Data_Checks!$G:$G,4+1)="","",INDEX(Data_Checks!$G:$G,4+1))</f>
        <v/>
      </c>
      <c r="H8" s="3">
        <f>IF(INDEX(Data_Checks!$H:$H,4+1)="","",INDEX(Data_Checks!$H:$H,4+1))</f>
        <v/>
      </c>
      <c r="I8" s="18" t="n"/>
      <c r="J8" s="18" t="n"/>
      <c r="K8" s="18" t="n"/>
      <c r="L8" s="18" t="n"/>
    </row>
    <row r="9">
      <c r="A9" s="3">
        <f>IF(INDEX(Data_Checks!$A:$A,5+1)="","",INDEX(Data_Checks!$A:$A,5+1))</f>
        <v/>
      </c>
      <c r="B9" s="3">
        <f>IF(INDEX(Data_Checks!$B:$B,5+1)="","",INDEX(Data_Checks!$B:$B,5+1))</f>
        <v/>
      </c>
      <c r="C9" s="3">
        <f>IF(INDEX(Data_Checks!$C:$C,5+1)="","",INDEX(Data_Checks!$C:$C,5+1))</f>
        <v/>
      </c>
      <c r="D9" s="16">
        <f>IF(INDEX(Data_Checks!$D:$D,5+1)="","",INDEX(Data_Checks!$D:$D,5+1))</f>
        <v/>
      </c>
      <c r="E9" s="16">
        <f>IF(INDEX(Data_Checks!$E:$E,5+1)="","",INDEX(Data_Checks!$E:$E,5+1))</f>
        <v/>
      </c>
      <c r="F9" s="17">
        <f>IF(INDEX(Data_Checks!$F:$F,5+1)="","",INDEX(Data_Checks!$F:$F,5+1))</f>
        <v/>
      </c>
      <c r="G9" s="2">
        <f>IF(INDEX(Data_Checks!$G:$G,5+1)="","",INDEX(Data_Checks!$G:$G,5+1))</f>
        <v/>
      </c>
      <c r="H9" s="3">
        <f>IF(INDEX(Data_Checks!$H:$H,5+1)="","",INDEX(Data_Checks!$H:$H,5+1))</f>
        <v/>
      </c>
      <c r="I9" s="18" t="n"/>
      <c r="J9" s="18" t="n"/>
      <c r="K9" s="18" t="n"/>
      <c r="L9" s="18" t="n"/>
    </row>
    <row r="10">
      <c r="A10" s="3">
        <f>IF(INDEX(Data_Checks!$A:$A,6+1)="","",INDEX(Data_Checks!$A:$A,6+1))</f>
        <v/>
      </c>
      <c r="B10" s="3">
        <f>IF(INDEX(Data_Checks!$B:$B,6+1)="","",INDEX(Data_Checks!$B:$B,6+1))</f>
        <v/>
      </c>
      <c r="C10" s="3">
        <f>IF(INDEX(Data_Checks!$C:$C,6+1)="","",INDEX(Data_Checks!$C:$C,6+1))</f>
        <v/>
      </c>
      <c r="D10" s="16">
        <f>IF(INDEX(Data_Checks!$D:$D,6+1)="","",INDEX(Data_Checks!$D:$D,6+1))</f>
        <v/>
      </c>
      <c r="E10" s="16">
        <f>IF(INDEX(Data_Checks!$E:$E,6+1)="","",INDEX(Data_Checks!$E:$E,6+1))</f>
        <v/>
      </c>
      <c r="F10" s="17">
        <f>IF(INDEX(Data_Checks!$F:$F,6+1)="","",INDEX(Data_Checks!$F:$F,6+1))</f>
        <v/>
      </c>
      <c r="G10" s="2">
        <f>IF(INDEX(Data_Checks!$G:$G,6+1)="","",INDEX(Data_Checks!$G:$G,6+1))</f>
        <v/>
      </c>
      <c r="H10" s="3">
        <f>IF(INDEX(Data_Checks!$H:$H,6+1)="","",INDEX(Data_Checks!$H:$H,6+1))</f>
        <v/>
      </c>
      <c r="I10" s="18" t="n"/>
      <c r="J10" s="18" t="n"/>
      <c r="K10" s="18" t="n"/>
      <c r="L10" s="18" t="n"/>
    </row>
    <row r="11">
      <c r="A11" s="3">
        <f>IF(INDEX(Data_Checks!$A:$A,7+1)="","",INDEX(Data_Checks!$A:$A,7+1))</f>
        <v/>
      </c>
      <c r="B11" s="3">
        <f>IF(INDEX(Data_Checks!$B:$B,7+1)="","",INDEX(Data_Checks!$B:$B,7+1))</f>
        <v/>
      </c>
      <c r="C11" s="3">
        <f>IF(INDEX(Data_Checks!$C:$C,7+1)="","",INDEX(Data_Checks!$C:$C,7+1))</f>
        <v/>
      </c>
      <c r="D11" s="16">
        <f>IF(INDEX(Data_Checks!$D:$D,7+1)="","",INDEX(Data_Checks!$D:$D,7+1))</f>
        <v/>
      </c>
      <c r="E11" s="16">
        <f>IF(INDEX(Data_Checks!$E:$E,7+1)="","",INDEX(Data_Checks!$E:$E,7+1))</f>
        <v/>
      </c>
      <c r="F11" s="17">
        <f>IF(INDEX(Data_Checks!$F:$F,7+1)="","",INDEX(Data_Checks!$F:$F,7+1))</f>
        <v/>
      </c>
      <c r="G11" s="2">
        <f>IF(INDEX(Data_Checks!$G:$G,7+1)="","",INDEX(Data_Checks!$G:$G,7+1))</f>
        <v/>
      </c>
      <c r="H11" s="3">
        <f>IF(INDEX(Data_Checks!$H:$H,7+1)="","",INDEX(Data_Checks!$H:$H,7+1))</f>
        <v/>
      </c>
      <c r="I11" s="18" t="n"/>
      <c r="J11" s="18" t="n"/>
      <c r="K11" s="18" t="n"/>
      <c r="L11" s="18" t="n"/>
    </row>
    <row r="12">
      <c r="A12" s="3">
        <f>IF(INDEX(Data_Checks!$A:$A,8+1)="","",INDEX(Data_Checks!$A:$A,8+1))</f>
        <v/>
      </c>
      <c r="B12" s="3">
        <f>IF(INDEX(Data_Checks!$B:$B,8+1)="","",INDEX(Data_Checks!$B:$B,8+1))</f>
        <v/>
      </c>
      <c r="C12" s="3">
        <f>IF(INDEX(Data_Checks!$C:$C,8+1)="","",INDEX(Data_Checks!$C:$C,8+1))</f>
        <v/>
      </c>
      <c r="D12" s="16">
        <f>IF(INDEX(Data_Checks!$D:$D,8+1)="","",INDEX(Data_Checks!$D:$D,8+1))</f>
        <v/>
      </c>
      <c r="E12" s="16">
        <f>IF(INDEX(Data_Checks!$E:$E,8+1)="","",INDEX(Data_Checks!$E:$E,8+1))</f>
        <v/>
      </c>
      <c r="F12" s="17">
        <f>IF(INDEX(Data_Checks!$F:$F,8+1)="","",INDEX(Data_Checks!$F:$F,8+1))</f>
        <v/>
      </c>
      <c r="G12" s="2">
        <f>IF(INDEX(Data_Checks!$G:$G,8+1)="","",INDEX(Data_Checks!$G:$G,8+1))</f>
        <v/>
      </c>
      <c r="H12" s="3">
        <f>IF(INDEX(Data_Checks!$H:$H,8+1)="","",INDEX(Data_Checks!$H:$H,8+1))</f>
        <v/>
      </c>
      <c r="I12" s="18" t="n"/>
      <c r="J12" s="18" t="n"/>
      <c r="K12" s="18" t="n"/>
      <c r="L12" s="18" t="n"/>
    </row>
    <row r="13">
      <c r="A13" s="3">
        <f>IF(INDEX(Data_Checks!$A:$A,9+1)="","",INDEX(Data_Checks!$A:$A,9+1))</f>
        <v/>
      </c>
      <c r="B13" s="3">
        <f>IF(INDEX(Data_Checks!$B:$B,9+1)="","",INDEX(Data_Checks!$B:$B,9+1))</f>
        <v/>
      </c>
      <c r="C13" s="3">
        <f>IF(INDEX(Data_Checks!$C:$C,9+1)="","",INDEX(Data_Checks!$C:$C,9+1))</f>
        <v/>
      </c>
      <c r="D13" s="16">
        <f>IF(INDEX(Data_Checks!$D:$D,9+1)="","",INDEX(Data_Checks!$D:$D,9+1))</f>
        <v/>
      </c>
      <c r="E13" s="16">
        <f>IF(INDEX(Data_Checks!$E:$E,9+1)="","",INDEX(Data_Checks!$E:$E,9+1))</f>
        <v/>
      </c>
      <c r="F13" s="17">
        <f>IF(INDEX(Data_Checks!$F:$F,9+1)="","",INDEX(Data_Checks!$F:$F,9+1))</f>
        <v/>
      </c>
      <c r="G13" s="2">
        <f>IF(INDEX(Data_Checks!$G:$G,9+1)="","",INDEX(Data_Checks!$G:$G,9+1))</f>
        <v/>
      </c>
      <c r="H13" s="3">
        <f>IF(INDEX(Data_Checks!$H:$H,9+1)="","",INDEX(Data_Checks!$H:$H,9+1))</f>
        <v/>
      </c>
      <c r="I13" s="18" t="n"/>
      <c r="J13" s="18" t="n"/>
      <c r="K13" s="18" t="n"/>
      <c r="L13" s="18" t="n"/>
    </row>
    <row r="14">
      <c r="A14" s="3">
        <f>IF(INDEX(Data_Checks!$A:$A,10+1)="","",INDEX(Data_Checks!$A:$A,10+1))</f>
        <v/>
      </c>
      <c r="B14" s="3">
        <f>IF(INDEX(Data_Checks!$B:$B,10+1)="","",INDEX(Data_Checks!$B:$B,10+1))</f>
        <v/>
      </c>
      <c r="C14" s="3">
        <f>IF(INDEX(Data_Checks!$C:$C,10+1)="","",INDEX(Data_Checks!$C:$C,10+1))</f>
        <v/>
      </c>
      <c r="D14" s="16">
        <f>IF(INDEX(Data_Checks!$D:$D,10+1)="","",INDEX(Data_Checks!$D:$D,10+1))</f>
        <v/>
      </c>
      <c r="E14" s="16">
        <f>IF(INDEX(Data_Checks!$E:$E,10+1)="","",INDEX(Data_Checks!$E:$E,10+1))</f>
        <v/>
      </c>
      <c r="F14" s="17">
        <f>IF(INDEX(Data_Checks!$F:$F,10+1)="","",INDEX(Data_Checks!$F:$F,10+1))</f>
        <v/>
      </c>
      <c r="G14" s="2">
        <f>IF(INDEX(Data_Checks!$G:$G,10+1)="","",INDEX(Data_Checks!$G:$G,10+1))</f>
        <v/>
      </c>
      <c r="H14" s="3">
        <f>IF(INDEX(Data_Checks!$H:$H,10+1)="","",INDEX(Data_Checks!$H:$H,10+1))</f>
        <v/>
      </c>
      <c r="I14" s="18" t="n"/>
      <c r="J14" s="18" t="n"/>
      <c r="K14" s="18" t="n"/>
      <c r="L14" s="18" t="n"/>
    </row>
    <row r="15">
      <c r="A15" s="3">
        <f>IF(INDEX(Data_Checks!$A:$A,11+1)="","",INDEX(Data_Checks!$A:$A,11+1))</f>
        <v/>
      </c>
      <c r="B15" s="3">
        <f>IF(INDEX(Data_Checks!$B:$B,11+1)="","",INDEX(Data_Checks!$B:$B,11+1))</f>
        <v/>
      </c>
      <c r="C15" s="3">
        <f>IF(INDEX(Data_Checks!$C:$C,11+1)="","",INDEX(Data_Checks!$C:$C,11+1))</f>
        <v/>
      </c>
      <c r="D15" s="16">
        <f>IF(INDEX(Data_Checks!$D:$D,11+1)="","",INDEX(Data_Checks!$D:$D,11+1))</f>
        <v/>
      </c>
      <c r="E15" s="16">
        <f>IF(INDEX(Data_Checks!$E:$E,11+1)="","",INDEX(Data_Checks!$E:$E,11+1))</f>
        <v/>
      </c>
      <c r="F15" s="17">
        <f>IF(INDEX(Data_Checks!$F:$F,11+1)="","",INDEX(Data_Checks!$F:$F,11+1))</f>
        <v/>
      </c>
      <c r="G15" s="2">
        <f>IF(INDEX(Data_Checks!$G:$G,11+1)="","",INDEX(Data_Checks!$G:$G,11+1))</f>
        <v/>
      </c>
      <c r="H15" s="3">
        <f>IF(INDEX(Data_Checks!$H:$H,11+1)="","",INDEX(Data_Checks!$H:$H,11+1))</f>
        <v/>
      </c>
      <c r="I15" s="18" t="n"/>
      <c r="J15" s="18" t="n"/>
      <c r="K15" s="18" t="n"/>
      <c r="L15" s="18" t="n"/>
    </row>
    <row r="16">
      <c r="A16" s="3">
        <f>IF(INDEX(Data_Checks!$A:$A,12+1)="","",INDEX(Data_Checks!$A:$A,12+1))</f>
        <v/>
      </c>
      <c r="B16" s="3">
        <f>IF(INDEX(Data_Checks!$B:$B,12+1)="","",INDEX(Data_Checks!$B:$B,12+1))</f>
        <v/>
      </c>
      <c r="C16" s="3">
        <f>IF(INDEX(Data_Checks!$C:$C,12+1)="","",INDEX(Data_Checks!$C:$C,12+1))</f>
        <v/>
      </c>
      <c r="D16" s="16">
        <f>IF(INDEX(Data_Checks!$D:$D,12+1)="","",INDEX(Data_Checks!$D:$D,12+1))</f>
        <v/>
      </c>
      <c r="E16" s="16">
        <f>IF(INDEX(Data_Checks!$E:$E,12+1)="","",INDEX(Data_Checks!$E:$E,12+1))</f>
        <v/>
      </c>
      <c r="F16" s="17">
        <f>IF(INDEX(Data_Checks!$F:$F,12+1)="","",INDEX(Data_Checks!$F:$F,12+1))</f>
        <v/>
      </c>
      <c r="G16" s="2">
        <f>IF(INDEX(Data_Checks!$G:$G,12+1)="","",INDEX(Data_Checks!$G:$G,12+1))</f>
        <v/>
      </c>
      <c r="H16" s="3">
        <f>IF(INDEX(Data_Checks!$H:$H,12+1)="","",INDEX(Data_Checks!$H:$H,12+1))</f>
        <v/>
      </c>
      <c r="I16" s="18" t="n"/>
      <c r="J16" s="18" t="n"/>
      <c r="K16" s="18" t="n"/>
      <c r="L16" s="18" t="n"/>
    </row>
    <row r="17">
      <c r="A17" s="3">
        <f>IF(INDEX(Data_Checks!$A:$A,13+1)="","",INDEX(Data_Checks!$A:$A,13+1))</f>
        <v/>
      </c>
      <c r="B17" s="3">
        <f>IF(INDEX(Data_Checks!$B:$B,13+1)="","",INDEX(Data_Checks!$B:$B,13+1))</f>
        <v/>
      </c>
      <c r="C17" s="3">
        <f>IF(INDEX(Data_Checks!$C:$C,13+1)="","",INDEX(Data_Checks!$C:$C,13+1))</f>
        <v/>
      </c>
      <c r="D17" s="16">
        <f>IF(INDEX(Data_Checks!$D:$D,13+1)="","",INDEX(Data_Checks!$D:$D,13+1))</f>
        <v/>
      </c>
      <c r="E17" s="16">
        <f>IF(INDEX(Data_Checks!$E:$E,13+1)="","",INDEX(Data_Checks!$E:$E,13+1))</f>
        <v/>
      </c>
      <c r="F17" s="17">
        <f>IF(INDEX(Data_Checks!$F:$F,13+1)="","",INDEX(Data_Checks!$F:$F,13+1))</f>
        <v/>
      </c>
      <c r="G17" s="2">
        <f>IF(INDEX(Data_Checks!$G:$G,13+1)="","",INDEX(Data_Checks!$G:$G,13+1))</f>
        <v/>
      </c>
      <c r="H17" s="3">
        <f>IF(INDEX(Data_Checks!$H:$H,13+1)="","",INDEX(Data_Checks!$H:$H,13+1))</f>
        <v/>
      </c>
      <c r="I17" s="18" t="n"/>
      <c r="J17" s="18" t="n"/>
      <c r="K17" s="18" t="n"/>
      <c r="L17" s="18" t="n"/>
    </row>
    <row r="18">
      <c r="A18" s="3">
        <f>IF(INDEX(Data_Checks!$A:$A,14+1)="","",INDEX(Data_Checks!$A:$A,14+1))</f>
        <v/>
      </c>
      <c r="B18" s="3">
        <f>IF(INDEX(Data_Checks!$B:$B,14+1)="","",INDEX(Data_Checks!$B:$B,14+1))</f>
        <v/>
      </c>
      <c r="C18" s="3">
        <f>IF(INDEX(Data_Checks!$C:$C,14+1)="","",INDEX(Data_Checks!$C:$C,14+1))</f>
        <v/>
      </c>
      <c r="D18" s="16">
        <f>IF(INDEX(Data_Checks!$D:$D,14+1)="","",INDEX(Data_Checks!$D:$D,14+1))</f>
        <v/>
      </c>
      <c r="E18" s="16">
        <f>IF(INDEX(Data_Checks!$E:$E,14+1)="","",INDEX(Data_Checks!$E:$E,14+1))</f>
        <v/>
      </c>
      <c r="F18" s="17">
        <f>IF(INDEX(Data_Checks!$F:$F,14+1)="","",INDEX(Data_Checks!$F:$F,14+1))</f>
        <v/>
      </c>
      <c r="G18" s="2">
        <f>IF(INDEX(Data_Checks!$G:$G,14+1)="","",INDEX(Data_Checks!$G:$G,14+1))</f>
        <v/>
      </c>
      <c r="H18" s="3">
        <f>IF(INDEX(Data_Checks!$H:$H,14+1)="","",INDEX(Data_Checks!$H:$H,14+1))</f>
        <v/>
      </c>
      <c r="I18" s="18" t="n"/>
      <c r="J18" s="18" t="n"/>
      <c r="K18" s="18" t="n"/>
      <c r="L18" s="18" t="n"/>
    </row>
    <row r="19">
      <c r="A19" s="3">
        <f>IF(INDEX(Data_Checks!$A:$A,15+1)="","",INDEX(Data_Checks!$A:$A,15+1))</f>
        <v/>
      </c>
      <c r="B19" s="3">
        <f>IF(INDEX(Data_Checks!$B:$B,15+1)="","",INDEX(Data_Checks!$B:$B,15+1))</f>
        <v/>
      </c>
      <c r="C19" s="3">
        <f>IF(INDEX(Data_Checks!$C:$C,15+1)="","",INDEX(Data_Checks!$C:$C,15+1))</f>
        <v/>
      </c>
      <c r="D19" s="16">
        <f>IF(INDEX(Data_Checks!$D:$D,15+1)="","",INDEX(Data_Checks!$D:$D,15+1))</f>
        <v/>
      </c>
      <c r="E19" s="16">
        <f>IF(INDEX(Data_Checks!$E:$E,15+1)="","",INDEX(Data_Checks!$E:$E,15+1))</f>
        <v/>
      </c>
      <c r="F19" s="17">
        <f>IF(INDEX(Data_Checks!$F:$F,15+1)="","",INDEX(Data_Checks!$F:$F,15+1))</f>
        <v/>
      </c>
      <c r="G19" s="2">
        <f>IF(INDEX(Data_Checks!$G:$G,15+1)="","",INDEX(Data_Checks!$G:$G,15+1))</f>
        <v/>
      </c>
      <c r="H19" s="3">
        <f>IF(INDEX(Data_Checks!$H:$H,15+1)="","",INDEX(Data_Checks!$H:$H,15+1))</f>
        <v/>
      </c>
      <c r="I19" s="18" t="n"/>
      <c r="J19" s="18" t="n"/>
      <c r="K19" s="18" t="n"/>
      <c r="L19" s="18" t="n"/>
    </row>
    <row r="20">
      <c r="A20" s="3">
        <f>IF(INDEX(Data_Checks!$A:$A,16+1)="","",INDEX(Data_Checks!$A:$A,16+1))</f>
        <v/>
      </c>
      <c r="B20" s="3">
        <f>IF(INDEX(Data_Checks!$B:$B,16+1)="","",INDEX(Data_Checks!$B:$B,16+1))</f>
        <v/>
      </c>
      <c r="C20" s="3">
        <f>IF(INDEX(Data_Checks!$C:$C,16+1)="","",INDEX(Data_Checks!$C:$C,16+1))</f>
        <v/>
      </c>
      <c r="D20" s="16">
        <f>IF(INDEX(Data_Checks!$D:$D,16+1)="","",INDEX(Data_Checks!$D:$D,16+1))</f>
        <v/>
      </c>
      <c r="E20" s="16">
        <f>IF(INDEX(Data_Checks!$E:$E,16+1)="","",INDEX(Data_Checks!$E:$E,16+1))</f>
        <v/>
      </c>
      <c r="F20" s="17">
        <f>IF(INDEX(Data_Checks!$F:$F,16+1)="","",INDEX(Data_Checks!$F:$F,16+1))</f>
        <v/>
      </c>
      <c r="G20" s="2">
        <f>IF(INDEX(Data_Checks!$G:$G,16+1)="","",INDEX(Data_Checks!$G:$G,16+1))</f>
        <v/>
      </c>
      <c r="H20" s="3">
        <f>IF(INDEX(Data_Checks!$H:$H,16+1)="","",INDEX(Data_Checks!$H:$H,16+1))</f>
        <v/>
      </c>
      <c r="I20" s="18" t="n"/>
      <c r="J20" s="18" t="n"/>
      <c r="K20" s="18" t="n"/>
      <c r="L20" s="18" t="n"/>
    </row>
    <row r="21">
      <c r="A21" s="3">
        <f>IF(INDEX(Data_Checks!$A:$A,17+1)="","",INDEX(Data_Checks!$A:$A,17+1))</f>
        <v/>
      </c>
      <c r="B21" s="3">
        <f>IF(INDEX(Data_Checks!$B:$B,17+1)="","",INDEX(Data_Checks!$B:$B,17+1))</f>
        <v/>
      </c>
      <c r="C21" s="3">
        <f>IF(INDEX(Data_Checks!$C:$C,17+1)="","",INDEX(Data_Checks!$C:$C,17+1))</f>
        <v/>
      </c>
      <c r="D21" s="16">
        <f>IF(INDEX(Data_Checks!$D:$D,17+1)="","",INDEX(Data_Checks!$D:$D,17+1))</f>
        <v/>
      </c>
      <c r="E21" s="16">
        <f>IF(INDEX(Data_Checks!$E:$E,17+1)="","",INDEX(Data_Checks!$E:$E,17+1))</f>
        <v/>
      </c>
      <c r="F21" s="17">
        <f>IF(INDEX(Data_Checks!$F:$F,17+1)="","",INDEX(Data_Checks!$F:$F,17+1))</f>
        <v/>
      </c>
      <c r="G21" s="2">
        <f>IF(INDEX(Data_Checks!$G:$G,17+1)="","",INDEX(Data_Checks!$G:$G,17+1))</f>
        <v/>
      </c>
      <c r="H21" s="3">
        <f>IF(INDEX(Data_Checks!$H:$H,17+1)="","",INDEX(Data_Checks!$H:$H,17+1))</f>
        <v/>
      </c>
      <c r="I21" s="18" t="n"/>
      <c r="J21" s="18" t="n"/>
      <c r="K21" s="18" t="n"/>
      <c r="L21" s="18" t="n"/>
    </row>
    <row r="22">
      <c r="A22" s="3">
        <f>IF(INDEX(Data_Checks!$A:$A,18+1)="","",INDEX(Data_Checks!$A:$A,18+1))</f>
        <v/>
      </c>
      <c r="B22" s="3">
        <f>IF(INDEX(Data_Checks!$B:$B,18+1)="","",INDEX(Data_Checks!$B:$B,18+1))</f>
        <v/>
      </c>
      <c r="C22" s="3">
        <f>IF(INDEX(Data_Checks!$C:$C,18+1)="","",INDEX(Data_Checks!$C:$C,18+1))</f>
        <v/>
      </c>
      <c r="D22" s="16">
        <f>IF(INDEX(Data_Checks!$D:$D,18+1)="","",INDEX(Data_Checks!$D:$D,18+1))</f>
        <v/>
      </c>
      <c r="E22" s="16">
        <f>IF(INDEX(Data_Checks!$E:$E,18+1)="","",INDEX(Data_Checks!$E:$E,18+1))</f>
        <v/>
      </c>
      <c r="F22" s="17">
        <f>IF(INDEX(Data_Checks!$F:$F,18+1)="","",INDEX(Data_Checks!$F:$F,18+1))</f>
        <v/>
      </c>
      <c r="G22" s="2">
        <f>IF(INDEX(Data_Checks!$G:$G,18+1)="","",INDEX(Data_Checks!$G:$G,18+1))</f>
        <v/>
      </c>
      <c r="H22" s="3">
        <f>IF(INDEX(Data_Checks!$H:$H,18+1)="","",INDEX(Data_Checks!$H:$H,18+1))</f>
        <v/>
      </c>
      <c r="I22" s="18" t="n"/>
      <c r="J22" s="18" t="n"/>
      <c r="K22" s="18" t="n"/>
      <c r="L22" s="18" t="n"/>
    </row>
    <row r="23">
      <c r="A23" s="3">
        <f>IF(INDEX(Data_Checks!$A:$A,19+1)="","",INDEX(Data_Checks!$A:$A,19+1))</f>
        <v/>
      </c>
      <c r="B23" s="3">
        <f>IF(INDEX(Data_Checks!$B:$B,19+1)="","",INDEX(Data_Checks!$B:$B,19+1))</f>
        <v/>
      </c>
      <c r="C23" s="3">
        <f>IF(INDEX(Data_Checks!$C:$C,19+1)="","",INDEX(Data_Checks!$C:$C,19+1))</f>
        <v/>
      </c>
      <c r="D23" s="16">
        <f>IF(INDEX(Data_Checks!$D:$D,19+1)="","",INDEX(Data_Checks!$D:$D,19+1))</f>
        <v/>
      </c>
      <c r="E23" s="16">
        <f>IF(INDEX(Data_Checks!$E:$E,19+1)="","",INDEX(Data_Checks!$E:$E,19+1))</f>
        <v/>
      </c>
      <c r="F23" s="17">
        <f>IF(INDEX(Data_Checks!$F:$F,19+1)="","",INDEX(Data_Checks!$F:$F,19+1))</f>
        <v/>
      </c>
      <c r="G23" s="2">
        <f>IF(INDEX(Data_Checks!$G:$G,19+1)="","",INDEX(Data_Checks!$G:$G,19+1))</f>
        <v/>
      </c>
      <c r="H23" s="3">
        <f>IF(INDEX(Data_Checks!$H:$H,19+1)="","",INDEX(Data_Checks!$H:$H,19+1))</f>
        <v/>
      </c>
      <c r="I23" s="18" t="n"/>
      <c r="J23" s="18" t="n"/>
      <c r="K23" s="18" t="n"/>
      <c r="L23" s="18" t="n"/>
    </row>
    <row r="24">
      <c r="A24" s="3">
        <f>IF(INDEX(Data_Checks!$A:$A,20+1)="","",INDEX(Data_Checks!$A:$A,20+1))</f>
        <v/>
      </c>
      <c r="B24" s="3">
        <f>IF(INDEX(Data_Checks!$B:$B,20+1)="","",INDEX(Data_Checks!$B:$B,20+1))</f>
        <v/>
      </c>
      <c r="C24" s="3">
        <f>IF(INDEX(Data_Checks!$C:$C,20+1)="","",INDEX(Data_Checks!$C:$C,20+1))</f>
        <v/>
      </c>
      <c r="D24" s="16">
        <f>IF(INDEX(Data_Checks!$D:$D,20+1)="","",INDEX(Data_Checks!$D:$D,20+1))</f>
        <v/>
      </c>
      <c r="E24" s="16">
        <f>IF(INDEX(Data_Checks!$E:$E,20+1)="","",INDEX(Data_Checks!$E:$E,20+1))</f>
        <v/>
      </c>
      <c r="F24" s="17">
        <f>IF(INDEX(Data_Checks!$F:$F,20+1)="","",INDEX(Data_Checks!$F:$F,20+1))</f>
        <v/>
      </c>
      <c r="G24" s="2">
        <f>IF(INDEX(Data_Checks!$G:$G,20+1)="","",INDEX(Data_Checks!$G:$G,20+1))</f>
        <v/>
      </c>
      <c r="H24" s="3">
        <f>IF(INDEX(Data_Checks!$H:$H,20+1)="","",INDEX(Data_Checks!$H:$H,20+1))</f>
        <v/>
      </c>
      <c r="I24" s="18" t="n"/>
      <c r="J24" s="18" t="n"/>
      <c r="K24" s="18" t="n"/>
      <c r="L24" s="18" t="n"/>
    </row>
    <row r="25">
      <c r="A25" s="3">
        <f>IF(INDEX(Data_Checks!$A:$A,21+1)="","",INDEX(Data_Checks!$A:$A,21+1))</f>
        <v/>
      </c>
      <c r="B25" s="3">
        <f>IF(INDEX(Data_Checks!$B:$B,21+1)="","",INDEX(Data_Checks!$B:$B,21+1))</f>
        <v/>
      </c>
      <c r="C25" s="3">
        <f>IF(INDEX(Data_Checks!$C:$C,21+1)="","",INDEX(Data_Checks!$C:$C,21+1))</f>
        <v/>
      </c>
      <c r="D25" s="16">
        <f>IF(INDEX(Data_Checks!$D:$D,21+1)="","",INDEX(Data_Checks!$D:$D,21+1))</f>
        <v/>
      </c>
      <c r="E25" s="16">
        <f>IF(INDEX(Data_Checks!$E:$E,21+1)="","",INDEX(Data_Checks!$E:$E,21+1))</f>
        <v/>
      </c>
      <c r="F25" s="17">
        <f>IF(INDEX(Data_Checks!$F:$F,21+1)="","",INDEX(Data_Checks!$F:$F,21+1))</f>
        <v/>
      </c>
      <c r="G25" s="2">
        <f>IF(INDEX(Data_Checks!$G:$G,21+1)="","",INDEX(Data_Checks!$G:$G,21+1))</f>
        <v/>
      </c>
      <c r="H25" s="3">
        <f>IF(INDEX(Data_Checks!$H:$H,21+1)="","",INDEX(Data_Checks!$H:$H,21+1))</f>
        <v/>
      </c>
      <c r="I25" s="18" t="n"/>
      <c r="J25" s="18" t="n"/>
      <c r="K25" s="18" t="n"/>
      <c r="L25" s="18" t="n"/>
    </row>
    <row r="26">
      <c r="A26" s="3">
        <f>IF(INDEX(Data_Checks!$A:$A,22+1)="","",INDEX(Data_Checks!$A:$A,22+1))</f>
        <v/>
      </c>
      <c r="B26" s="3">
        <f>IF(INDEX(Data_Checks!$B:$B,22+1)="","",INDEX(Data_Checks!$B:$B,22+1))</f>
        <v/>
      </c>
      <c r="C26" s="3">
        <f>IF(INDEX(Data_Checks!$C:$C,22+1)="","",INDEX(Data_Checks!$C:$C,22+1))</f>
        <v/>
      </c>
      <c r="D26" s="16">
        <f>IF(INDEX(Data_Checks!$D:$D,22+1)="","",INDEX(Data_Checks!$D:$D,22+1))</f>
        <v/>
      </c>
      <c r="E26" s="16">
        <f>IF(INDEX(Data_Checks!$E:$E,22+1)="","",INDEX(Data_Checks!$E:$E,22+1))</f>
        <v/>
      </c>
      <c r="F26" s="17">
        <f>IF(INDEX(Data_Checks!$F:$F,22+1)="","",INDEX(Data_Checks!$F:$F,22+1))</f>
        <v/>
      </c>
      <c r="G26" s="2">
        <f>IF(INDEX(Data_Checks!$G:$G,22+1)="","",INDEX(Data_Checks!$G:$G,22+1))</f>
        <v/>
      </c>
      <c r="H26" s="3">
        <f>IF(INDEX(Data_Checks!$H:$H,22+1)="","",INDEX(Data_Checks!$H:$H,22+1))</f>
        <v/>
      </c>
      <c r="I26" s="18" t="n"/>
      <c r="J26" s="18" t="n"/>
      <c r="K26" s="18" t="n"/>
      <c r="L26" s="18" t="n"/>
    </row>
    <row r="27">
      <c r="A27" s="3">
        <f>IF(INDEX(Data_Checks!$A:$A,23+1)="","",INDEX(Data_Checks!$A:$A,23+1))</f>
        <v/>
      </c>
      <c r="B27" s="3">
        <f>IF(INDEX(Data_Checks!$B:$B,23+1)="","",INDEX(Data_Checks!$B:$B,23+1))</f>
        <v/>
      </c>
      <c r="C27" s="3">
        <f>IF(INDEX(Data_Checks!$C:$C,23+1)="","",INDEX(Data_Checks!$C:$C,23+1))</f>
        <v/>
      </c>
      <c r="D27" s="16">
        <f>IF(INDEX(Data_Checks!$D:$D,23+1)="","",INDEX(Data_Checks!$D:$D,23+1))</f>
        <v/>
      </c>
      <c r="E27" s="16">
        <f>IF(INDEX(Data_Checks!$E:$E,23+1)="","",INDEX(Data_Checks!$E:$E,23+1))</f>
        <v/>
      </c>
      <c r="F27" s="17">
        <f>IF(INDEX(Data_Checks!$F:$F,23+1)="","",INDEX(Data_Checks!$F:$F,23+1))</f>
        <v/>
      </c>
      <c r="G27" s="2">
        <f>IF(INDEX(Data_Checks!$G:$G,23+1)="","",INDEX(Data_Checks!$G:$G,23+1))</f>
        <v/>
      </c>
      <c r="H27" s="3">
        <f>IF(INDEX(Data_Checks!$H:$H,23+1)="","",INDEX(Data_Checks!$H:$H,23+1))</f>
        <v/>
      </c>
      <c r="I27" s="18" t="n"/>
      <c r="J27" s="18" t="n"/>
      <c r="K27" s="18" t="n"/>
      <c r="L27" s="18" t="n"/>
    </row>
    <row r="28">
      <c r="A28" s="3">
        <f>IF(INDEX(Data_Checks!$A:$A,24+1)="","",INDEX(Data_Checks!$A:$A,24+1))</f>
        <v/>
      </c>
      <c r="B28" s="3">
        <f>IF(INDEX(Data_Checks!$B:$B,24+1)="","",INDEX(Data_Checks!$B:$B,24+1))</f>
        <v/>
      </c>
      <c r="C28" s="3">
        <f>IF(INDEX(Data_Checks!$C:$C,24+1)="","",INDEX(Data_Checks!$C:$C,24+1))</f>
        <v/>
      </c>
      <c r="D28" s="16">
        <f>IF(INDEX(Data_Checks!$D:$D,24+1)="","",INDEX(Data_Checks!$D:$D,24+1))</f>
        <v/>
      </c>
      <c r="E28" s="16">
        <f>IF(INDEX(Data_Checks!$E:$E,24+1)="","",INDEX(Data_Checks!$E:$E,24+1))</f>
        <v/>
      </c>
      <c r="F28" s="17">
        <f>IF(INDEX(Data_Checks!$F:$F,24+1)="","",INDEX(Data_Checks!$F:$F,24+1))</f>
        <v/>
      </c>
      <c r="G28" s="2">
        <f>IF(INDEX(Data_Checks!$G:$G,24+1)="","",INDEX(Data_Checks!$G:$G,24+1))</f>
        <v/>
      </c>
      <c r="H28" s="3">
        <f>IF(INDEX(Data_Checks!$H:$H,24+1)="","",INDEX(Data_Checks!$H:$H,24+1))</f>
        <v/>
      </c>
      <c r="I28" s="18" t="n"/>
      <c r="J28" s="18" t="n"/>
      <c r="K28" s="18" t="n"/>
      <c r="L28" s="18" t="n"/>
    </row>
    <row r="29">
      <c r="A29" s="3">
        <f>IF(INDEX(Data_Checks!$A:$A,25+1)="","",INDEX(Data_Checks!$A:$A,25+1))</f>
        <v/>
      </c>
      <c r="B29" s="3">
        <f>IF(INDEX(Data_Checks!$B:$B,25+1)="","",INDEX(Data_Checks!$B:$B,25+1))</f>
        <v/>
      </c>
      <c r="C29" s="3">
        <f>IF(INDEX(Data_Checks!$C:$C,25+1)="","",INDEX(Data_Checks!$C:$C,25+1))</f>
        <v/>
      </c>
      <c r="D29" s="16">
        <f>IF(INDEX(Data_Checks!$D:$D,25+1)="","",INDEX(Data_Checks!$D:$D,25+1))</f>
        <v/>
      </c>
      <c r="E29" s="16">
        <f>IF(INDEX(Data_Checks!$E:$E,25+1)="","",INDEX(Data_Checks!$E:$E,25+1))</f>
        <v/>
      </c>
      <c r="F29" s="17">
        <f>IF(INDEX(Data_Checks!$F:$F,25+1)="","",INDEX(Data_Checks!$F:$F,25+1))</f>
        <v/>
      </c>
      <c r="G29" s="2">
        <f>IF(INDEX(Data_Checks!$G:$G,25+1)="","",INDEX(Data_Checks!$G:$G,25+1))</f>
        <v/>
      </c>
      <c r="H29" s="3">
        <f>IF(INDEX(Data_Checks!$H:$H,25+1)="","",INDEX(Data_Checks!$H:$H,25+1))</f>
        <v/>
      </c>
      <c r="I29" s="18" t="n"/>
      <c r="J29" s="18" t="n"/>
      <c r="K29" s="18" t="n"/>
      <c r="L29" s="18" t="n"/>
    </row>
    <row r="30">
      <c r="A30" s="3">
        <f>IF(INDEX(Data_Checks!$A:$A,26+1)="","",INDEX(Data_Checks!$A:$A,26+1))</f>
        <v/>
      </c>
      <c r="B30" s="3">
        <f>IF(INDEX(Data_Checks!$B:$B,26+1)="","",INDEX(Data_Checks!$B:$B,26+1))</f>
        <v/>
      </c>
      <c r="C30" s="3">
        <f>IF(INDEX(Data_Checks!$C:$C,26+1)="","",INDEX(Data_Checks!$C:$C,26+1))</f>
        <v/>
      </c>
      <c r="D30" s="16">
        <f>IF(INDEX(Data_Checks!$D:$D,26+1)="","",INDEX(Data_Checks!$D:$D,26+1))</f>
        <v/>
      </c>
      <c r="E30" s="16">
        <f>IF(INDEX(Data_Checks!$E:$E,26+1)="","",INDEX(Data_Checks!$E:$E,26+1))</f>
        <v/>
      </c>
      <c r="F30" s="17">
        <f>IF(INDEX(Data_Checks!$F:$F,26+1)="","",INDEX(Data_Checks!$F:$F,26+1))</f>
        <v/>
      </c>
      <c r="G30" s="2">
        <f>IF(INDEX(Data_Checks!$G:$G,26+1)="","",INDEX(Data_Checks!$G:$G,26+1))</f>
        <v/>
      </c>
      <c r="H30" s="3">
        <f>IF(INDEX(Data_Checks!$H:$H,26+1)="","",INDEX(Data_Checks!$H:$H,26+1))</f>
        <v/>
      </c>
      <c r="I30" s="18" t="n"/>
      <c r="J30" s="18" t="n"/>
      <c r="K30" s="18" t="n"/>
      <c r="L30" s="18" t="n"/>
    </row>
    <row r="31">
      <c r="A31" s="3">
        <f>IF(INDEX(Data_Checks!$A:$A,27+1)="","",INDEX(Data_Checks!$A:$A,27+1))</f>
        <v/>
      </c>
      <c r="B31" s="3">
        <f>IF(INDEX(Data_Checks!$B:$B,27+1)="","",INDEX(Data_Checks!$B:$B,27+1))</f>
        <v/>
      </c>
      <c r="C31" s="3">
        <f>IF(INDEX(Data_Checks!$C:$C,27+1)="","",INDEX(Data_Checks!$C:$C,27+1))</f>
        <v/>
      </c>
      <c r="D31" s="16">
        <f>IF(INDEX(Data_Checks!$D:$D,27+1)="","",INDEX(Data_Checks!$D:$D,27+1))</f>
        <v/>
      </c>
      <c r="E31" s="16">
        <f>IF(INDEX(Data_Checks!$E:$E,27+1)="","",INDEX(Data_Checks!$E:$E,27+1))</f>
        <v/>
      </c>
      <c r="F31" s="17">
        <f>IF(INDEX(Data_Checks!$F:$F,27+1)="","",INDEX(Data_Checks!$F:$F,27+1))</f>
        <v/>
      </c>
      <c r="G31" s="2">
        <f>IF(INDEX(Data_Checks!$G:$G,27+1)="","",INDEX(Data_Checks!$G:$G,27+1))</f>
        <v/>
      </c>
      <c r="H31" s="3">
        <f>IF(INDEX(Data_Checks!$H:$H,27+1)="","",INDEX(Data_Checks!$H:$H,27+1))</f>
        <v/>
      </c>
      <c r="I31" s="18" t="n"/>
      <c r="J31" s="18" t="n"/>
      <c r="K31" s="18" t="n"/>
      <c r="L31" s="18" t="n"/>
    </row>
    <row r="32">
      <c r="A32" s="3">
        <f>IF(INDEX(Data_Checks!$A:$A,28+1)="","",INDEX(Data_Checks!$A:$A,28+1))</f>
        <v/>
      </c>
      <c r="B32" s="3">
        <f>IF(INDEX(Data_Checks!$B:$B,28+1)="","",INDEX(Data_Checks!$B:$B,28+1))</f>
        <v/>
      </c>
      <c r="C32" s="3">
        <f>IF(INDEX(Data_Checks!$C:$C,28+1)="","",INDEX(Data_Checks!$C:$C,28+1))</f>
        <v/>
      </c>
      <c r="D32" s="16">
        <f>IF(INDEX(Data_Checks!$D:$D,28+1)="","",INDEX(Data_Checks!$D:$D,28+1))</f>
        <v/>
      </c>
      <c r="E32" s="16">
        <f>IF(INDEX(Data_Checks!$E:$E,28+1)="","",INDEX(Data_Checks!$E:$E,28+1))</f>
        <v/>
      </c>
      <c r="F32" s="17">
        <f>IF(INDEX(Data_Checks!$F:$F,28+1)="","",INDEX(Data_Checks!$F:$F,28+1))</f>
        <v/>
      </c>
      <c r="G32" s="2">
        <f>IF(INDEX(Data_Checks!$G:$G,28+1)="","",INDEX(Data_Checks!$G:$G,28+1))</f>
        <v/>
      </c>
      <c r="H32" s="3">
        <f>IF(INDEX(Data_Checks!$H:$H,28+1)="","",INDEX(Data_Checks!$H:$H,28+1))</f>
        <v/>
      </c>
      <c r="I32" s="18" t="n"/>
      <c r="J32" s="18" t="n"/>
      <c r="K32" s="18" t="n"/>
      <c r="L32" s="18" t="n"/>
    </row>
    <row r="33">
      <c r="A33" s="3">
        <f>IF(INDEX(Data_Checks!$A:$A,29+1)="","",INDEX(Data_Checks!$A:$A,29+1))</f>
        <v/>
      </c>
      <c r="B33" s="3">
        <f>IF(INDEX(Data_Checks!$B:$B,29+1)="","",INDEX(Data_Checks!$B:$B,29+1))</f>
        <v/>
      </c>
      <c r="C33" s="3">
        <f>IF(INDEX(Data_Checks!$C:$C,29+1)="","",INDEX(Data_Checks!$C:$C,29+1))</f>
        <v/>
      </c>
      <c r="D33" s="16">
        <f>IF(INDEX(Data_Checks!$D:$D,29+1)="","",INDEX(Data_Checks!$D:$D,29+1))</f>
        <v/>
      </c>
      <c r="E33" s="16">
        <f>IF(INDEX(Data_Checks!$E:$E,29+1)="","",INDEX(Data_Checks!$E:$E,29+1))</f>
        <v/>
      </c>
      <c r="F33" s="17">
        <f>IF(INDEX(Data_Checks!$F:$F,29+1)="","",INDEX(Data_Checks!$F:$F,29+1))</f>
        <v/>
      </c>
      <c r="G33" s="2">
        <f>IF(INDEX(Data_Checks!$G:$G,29+1)="","",INDEX(Data_Checks!$G:$G,29+1))</f>
        <v/>
      </c>
      <c r="H33" s="3">
        <f>IF(INDEX(Data_Checks!$H:$H,29+1)="","",INDEX(Data_Checks!$H:$H,29+1))</f>
        <v/>
      </c>
      <c r="I33" s="18" t="n"/>
      <c r="J33" s="18" t="n"/>
      <c r="K33" s="18" t="n"/>
      <c r="L33" s="18" t="n"/>
    </row>
    <row r="34">
      <c r="A34" s="3">
        <f>IF(INDEX(Data_Checks!$A:$A,30+1)="","",INDEX(Data_Checks!$A:$A,30+1))</f>
        <v/>
      </c>
      <c r="B34" s="3">
        <f>IF(INDEX(Data_Checks!$B:$B,30+1)="","",INDEX(Data_Checks!$B:$B,30+1))</f>
        <v/>
      </c>
      <c r="C34" s="3">
        <f>IF(INDEX(Data_Checks!$C:$C,30+1)="","",INDEX(Data_Checks!$C:$C,30+1))</f>
        <v/>
      </c>
      <c r="D34" s="16">
        <f>IF(INDEX(Data_Checks!$D:$D,30+1)="","",INDEX(Data_Checks!$D:$D,30+1))</f>
        <v/>
      </c>
      <c r="E34" s="16">
        <f>IF(INDEX(Data_Checks!$E:$E,30+1)="","",INDEX(Data_Checks!$E:$E,30+1))</f>
        <v/>
      </c>
      <c r="F34" s="17">
        <f>IF(INDEX(Data_Checks!$F:$F,30+1)="","",INDEX(Data_Checks!$F:$F,30+1))</f>
        <v/>
      </c>
      <c r="G34" s="2">
        <f>IF(INDEX(Data_Checks!$G:$G,30+1)="","",INDEX(Data_Checks!$G:$G,30+1))</f>
        <v/>
      </c>
      <c r="H34" s="3">
        <f>IF(INDEX(Data_Checks!$H:$H,30+1)="","",INDEX(Data_Checks!$H:$H,30+1))</f>
        <v/>
      </c>
      <c r="I34" s="18" t="n"/>
      <c r="J34" s="18" t="n"/>
      <c r="K34" s="18" t="n"/>
      <c r="L34" s="18" t="n"/>
    </row>
    <row r="35">
      <c r="A35" s="3">
        <f>IF(INDEX(Data_Checks!$A:$A,31+1)="","",INDEX(Data_Checks!$A:$A,31+1))</f>
        <v/>
      </c>
      <c r="B35" s="3">
        <f>IF(INDEX(Data_Checks!$B:$B,31+1)="","",INDEX(Data_Checks!$B:$B,31+1))</f>
        <v/>
      </c>
      <c r="C35" s="3">
        <f>IF(INDEX(Data_Checks!$C:$C,31+1)="","",INDEX(Data_Checks!$C:$C,31+1))</f>
        <v/>
      </c>
      <c r="D35" s="16">
        <f>IF(INDEX(Data_Checks!$D:$D,31+1)="","",INDEX(Data_Checks!$D:$D,31+1))</f>
        <v/>
      </c>
      <c r="E35" s="16">
        <f>IF(INDEX(Data_Checks!$E:$E,31+1)="","",INDEX(Data_Checks!$E:$E,31+1))</f>
        <v/>
      </c>
      <c r="F35" s="17">
        <f>IF(INDEX(Data_Checks!$F:$F,31+1)="","",INDEX(Data_Checks!$F:$F,31+1))</f>
        <v/>
      </c>
      <c r="G35" s="2">
        <f>IF(INDEX(Data_Checks!$G:$G,31+1)="","",INDEX(Data_Checks!$G:$G,31+1))</f>
        <v/>
      </c>
      <c r="H35" s="3">
        <f>IF(INDEX(Data_Checks!$H:$H,31+1)="","",INDEX(Data_Checks!$H:$H,31+1))</f>
        <v/>
      </c>
      <c r="I35" s="18" t="n"/>
      <c r="J35" s="18" t="n"/>
      <c r="K35" s="18" t="n"/>
      <c r="L35" s="18" t="n"/>
    </row>
    <row r="36">
      <c r="A36" s="3">
        <f>IF(INDEX(Data_Checks!$A:$A,32+1)="","",INDEX(Data_Checks!$A:$A,32+1))</f>
        <v/>
      </c>
      <c r="B36" s="3">
        <f>IF(INDEX(Data_Checks!$B:$B,32+1)="","",INDEX(Data_Checks!$B:$B,32+1))</f>
        <v/>
      </c>
      <c r="C36" s="3">
        <f>IF(INDEX(Data_Checks!$C:$C,32+1)="","",INDEX(Data_Checks!$C:$C,32+1))</f>
        <v/>
      </c>
      <c r="D36" s="16">
        <f>IF(INDEX(Data_Checks!$D:$D,32+1)="","",INDEX(Data_Checks!$D:$D,32+1))</f>
        <v/>
      </c>
      <c r="E36" s="16">
        <f>IF(INDEX(Data_Checks!$E:$E,32+1)="","",INDEX(Data_Checks!$E:$E,32+1))</f>
        <v/>
      </c>
      <c r="F36" s="17">
        <f>IF(INDEX(Data_Checks!$F:$F,32+1)="","",INDEX(Data_Checks!$F:$F,32+1))</f>
        <v/>
      </c>
      <c r="G36" s="2">
        <f>IF(INDEX(Data_Checks!$G:$G,32+1)="","",INDEX(Data_Checks!$G:$G,32+1))</f>
        <v/>
      </c>
      <c r="H36" s="3">
        <f>IF(INDEX(Data_Checks!$H:$H,32+1)="","",INDEX(Data_Checks!$H:$H,32+1))</f>
        <v/>
      </c>
      <c r="I36" s="18" t="n"/>
      <c r="J36" s="18" t="n"/>
      <c r="K36" s="18" t="n"/>
      <c r="L36" s="18" t="n"/>
    </row>
    <row r="37">
      <c r="A37" s="3">
        <f>IF(INDEX(Data_Checks!$A:$A,33+1)="","",INDEX(Data_Checks!$A:$A,33+1))</f>
        <v/>
      </c>
      <c r="B37" s="3">
        <f>IF(INDEX(Data_Checks!$B:$B,33+1)="","",INDEX(Data_Checks!$B:$B,33+1))</f>
        <v/>
      </c>
      <c r="C37" s="3">
        <f>IF(INDEX(Data_Checks!$C:$C,33+1)="","",INDEX(Data_Checks!$C:$C,33+1))</f>
        <v/>
      </c>
      <c r="D37" s="16">
        <f>IF(INDEX(Data_Checks!$D:$D,33+1)="","",INDEX(Data_Checks!$D:$D,33+1))</f>
        <v/>
      </c>
      <c r="E37" s="16">
        <f>IF(INDEX(Data_Checks!$E:$E,33+1)="","",INDEX(Data_Checks!$E:$E,33+1))</f>
        <v/>
      </c>
      <c r="F37" s="17">
        <f>IF(INDEX(Data_Checks!$F:$F,33+1)="","",INDEX(Data_Checks!$F:$F,33+1))</f>
        <v/>
      </c>
      <c r="G37" s="2">
        <f>IF(INDEX(Data_Checks!$G:$G,33+1)="","",INDEX(Data_Checks!$G:$G,33+1))</f>
        <v/>
      </c>
      <c r="H37" s="3">
        <f>IF(INDEX(Data_Checks!$H:$H,33+1)="","",INDEX(Data_Checks!$H:$H,33+1))</f>
        <v/>
      </c>
      <c r="I37" s="18" t="n"/>
      <c r="J37" s="18" t="n"/>
      <c r="K37" s="18" t="n"/>
      <c r="L37" s="18" t="n"/>
    </row>
    <row r="38">
      <c r="A38" s="3">
        <f>IF(INDEX(Data_Checks!$A:$A,34+1)="","",INDEX(Data_Checks!$A:$A,34+1))</f>
        <v/>
      </c>
      <c r="B38" s="3">
        <f>IF(INDEX(Data_Checks!$B:$B,34+1)="","",INDEX(Data_Checks!$B:$B,34+1))</f>
        <v/>
      </c>
      <c r="C38" s="3">
        <f>IF(INDEX(Data_Checks!$C:$C,34+1)="","",INDEX(Data_Checks!$C:$C,34+1))</f>
        <v/>
      </c>
      <c r="D38" s="16">
        <f>IF(INDEX(Data_Checks!$D:$D,34+1)="","",INDEX(Data_Checks!$D:$D,34+1))</f>
        <v/>
      </c>
      <c r="E38" s="16">
        <f>IF(INDEX(Data_Checks!$E:$E,34+1)="","",INDEX(Data_Checks!$E:$E,34+1))</f>
        <v/>
      </c>
      <c r="F38" s="17">
        <f>IF(INDEX(Data_Checks!$F:$F,34+1)="","",INDEX(Data_Checks!$F:$F,34+1))</f>
        <v/>
      </c>
      <c r="G38" s="2">
        <f>IF(INDEX(Data_Checks!$G:$G,34+1)="","",INDEX(Data_Checks!$G:$G,34+1))</f>
        <v/>
      </c>
      <c r="H38" s="3">
        <f>IF(INDEX(Data_Checks!$H:$H,34+1)="","",INDEX(Data_Checks!$H:$H,34+1))</f>
        <v/>
      </c>
      <c r="I38" s="18" t="n"/>
      <c r="J38" s="18" t="n"/>
      <c r="K38" s="18" t="n"/>
      <c r="L38" s="18" t="n"/>
    </row>
    <row r="39">
      <c r="A39" s="3">
        <f>IF(INDEX(Data_Checks!$A:$A,35+1)="","",INDEX(Data_Checks!$A:$A,35+1))</f>
        <v/>
      </c>
      <c r="B39" s="3">
        <f>IF(INDEX(Data_Checks!$B:$B,35+1)="","",INDEX(Data_Checks!$B:$B,35+1))</f>
        <v/>
      </c>
      <c r="C39" s="3">
        <f>IF(INDEX(Data_Checks!$C:$C,35+1)="","",INDEX(Data_Checks!$C:$C,35+1))</f>
        <v/>
      </c>
      <c r="D39" s="16">
        <f>IF(INDEX(Data_Checks!$D:$D,35+1)="","",INDEX(Data_Checks!$D:$D,35+1))</f>
        <v/>
      </c>
      <c r="E39" s="16">
        <f>IF(INDEX(Data_Checks!$E:$E,35+1)="","",INDEX(Data_Checks!$E:$E,35+1))</f>
        <v/>
      </c>
      <c r="F39" s="17">
        <f>IF(INDEX(Data_Checks!$F:$F,35+1)="","",INDEX(Data_Checks!$F:$F,35+1))</f>
        <v/>
      </c>
      <c r="G39" s="2">
        <f>IF(INDEX(Data_Checks!$G:$G,35+1)="","",INDEX(Data_Checks!$G:$G,35+1))</f>
        <v/>
      </c>
      <c r="H39" s="3">
        <f>IF(INDEX(Data_Checks!$H:$H,35+1)="","",INDEX(Data_Checks!$H:$H,35+1))</f>
        <v/>
      </c>
      <c r="I39" s="18" t="n"/>
      <c r="J39" s="18" t="n"/>
      <c r="K39" s="18" t="n"/>
      <c r="L39" s="18" t="n"/>
    </row>
    <row r="40">
      <c r="A40" s="3">
        <f>IF(INDEX(Data_Checks!$A:$A,36+1)="","",INDEX(Data_Checks!$A:$A,36+1))</f>
        <v/>
      </c>
      <c r="B40" s="3">
        <f>IF(INDEX(Data_Checks!$B:$B,36+1)="","",INDEX(Data_Checks!$B:$B,36+1))</f>
        <v/>
      </c>
      <c r="C40" s="3">
        <f>IF(INDEX(Data_Checks!$C:$C,36+1)="","",INDEX(Data_Checks!$C:$C,36+1))</f>
        <v/>
      </c>
      <c r="D40" s="16">
        <f>IF(INDEX(Data_Checks!$D:$D,36+1)="","",INDEX(Data_Checks!$D:$D,36+1))</f>
        <v/>
      </c>
      <c r="E40" s="16">
        <f>IF(INDEX(Data_Checks!$E:$E,36+1)="","",INDEX(Data_Checks!$E:$E,36+1))</f>
        <v/>
      </c>
      <c r="F40" s="17">
        <f>IF(INDEX(Data_Checks!$F:$F,36+1)="","",INDEX(Data_Checks!$F:$F,36+1))</f>
        <v/>
      </c>
      <c r="G40" s="2">
        <f>IF(INDEX(Data_Checks!$G:$G,36+1)="","",INDEX(Data_Checks!$G:$G,36+1))</f>
        <v/>
      </c>
      <c r="H40" s="3">
        <f>IF(INDEX(Data_Checks!$H:$H,36+1)="","",INDEX(Data_Checks!$H:$H,36+1))</f>
        <v/>
      </c>
      <c r="I40" s="18" t="n"/>
      <c r="J40" s="18" t="n"/>
      <c r="K40" s="18" t="n"/>
      <c r="L40" s="18" t="n"/>
    </row>
    <row r="41">
      <c r="A41" s="3">
        <f>IF(INDEX(Data_Checks!$A:$A,37+1)="","",INDEX(Data_Checks!$A:$A,37+1))</f>
        <v/>
      </c>
      <c r="B41" s="3">
        <f>IF(INDEX(Data_Checks!$B:$B,37+1)="","",INDEX(Data_Checks!$B:$B,37+1))</f>
        <v/>
      </c>
      <c r="C41" s="3">
        <f>IF(INDEX(Data_Checks!$C:$C,37+1)="","",INDEX(Data_Checks!$C:$C,37+1))</f>
        <v/>
      </c>
      <c r="D41" s="16">
        <f>IF(INDEX(Data_Checks!$D:$D,37+1)="","",INDEX(Data_Checks!$D:$D,37+1))</f>
        <v/>
      </c>
      <c r="E41" s="16">
        <f>IF(INDEX(Data_Checks!$E:$E,37+1)="","",INDEX(Data_Checks!$E:$E,37+1))</f>
        <v/>
      </c>
      <c r="F41" s="17">
        <f>IF(INDEX(Data_Checks!$F:$F,37+1)="","",INDEX(Data_Checks!$F:$F,37+1))</f>
        <v/>
      </c>
      <c r="G41" s="2">
        <f>IF(INDEX(Data_Checks!$G:$G,37+1)="","",INDEX(Data_Checks!$G:$G,37+1))</f>
        <v/>
      </c>
      <c r="H41" s="3">
        <f>IF(INDEX(Data_Checks!$H:$H,37+1)="","",INDEX(Data_Checks!$H:$H,37+1))</f>
        <v/>
      </c>
      <c r="I41" s="18" t="n"/>
      <c r="J41" s="18" t="n"/>
      <c r="K41" s="18" t="n"/>
      <c r="L41" s="18" t="n"/>
    </row>
    <row r="42">
      <c r="A42" s="3">
        <f>IF(INDEX(Data_Checks!$A:$A,38+1)="","",INDEX(Data_Checks!$A:$A,38+1))</f>
        <v/>
      </c>
      <c r="B42" s="3">
        <f>IF(INDEX(Data_Checks!$B:$B,38+1)="","",INDEX(Data_Checks!$B:$B,38+1))</f>
        <v/>
      </c>
      <c r="C42" s="3">
        <f>IF(INDEX(Data_Checks!$C:$C,38+1)="","",INDEX(Data_Checks!$C:$C,38+1))</f>
        <v/>
      </c>
      <c r="D42" s="16">
        <f>IF(INDEX(Data_Checks!$D:$D,38+1)="","",INDEX(Data_Checks!$D:$D,38+1))</f>
        <v/>
      </c>
      <c r="E42" s="16">
        <f>IF(INDEX(Data_Checks!$E:$E,38+1)="","",INDEX(Data_Checks!$E:$E,38+1))</f>
        <v/>
      </c>
      <c r="F42" s="17">
        <f>IF(INDEX(Data_Checks!$F:$F,38+1)="","",INDEX(Data_Checks!$F:$F,38+1))</f>
        <v/>
      </c>
      <c r="G42" s="2">
        <f>IF(INDEX(Data_Checks!$G:$G,38+1)="","",INDEX(Data_Checks!$G:$G,38+1))</f>
        <v/>
      </c>
      <c r="H42" s="3">
        <f>IF(INDEX(Data_Checks!$H:$H,38+1)="","",INDEX(Data_Checks!$H:$H,38+1))</f>
        <v/>
      </c>
      <c r="I42" s="18" t="n"/>
      <c r="J42" s="18" t="n"/>
      <c r="K42" s="18" t="n"/>
      <c r="L42" s="18" t="n"/>
    </row>
    <row r="43">
      <c r="A43" s="3">
        <f>IF(INDEX(Data_Checks!$A:$A,39+1)="","",INDEX(Data_Checks!$A:$A,39+1))</f>
        <v/>
      </c>
      <c r="B43" s="3">
        <f>IF(INDEX(Data_Checks!$B:$B,39+1)="","",INDEX(Data_Checks!$B:$B,39+1))</f>
        <v/>
      </c>
      <c r="C43" s="3">
        <f>IF(INDEX(Data_Checks!$C:$C,39+1)="","",INDEX(Data_Checks!$C:$C,39+1))</f>
        <v/>
      </c>
      <c r="D43" s="16">
        <f>IF(INDEX(Data_Checks!$D:$D,39+1)="","",INDEX(Data_Checks!$D:$D,39+1))</f>
        <v/>
      </c>
      <c r="E43" s="16">
        <f>IF(INDEX(Data_Checks!$E:$E,39+1)="","",INDEX(Data_Checks!$E:$E,39+1))</f>
        <v/>
      </c>
      <c r="F43" s="17">
        <f>IF(INDEX(Data_Checks!$F:$F,39+1)="","",INDEX(Data_Checks!$F:$F,39+1))</f>
        <v/>
      </c>
      <c r="G43" s="2">
        <f>IF(INDEX(Data_Checks!$G:$G,39+1)="","",INDEX(Data_Checks!$G:$G,39+1))</f>
        <v/>
      </c>
      <c r="H43" s="3">
        <f>IF(INDEX(Data_Checks!$H:$H,39+1)="","",INDEX(Data_Checks!$H:$H,39+1))</f>
        <v/>
      </c>
      <c r="I43" s="18" t="n"/>
      <c r="J43" s="18" t="n"/>
      <c r="K43" s="18" t="n"/>
      <c r="L43" s="18" t="n"/>
    </row>
    <row r="44">
      <c r="A44" s="3">
        <f>IF(INDEX(Data_Checks!$A:$A,40+1)="","",INDEX(Data_Checks!$A:$A,40+1))</f>
        <v/>
      </c>
      <c r="B44" s="3">
        <f>IF(INDEX(Data_Checks!$B:$B,40+1)="","",INDEX(Data_Checks!$B:$B,40+1))</f>
        <v/>
      </c>
      <c r="C44" s="3">
        <f>IF(INDEX(Data_Checks!$C:$C,40+1)="","",INDEX(Data_Checks!$C:$C,40+1))</f>
        <v/>
      </c>
      <c r="D44" s="16">
        <f>IF(INDEX(Data_Checks!$D:$D,40+1)="","",INDEX(Data_Checks!$D:$D,40+1))</f>
        <v/>
      </c>
      <c r="E44" s="16">
        <f>IF(INDEX(Data_Checks!$E:$E,40+1)="","",INDEX(Data_Checks!$E:$E,40+1))</f>
        <v/>
      </c>
      <c r="F44" s="17">
        <f>IF(INDEX(Data_Checks!$F:$F,40+1)="","",INDEX(Data_Checks!$F:$F,40+1))</f>
        <v/>
      </c>
      <c r="G44" s="2">
        <f>IF(INDEX(Data_Checks!$G:$G,40+1)="","",INDEX(Data_Checks!$G:$G,40+1))</f>
        <v/>
      </c>
      <c r="H44" s="3">
        <f>IF(INDEX(Data_Checks!$H:$H,40+1)="","",INDEX(Data_Checks!$H:$H,40+1))</f>
        <v/>
      </c>
      <c r="I44" s="18" t="n"/>
      <c r="J44" s="18" t="n"/>
      <c r="K44" s="18" t="n"/>
      <c r="L44" s="18" t="n"/>
    </row>
    <row r="45">
      <c r="A45" s="3">
        <f>IF(INDEX(Data_Checks!$A:$A,41+1)="","",INDEX(Data_Checks!$A:$A,41+1))</f>
        <v/>
      </c>
      <c r="B45" s="3">
        <f>IF(INDEX(Data_Checks!$B:$B,41+1)="","",INDEX(Data_Checks!$B:$B,41+1))</f>
        <v/>
      </c>
      <c r="C45" s="3">
        <f>IF(INDEX(Data_Checks!$C:$C,41+1)="","",INDEX(Data_Checks!$C:$C,41+1))</f>
        <v/>
      </c>
      <c r="D45" s="16">
        <f>IF(INDEX(Data_Checks!$D:$D,41+1)="","",INDEX(Data_Checks!$D:$D,41+1))</f>
        <v/>
      </c>
      <c r="E45" s="16">
        <f>IF(INDEX(Data_Checks!$E:$E,41+1)="","",INDEX(Data_Checks!$E:$E,41+1))</f>
        <v/>
      </c>
      <c r="F45" s="17">
        <f>IF(INDEX(Data_Checks!$F:$F,41+1)="","",INDEX(Data_Checks!$F:$F,41+1))</f>
        <v/>
      </c>
      <c r="G45" s="2">
        <f>IF(INDEX(Data_Checks!$G:$G,41+1)="","",INDEX(Data_Checks!$G:$G,41+1))</f>
        <v/>
      </c>
      <c r="H45" s="3">
        <f>IF(INDEX(Data_Checks!$H:$H,41+1)="","",INDEX(Data_Checks!$H:$H,41+1))</f>
        <v/>
      </c>
      <c r="I45" s="18" t="n"/>
      <c r="J45" s="18" t="n"/>
      <c r="K45" s="18" t="n"/>
      <c r="L45" s="18" t="n"/>
    </row>
    <row r="46">
      <c r="A46" s="3">
        <f>IF(INDEX(Data_Checks!$A:$A,42+1)="","",INDEX(Data_Checks!$A:$A,42+1))</f>
        <v/>
      </c>
      <c r="B46" s="3">
        <f>IF(INDEX(Data_Checks!$B:$B,42+1)="","",INDEX(Data_Checks!$B:$B,42+1))</f>
        <v/>
      </c>
      <c r="C46" s="3">
        <f>IF(INDEX(Data_Checks!$C:$C,42+1)="","",INDEX(Data_Checks!$C:$C,42+1))</f>
        <v/>
      </c>
      <c r="D46" s="16">
        <f>IF(INDEX(Data_Checks!$D:$D,42+1)="","",INDEX(Data_Checks!$D:$D,42+1))</f>
        <v/>
      </c>
      <c r="E46" s="16">
        <f>IF(INDEX(Data_Checks!$E:$E,42+1)="","",INDEX(Data_Checks!$E:$E,42+1))</f>
        <v/>
      </c>
      <c r="F46" s="17">
        <f>IF(INDEX(Data_Checks!$F:$F,42+1)="","",INDEX(Data_Checks!$F:$F,42+1))</f>
        <v/>
      </c>
      <c r="G46" s="2">
        <f>IF(INDEX(Data_Checks!$G:$G,42+1)="","",INDEX(Data_Checks!$G:$G,42+1))</f>
        <v/>
      </c>
      <c r="H46" s="3">
        <f>IF(INDEX(Data_Checks!$H:$H,42+1)="","",INDEX(Data_Checks!$H:$H,42+1))</f>
        <v/>
      </c>
      <c r="I46" s="18" t="n"/>
      <c r="J46" s="18" t="n"/>
      <c r="K46" s="18" t="n"/>
      <c r="L46" s="18" t="n"/>
    </row>
    <row r="47">
      <c r="A47" s="3">
        <f>IF(INDEX(Data_Checks!$A:$A,43+1)="","",INDEX(Data_Checks!$A:$A,43+1))</f>
        <v/>
      </c>
      <c r="B47" s="3">
        <f>IF(INDEX(Data_Checks!$B:$B,43+1)="","",INDEX(Data_Checks!$B:$B,43+1))</f>
        <v/>
      </c>
      <c r="C47" s="3">
        <f>IF(INDEX(Data_Checks!$C:$C,43+1)="","",INDEX(Data_Checks!$C:$C,43+1))</f>
        <v/>
      </c>
      <c r="D47" s="16">
        <f>IF(INDEX(Data_Checks!$D:$D,43+1)="","",INDEX(Data_Checks!$D:$D,43+1))</f>
        <v/>
      </c>
      <c r="E47" s="16">
        <f>IF(INDEX(Data_Checks!$E:$E,43+1)="","",INDEX(Data_Checks!$E:$E,43+1))</f>
        <v/>
      </c>
      <c r="F47" s="17">
        <f>IF(INDEX(Data_Checks!$F:$F,43+1)="","",INDEX(Data_Checks!$F:$F,43+1))</f>
        <v/>
      </c>
      <c r="G47" s="2">
        <f>IF(INDEX(Data_Checks!$G:$G,43+1)="","",INDEX(Data_Checks!$G:$G,43+1))</f>
        <v/>
      </c>
      <c r="H47" s="3">
        <f>IF(INDEX(Data_Checks!$H:$H,43+1)="","",INDEX(Data_Checks!$H:$H,43+1))</f>
        <v/>
      </c>
      <c r="I47" s="18" t="n"/>
      <c r="J47" s="18" t="n"/>
      <c r="K47" s="18" t="n"/>
      <c r="L47" s="18" t="n"/>
    </row>
    <row r="48">
      <c r="A48" s="3">
        <f>IF(INDEX(Data_Checks!$A:$A,44+1)="","",INDEX(Data_Checks!$A:$A,44+1))</f>
        <v/>
      </c>
      <c r="B48" s="3">
        <f>IF(INDEX(Data_Checks!$B:$B,44+1)="","",INDEX(Data_Checks!$B:$B,44+1))</f>
        <v/>
      </c>
      <c r="C48" s="3">
        <f>IF(INDEX(Data_Checks!$C:$C,44+1)="","",INDEX(Data_Checks!$C:$C,44+1))</f>
        <v/>
      </c>
      <c r="D48" s="16">
        <f>IF(INDEX(Data_Checks!$D:$D,44+1)="","",INDEX(Data_Checks!$D:$D,44+1))</f>
        <v/>
      </c>
      <c r="E48" s="16">
        <f>IF(INDEX(Data_Checks!$E:$E,44+1)="","",INDEX(Data_Checks!$E:$E,44+1))</f>
        <v/>
      </c>
      <c r="F48" s="17">
        <f>IF(INDEX(Data_Checks!$F:$F,44+1)="","",INDEX(Data_Checks!$F:$F,44+1))</f>
        <v/>
      </c>
      <c r="G48" s="2">
        <f>IF(INDEX(Data_Checks!$G:$G,44+1)="","",INDEX(Data_Checks!$G:$G,44+1))</f>
        <v/>
      </c>
      <c r="H48" s="3">
        <f>IF(INDEX(Data_Checks!$H:$H,44+1)="","",INDEX(Data_Checks!$H:$H,44+1))</f>
        <v/>
      </c>
      <c r="I48" s="18" t="n"/>
      <c r="J48" s="18" t="n"/>
      <c r="K48" s="18" t="n"/>
      <c r="L48" s="18" t="n"/>
    </row>
    <row r="49">
      <c r="A49" s="3">
        <f>IF(INDEX(Data_Checks!$A:$A,45+1)="","",INDEX(Data_Checks!$A:$A,45+1))</f>
        <v/>
      </c>
      <c r="B49" s="3">
        <f>IF(INDEX(Data_Checks!$B:$B,45+1)="","",INDEX(Data_Checks!$B:$B,45+1))</f>
        <v/>
      </c>
      <c r="C49" s="3">
        <f>IF(INDEX(Data_Checks!$C:$C,45+1)="","",INDEX(Data_Checks!$C:$C,45+1))</f>
        <v/>
      </c>
      <c r="D49" s="16">
        <f>IF(INDEX(Data_Checks!$D:$D,45+1)="","",INDEX(Data_Checks!$D:$D,45+1))</f>
        <v/>
      </c>
      <c r="E49" s="16">
        <f>IF(INDEX(Data_Checks!$E:$E,45+1)="","",INDEX(Data_Checks!$E:$E,45+1))</f>
        <v/>
      </c>
      <c r="F49" s="17">
        <f>IF(INDEX(Data_Checks!$F:$F,45+1)="","",INDEX(Data_Checks!$F:$F,45+1))</f>
        <v/>
      </c>
      <c r="G49" s="2">
        <f>IF(INDEX(Data_Checks!$G:$G,45+1)="","",INDEX(Data_Checks!$G:$G,45+1))</f>
        <v/>
      </c>
      <c r="H49" s="3">
        <f>IF(INDEX(Data_Checks!$H:$H,45+1)="","",INDEX(Data_Checks!$H:$H,45+1))</f>
        <v/>
      </c>
      <c r="I49" s="18" t="n"/>
      <c r="J49" s="18" t="n"/>
      <c r="K49" s="18" t="n"/>
      <c r="L49" s="18" t="n"/>
    </row>
    <row r="50">
      <c r="A50" s="3">
        <f>IF(INDEX(Data_Checks!$A:$A,46+1)="","",INDEX(Data_Checks!$A:$A,46+1))</f>
        <v/>
      </c>
      <c r="B50" s="3">
        <f>IF(INDEX(Data_Checks!$B:$B,46+1)="","",INDEX(Data_Checks!$B:$B,46+1))</f>
        <v/>
      </c>
      <c r="C50" s="3">
        <f>IF(INDEX(Data_Checks!$C:$C,46+1)="","",INDEX(Data_Checks!$C:$C,46+1))</f>
        <v/>
      </c>
      <c r="D50" s="16">
        <f>IF(INDEX(Data_Checks!$D:$D,46+1)="","",INDEX(Data_Checks!$D:$D,46+1))</f>
        <v/>
      </c>
      <c r="E50" s="16">
        <f>IF(INDEX(Data_Checks!$E:$E,46+1)="","",INDEX(Data_Checks!$E:$E,46+1))</f>
        <v/>
      </c>
      <c r="F50" s="17">
        <f>IF(INDEX(Data_Checks!$F:$F,46+1)="","",INDEX(Data_Checks!$F:$F,46+1))</f>
        <v/>
      </c>
      <c r="G50" s="2">
        <f>IF(INDEX(Data_Checks!$G:$G,46+1)="","",INDEX(Data_Checks!$G:$G,46+1))</f>
        <v/>
      </c>
      <c r="H50" s="3">
        <f>IF(INDEX(Data_Checks!$H:$H,46+1)="","",INDEX(Data_Checks!$H:$H,46+1))</f>
        <v/>
      </c>
      <c r="I50" s="18" t="n"/>
      <c r="J50" s="18" t="n"/>
      <c r="K50" s="18" t="n"/>
      <c r="L50" s="18" t="n"/>
    </row>
    <row r="51">
      <c r="A51" s="3">
        <f>IF(INDEX(Data_Checks!$A:$A,47+1)="","",INDEX(Data_Checks!$A:$A,47+1))</f>
        <v/>
      </c>
      <c r="B51" s="3">
        <f>IF(INDEX(Data_Checks!$B:$B,47+1)="","",INDEX(Data_Checks!$B:$B,47+1))</f>
        <v/>
      </c>
      <c r="C51" s="3">
        <f>IF(INDEX(Data_Checks!$C:$C,47+1)="","",INDEX(Data_Checks!$C:$C,47+1))</f>
        <v/>
      </c>
      <c r="D51" s="16">
        <f>IF(INDEX(Data_Checks!$D:$D,47+1)="","",INDEX(Data_Checks!$D:$D,47+1))</f>
        <v/>
      </c>
      <c r="E51" s="16">
        <f>IF(INDEX(Data_Checks!$E:$E,47+1)="","",INDEX(Data_Checks!$E:$E,47+1))</f>
        <v/>
      </c>
      <c r="F51" s="17">
        <f>IF(INDEX(Data_Checks!$F:$F,47+1)="","",INDEX(Data_Checks!$F:$F,47+1))</f>
        <v/>
      </c>
      <c r="G51" s="2">
        <f>IF(INDEX(Data_Checks!$G:$G,47+1)="","",INDEX(Data_Checks!$G:$G,47+1))</f>
        <v/>
      </c>
      <c r="H51" s="3">
        <f>IF(INDEX(Data_Checks!$H:$H,47+1)="","",INDEX(Data_Checks!$H:$H,47+1))</f>
        <v/>
      </c>
      <c r="I51" s="18" t="n"/>
      <c r="J51" s="18" t="n"/>
      <c r="K51" s="18" t="n"/>
      <c r="L51" s="18" t="n"/>
    </row>
    <row r="52">
      <c r="A52" s="3">
        <f>IF(INDEX(Data_Checks!$A:$A,48+1)="","",INDEX(Data_Checks!$A:$A,48+1))</f>
        <v/>
      </c>
      <c r="B52" s="3">
        <f>IF(INDEX(Data_Checks!$B:$B,48+1)="","",INDEX(Data_Checks!$B:$B,48+1))</f>
        <v/>
      </c>
      <c r="C52" s="3">
        <f>IF(INDEX(Data_Checks!$C:$C,48+1)="","",INDEX(Data_Checks!$C:$C,48+1))</f>
        <v/>
      </c>
      <c r="D52" s="16">
        <f>IF(INDEX(Data_Checks!$D:$D,48+1)="","",INDEX(Data_Checks!$D:$D,48+1))</f>
        <v/>
      </c>
      <c r="E52" s="16">
        <f>IF(INDEX(Data_Checks!$E:$E,48+1)="","",INDEX(Data_Checks!$E:$E,48+1))</f>
        <v/>
      </c>
      <c r="F52" s="17">
        <f>IF(INDEX(Data_Checks!$F:$F,48+1)="","",INDEX(Data_Checks!$F:$F,48+1))</f>
        <v/>
      </c>
      <c r="G52" s="2">
        <f>IF(INDEX(Data_Checks!$G:$G,48+1)="","",INDEX(Data_Checks!$G:$G,48+1))</f>
        <v/>
      </c>
      <c r="H52" s="3">
        <f>IF(INDEX(Data_Checks!$H:$H,48+1)="","",INDEX(Data_Checks!$H:$H,48+1))</f>
        <v/>
      </c>
      <c r="I52" s="18" t="n"/>
      <c r="J52" s="18" t="n"/>
      <c r="K52" s="18" t="n"/>
      <c r="L52" s="18" t="n"/>
    </row>
    <row r="53">
      <c r="A53" s="3">
        <f>IF(INDEX(Data_Checks!$A:$A,49+1)="","",INDEX(Data_Checks!$A:$A,49+1))</f>
        <v/>
      </c>
      <c r="B53" s="3">
        <f>IF(INDEX(Data_Checks!$B:$B,49+1)="","",INDEX(Data_Checks!$B:$B,49+1))</f>
        <v/>
      </c>
      <c r="C53" s="3">
        <f>IF(INDEX(Data_Checks!$C:$C,49+1)="","",INDEX(Data_Checks!$C:$C,49+1))</f>
        <v/>
      </c>
      <c r="D53" s="16">
        <f>IF(INDEX(Data_Checks!$D:$D,49+1)="","",INDEX(Data_Checks!$D:$D,49+1))</f>
        <v/>
      </c>
      <c r="E53" s="16">
        <f>IF(INDEX(Data_Checks!$E:$E,49+1)="","",INDEX(Data_Checks!$E:$E,49+1))</f>
        <v/>
      </c>
      <c r="F53" s="17">
        <f>IF(INDEX(Data_Checks!$F:$F,49+1)="","",INDEX(Data_Checks!$F:$F,49+1))</f>
        <v/>
      </c>
      <c r="G53" s="2">
        <f>IF(INDEX(Data_Checks!$G:$G,49+1)="","",INDEX(Data_Checks!$G:$G,49+1))</f>
        <v/>
      </c>
      <c r="H53" s="3">
        <f>IF(INDEX(Data_Checks!$H:$H,49+1)="","",INDEX(Data_Checks!$H:$H,49+1))</f>
        <v/>
      </c>
      <c r="I53" s="18" t="n"/>
      <c r="J53" s="18" t="n"/>
      <c r="K53" s="18" t="n"/>
      <c r="L53" s="18" t="n"/>
    </row>
    <row r="54">
      <c r="A54" s="3">
        <f>IF(INDEX(Data_Checks!$A:$A,50+1)="","",INDEX(Data_Checks!$A:$A,50+1))</f>
        <v/>
      </c>
      <c r="B54" s="3">
        <f>IF(INDEX(Data_Checks!$B:$B,50+1)="","",INDEX(Data_Checks!$B:$B,50+1))</f>
        <v/>
      </c>
      <c r="C54" s="3">
        <f>IF(INDEX(Data_Checks!$C:$C,50+1)="","",INDEX(Data_Checks!$C:$C,50+1))</f>
        <v/>
      </c>
      <c r="D54" s="16">
        <f>IF(INDEX(Data_Checks!$D:$D,50+1)="","",INDEX(Data_Checks!$D:$D,50+1))</f>
        <v/>
      </c>
      <c r="E54" s="16">
        <f>IF(INDEX(Data_Checks!$E:$E,50+1)="","",INDEX(Data_Checks!$E:$E,50+1))</f>
        <v/>
      </c>
      <c r="F54" s="17">
        <f>IF(INDEX(Data_Checks!$F:$F,50+1)="","",INDEX(Data_Checks!$F:$F,50+1))</f>
        <v/>
      </c>
      <c r="G54" s="2">
        <f>IF(INDEX(Data_Checks!$G:$G,50+1)="","",INDEX(Data_Checks!$G:$G,50+1))</f>
        <v/>
      </c>
      <c r="H54" s="3">
        <f>IF(INDEX(Data_Checks!$H:$H,50+1)="","",INDEX(Data_Checks!$H:$H,50+1))</f>
        <v/>
      </c>
      <c r="I54" s="18" t="n"/>
      <c r="J54" s="18" t="n"/>
      <c r="K54" s="18" t="n"/>
      <c r="L54" s="18" t="n"/>
    </row>
    <row r="55">
      <c r="A55" s="3">
        <f>IF(INDEX(Data_Checks!$A:$A,51+1)="","",INDEX(Data_Checks!$A:$A,51+1))</f>
        <v/>
      </c>
      <c r="B55" s="3">
        <f>IF(INDEX(Data_Checks!$B:$B,51+1)="","",INDEX(Data_Checks!$B:$B,51+1))</f>
        <v/>
      </c>
      <c r="C55" s="3">
        <f>IF(INDEX(Data_Checks!$C:$C,51+1)="","",INDEX(Data_Checks!$C:$C,51+1))</f>
        <v/>
      </c>
      <c r="D55" s="16">
        <f>IF(INDEX(Data_Checks!$D:$D,51+1)="","",INDEX(Data_Checks!$D:$D,51+1))</f>
        <v/>
      </c>
      <c r="E55" s="16">
        <f>IF(INDEX(Data_Checks!$E:$E,51+1)="","",INDEX(Data_Checks!$E:$E,51+1))</f>
        <v/>
      </c>
      <c r="F55" s="17">
        <f>IF(INDEX(Data_Checks!$F:$F,51+1)="","",INDEX(Data_Checks!$F:$F,51+1))</f>
        <v/>
      </c>
      <c r="G55" s="2">
        <f>IF(INDEX(Data_Checks!$G:$G,51+1)="","",INDEX(Data_Checks!$G:$G,51+1))</f>
        <v/>
      </c>
      <c r="H55" s="3">
        <f>IF(INDEX(Data_Checks!$H:$H,51+1)="","",INDEX(Data_Checks!$H:$H,51+1))</f>
        <v/>
      </c>
      <c r="I55" s="18" t="n"/>
      <c r="J55" s="18" t="n"/>
      <c r="K55" s="18" t="n"/>
      <c r="L55" s="18" t="n"/>
    </row>
    <row r="56">
      <c r="A56" s="3">
        <f>IF(INDEX(Data_Checks!$A:$A,52+1)="","",INDEX(Data_Checks!$A:$A,52+1))</f>
        <v/>
      </c>
      <c r="B56" s="3">
        <f>IF(INDEX(Data_Checks!$B:$B,52+1)="","",INDEX(Data_Checks!$B:$B,52+1))</f>
        <v/>
      </c>
      <c r="C56" s="3">
        <f>IF(INDEX(Data_Checks!$C:$C,52+1)="","",INDEX(Data_Checks!$C:$C,52+1))</f>
        <v/>
      </c>
      <c r="D56" s="16">
        <f>IF(INDEX(Data_Checks!$D:$D,52+1)="","",INDEX(Data_Checks!$D:$D,52+1))</f>
        <v/>
      </c>
      <c r="E56" s="16">
        <f>IF(INDEX(Data_Checks!$E:$E,52+1)="","",INDEX(Data_Checks!$E:$E,52+1))</f>
        <v/>
      </c>
      <c r="F56" s="17">
        <f>IF(INDEX(Data_Checks!$F:$F,52+1)="","",INDEX(Data_Checks!$F:$F,52+1))</f>
        <v/>
      </c>
      <c r="G56" s="2">
        <f>IF(INDEX(Data_Checks!$G:$G,52+1)="","",INDEX(Data_Checks!$G:$G,52+1))</f>
        <v/>
      </c>
      <c r="H56" s="3">
        <f>IF(INDEX(Data_Checks!$H:$H,52+1)="","",INDEX(Data_Checks!$H:$H,52+1))</f>
        <v/>
      </c>
      <c r="I56" s="18" t="n"/>
      <c r="J56" s="18" t="n"/>
      <c r="K56" s="18" t="n"/>
      <c r="L56" s="18" t="n"/>
    </row>
    <row r="57">
      <c r="A57" s="3">
        <f>IF(INDEX(Data_Checks!$A:$A,53+1)="","",INDEX(Data_Checks!$A:$A,53+1))</f>
        <v/>
      </c>
      <c r="B57" s="3">
        <f>IF(INDEX(Data_Checks!$B:$B,53+1)="","",INDEX(Data_Checks!$B:$B,53+1))</f>
        <v/>
      </c>
      <c r="C57" s="3">
        <f>IF(INDEX(Data_Checks!$C:$C,53+1)="","",INDEX(Data_Checks!$C:$C,53+1))</f>
        <v/>
      </c>
      <c r="D57" s="16">
        <f>IF(INDEX(Data_Checks!$D:$D,53+1)="","",INDEX(Data_Checks!$D:$D,53+1))</f>
        <v/>
      </c>
      <c r="E57" s="16">
        <f>IF(INDEX(Data_Checks!$E:$E,53+1)="","",INDEX(Data_Checks!$E:$E,53+1))</f>
        <v/>
      </c>
      <c r="F57" s="17">
        <f>IF(INDEX(Data_Checks!$F:$F,53+1)="","",INDEX(Data_Checks!$F:$F,53+1))</f>
        <v/>
      </c>
      <c r="G57" s="2">
        <f>IF(INDEX(Data_Checks!$G:$G,53+1)="","",INDEX(Data_Checks!$G:$G,53+1))</f>
        <v/>
      </c>
      <c r="H57" s="3">
        <f>IF(INDEX(Data_Checks!$H:$H,53+1)="","",INDEX(Data_Checks!$H:$H,53+1))</f>
        <v/>
      </c>
      <c r="I57" s="18" t="n"/>
      <c r="J57" s="18" t="n"/>
      <c r="K57" s="18" t="n"/>
      <c r="L57" s="18" t="n"/>
    </row>
    <row r="58">
      <c r="A58" s="3">
        <f>IF(INDEX(Data_Checks!$A:$A,54+1)="","",INDEX(Data_Checks!$A:$A,54+1))</f>
        <v/>
      </c>
      <c r="B58" s="3">
        <f>IF(INDEX(Data_Checks!$B:$B,54+1)="","",INDEX(Data_Checks!$B:$B,54+1))</f>
        <v/>
      </c>
      <c r="C58" s="3">
        <f>IF(INDEX(Data_Checks!$C:$C,54+1)="","",INDEX(Data_Checks!$C:$C,54+1))</f>
        <v/>
      </c>
      <c r="D58" s="16">
        <f>IF(INDEX(Data_Checks!$D:$D,54+1)="","",INDEX(Data_Checks!$D:$D,54+1))</f>
        <v/>
      </c>
      <c r="E58" s="16">
        <f>IF(INDEX(Data_Checks!$E:$E,54+1)="","",INDEX(Data_Checks!$E:$E,54+1))</f>
        <v/>
      </c>
      <c r="F58" s="17">
        <f>IF(INDEX(Data_Checks!$F:$F,54+1)="","",INDEX(Data_Checks!$F:$F,54+1))</f>
        <v/>
      </c>
      <c r="G58" s="2">
        <f>IF(INDEX(Data_Checks!$G:$G,54+1)="","",INDEX(Data_Checks!$G:$G,54+1))</f>
        <v/>
      </c>
      <c r="H58" s="3">
        <f>IF(INDEX(Data_Checks!$H:$H,54+1)="","",INDEX(Data_Checks!$H:$H,54+1))</f>
        <v/>
      </c>
      <c r="I58" s="18" t="n"/>
      <c r="J58" s="18" t="n"/>
      <c r="K58" s="18" t="n"/>
      <c r="L58" s="18" t="n"/>
    </row>
    <row r="59">
      <c r="A59" s="3">
        <f>IF(INDEX(Data_Checks!$A:$A,55+1)="","",INDEX(Data_Checks!$A:$A,55+1))</f>
        <v/>
      </c>
      <c r="B59" s="3">
        <f>IF(INDEX(Data_Checks!$B:$B,55+1)="","",INDEX(Data_Checks!$B:$B,55+1))</f>
        <v/>
      </c>
      <c r="C59" s="3">
        <f>IF(INDEX(Data_Checks!$C:$C,55+1)="","",INDEX(Data_Checks!$C:$C,55+1))</f>
        <v/>
      </c>
      <c r="D59" s="16">
        <f>IF(INDEX(Data_Checks!$D:$D,55+1)="","",INDEX(Data_Checks!$D:$D,55+1))</f>
        <v/>
      </c>
      <c r="E59" s="16">
        <f>IF(INDEX(Data_Checks!$E:$E,55+1)="","",INDEX(Data_Checks!$E:$E,55+1))</f>
        <v/>
      </c>
      <c r="F59" s="17">
        <f>IF(INDEX(Data_Checks!$F:$F,55+1)="","",INDEX(Data_Checks!$F:$F,55+1))</f>
        <v/>
      </c>
      <c r="G59" s="2">
        <f>IF(INDEX(Data_Checks!$G:$G,55+1)="","",INDEX(Data_Checks!$G:$G,55+1))</f>
        <v/>
      </c>
      <c r="H59" s="3">
        <f>IF(INDEX(Data_Checks!$H:$H,55+1)="","",INDEX(Data_Checks!$H:$H,55+1))</f>
        <v/>
      </c>
      <c r="I59" s="18" t="n"/>
      <c r="J59" s="18" t="n"/>
      <c r="K59" s="18" t="n"/>
      <c r="L59" s="18" t="n"/>
    </row>
    <row r="60">
      <c r="A60" s="3">
        <f>IF(INDEX(Data_Checks!$A:$A,56+1)="","",INDEX(Data_Checks!$A:$A,56+1))</f>
        <v/>
      </c>
      <c r="B60" s="3">
        <f>IF(INDEX(Data_Checks!$B:$B,56+1)="","",INDEX(Data_Checks!$B:$B,56+1))</f>
        <v/>
      </c>
      <c r="C60" s="3">
        <f>IF(INDEX(Data_Checks!$C:$C,56+1)="","",INDEX(Data_Checks!$C:$C,56+1))</f>
        <v/>
      </c>
      <c r="D60" s="16">
        <f>IF(INDEX(Data_Checks!$D:$D,56+1)="","",INDEX(Data_Checks!$D:$D,56+1))</f>
        <v/>
      </c>
      <c r="E60" s="16">
        <f>IF(INDEX(Data_Checks!$E:$E,56+1)="","",INDEX(Data_Checks!$E:$E,56+1))</f>
        <v/>
      </c>
      <c r="F60" s="17">
        <f>IF(INDEX(Data_Checks!$F:$F,56+1)="","",INDEX(Data_Checks!$F:$F,56+1))</f>
        <v/>
      </c>
      <c r="G60" s="2">
        <f>IF(INDEX(Data_Checks!$G:$G,56+1)="","",INDEX(Data_Checks!$G:$G,56+1))</f>
        <v/>
      </c>
      <c r="H60" s="3">
        <f>IF(INDEX(Data_Checks!$H:$H,56+1)="","",INDEX(Data_Checks!$H:$H,56+1))</f>
        <v/>
      </c>
      <c r="I60" s="18" t="n"/>
      <c r="J60" s="18" t="n"/>
      <c r="K60" s="18" t="n"/>
      <c r="L60" s="18" t="n"/>
    </row>
    <row r="61">
      <c r="A61" s="3">
        <f>IF(INDEX(Data_Checks!$A:$A,57+1)="","",INDEX(Data_Checks!$A:$A,57+1))</f>
        <v/>
      </c>
      <c r="B61" s="3">
        <f>IF(INDEX(Data_Checks!$B:$B,57+1)="","",INDEX(Data_Checks!$B:$B,57+1))</f>
        <v/>
      </c>
      <c r="C61" s="3">
        <f>IF(INDEX(Data_Checks!$C:$C,57+1)="","",INDEX(Data_Checks!$C:$C,57+1))</f>
        <v/>
      </c>
      <c r="D61" s="16">
        <f>IF(INDEX(Data_Checks!$D:$D,57+1)="","",INDEX(Data_Checks!$D:$D,57+1))</f>
        <v/>
      </c>
      <c r="E61" s="16">
        <f>IF(INDEX(Data_Checks!$E:$E,57+1)="","",INDEX(Data_Checks!$E:$E,57+1))</f>
        <v/>
      </c>
      <c r="F61" s="17">
        <f>IF(INDEX(Data_Checks!$F:$F,57+1)="","",INDEX(Data_Checks!$F:$F,57+1))</f>
        <v/>
      </c>
      <c r="G61" s="2">
        <f>IF(INDEX(Data_Checks!$G:$G,57+1)="","",INDEX(Data_Checks!$G:$G,57+1))</f>
        <v/>
      </c>
      <c r="H61" s="3">
        <f>IF(INDEX(Data_Checks!$H:$H,57+1)="","",INDEX(Data_Checks!$H:$H,57+1))</f>
        <v/>
      </c>
      <c r="I61" s="18" t="n"/>
      <c r="J61" s="18" t="n"/>
      <c r="K61" s="18" t="n"/>
      <c r="L61" s="18" t="n"/>
    </row>
    <row r="62">
      <c r="A62" s="3">
        <f>IF(INDEX(Data_Checks!$A:$A,58+1)="","",INDEX(Data_Checks!$A:$A,58+1))</f>
        <v/>
      </c>
      <c r="B62" s="3">
        <f>IF(INDEX(Data_Checks!$B:$B,58+1)="","",INDEX(Data_Checks!$B:$B,58+1))</f>
        <v/>
      </c>
      <c r="C62" s="3">
        <f>IF(INDEX(Data_Checks!$C:$C,58+1)="","",INDEX(Data_Checks!$C:$C,58+1))</f>
        <v/>
      </c>
      <c r="D62" s="16">
        <f>IF(INDEX(Data_Checks!$D:$D,58+1)="","",INDEX(Data_Checks!$D:$D,58+1))</f>
        <v/>
      </c>
      <c r="E62" s="16">
        <f>IF(INDEX(Data_Checks!$E:$E,58+1)="","",INDEX(Data_Checks!$E:$E,58+1))</f>
        <v/>
      </c>
      <c r="F62" s="17">
        <f>IF(INDEX(Data_Checks!$F:$F,58+1)="","",INDEX(Data_Checks!$F:$F,58+1))</f>
        <v/>
      </c>
      <c r="G62" s="2">
        <f>IF(INDEX(Data_Checks!$G:$G,58+1)="","",INDEX(Data_Checks!$G:$G,58+1))</f>
        <v/>
      </c>
      <c r="H62" s="3">
        <f>IF(INDEX(Data_Checks!$H:$H,58+1)="","",INDEX(Data_Checks!$H:$H,58+1))</f>
        <v/>
      </c>
      <c r="I62" s="18" t="n"/>
      <c r="J62" s="18" t="n"/>
      <c r="K62" s="18" t="n"/>
      <c r="L62" s="18" t="n"/>
    </row>
    <row r="63">
      <c r="A63" s="3">
        <f>IF(INDEX(Data_Checks!$A:$A,59+1)="","",INDEX(Data_Checks!$A:$A,59+1))</f>
        <v/>
      </c>
      <c r="B63" s="3">
        <f>IF(INDEX(Data_Checks!$B:$B,59+1)="","",INDEX(Data_Checks!$B:$B,59+1))</f>
        <v/>
      </c>
      <c r="C63" s="3">
        <f>IF(INDEX(Data_Checks!$C:$C,59+1)="","",INDEX(Data_Checks!$C:$C,59+1))</f>
        <v/>
      </c>
      <c r="D63" s="16">
        <f>IF(INDEX(Data_Checks!$D:$D,59+1)="","",INDEX(Data_Checks!$D:$D,59+1))</f>
        <v/>
      </c>
      <c r="E63" s="16">
        <f>IF(INDEX(Data_Checks!$E:$E,59+1)="","",INDEX(Data_Checks!$E:$E,59+1))</f>
        <v/>
      </c>
      <c r="F63" s="17">
        <f>IF(INDEX(Data_Checks!$F:$F,59+1)="","",INDEX(Data_Checks!$F:$F,59+1))</f>
        <v/>
      </c>
      <c r="G63" s="2">
        <f>IF(INDEX(Data_Checks!$G:$G,59+1)="","",INDEX(Data_Checks!$G:$G,59+1))</f>
        <v/>
      </c>
      <c r="H63" s="3">
        <f>IF(INDEX(Data_Checks!$H:$H,59+1)="","",INDEX(Data_Checks!$H:$H,59+1))</f>
        <v/>
      </c>
      <c r="I63" s="18" t="n"/>
      <c r="J63" s="18" t="n"/>
      <c r="K63" s="18" t="n"/>
      <c r="L63" s="18" t="n"/>
    </row>
    <row r="64">
      <c r="A64" s="3">
        <f>IF(INDEX(Data_Checks!$A:$A,60+1)="","",INDEX(Data_Checks!$A:$A,60+1))</f>
        <v/>
      </c>
      <c r="B64" s="3">
        <f>IF(INDEX(Data_Checks!$B:$B,60+1)="","",INDEX(Data_Checks!$B:$B,60+1))</f>
        <v/>
      </c>
      <c r="C64" s="3">
        <f>IF(INDEX(Data_Checks!$C:$C,60+1)="","",INDEX(Data_Checks!$C:$C,60+1))</f>
        <v/>
      </c>
      <c r="D64" s="16">
        <f>IF(INDEX(Data_Checks!$D:$D,60+1)="","",INDEX(Data_Checks!$D:$D,60+1))</f>
        <v/>
      </c>
      <c r="E64" s="16">
        <f>IF(INDEX(Data_Checks!$E:$E,60+1)="","",INDEX(Data_Checks!$E:$E,60+1))</f>
        <v/>
      </c>
      <c r="F64" s="17">
        <f>IF(INDEX(Data_Checks!$F:$F,60+1)="","",INDEX(Data_Checks!$F:$F,60+1))</f>
        <v/>
      </c>
      <c r="G64" s="2">
        <f>IF(INDEX(Data_Checks!$G:$G,60+1)="","",INDEX(Data_Checks!$G:$G,60+1))</f>
        <v/>
      </c>
      <c r="H64" s="3">
        <f>IF(INDEX(Data_Checks!$H:$H,60+1)="","",INDEX(Data_Checks!$H:$H,60+1))</f>
        <v/>
      </c>
      <c r="I64" s="18" t="n"/>
      <c r="J64" s="18" t="n"/>
      <c r="K64" s="18" t="n"/>
      <c r="L64" s="18" t="n"/>
    </row>
    <row r="65">
      <c r="A65" s="3">
        <f>IF(INDEX(Data_Checks!$A:$A,61+1)="","",INDEX(Data_Checks!$A:$A,61+1))</f>
        <v/>
      </c>
      <c r="B65" s="3">
        <f>IF(INDEX(Data_Checks!$B:$B,61+1)="","",INDEX(Data_Checks!$B:$B,61+1))</f>
        <v/>
      </c>
      <c r="C65" s="3">
        <f>IF(INDEX(Data_Checks!$C:$C,61+1)="","",INDEX(Data_Checks!$C:$C,61+1))</f>
        <v/>
      </c>
      <c r="D65" s="16">
        <f>IF(INDEX(Data_Checks!$D:$D,61+1)="","",INDEX(Data_Checks!$D:$D,61+1))</f>
        <v/>
      </c>
      <c r="E65" s="16">
        <f>IF(INDEX(Data_Checks!$E:$E,61+1)="","",INDEX(Data_Checks!$E:$E,61+1))</f>
        <v/>
      </c>
      <c r="F65" s="17">
        <f>IF(INDEX(Data_Checks!$F:$F,61+1)="","",INDEX(Data_Checks!$F:$F,61+1))</f>
        <v/>
      </c>
      <c r="G65" s="2">
        <f>IF(INDEX(Data_Checks!$G:$G,61+1)="","",INDEX(Data_Checks!$G:$G,61+1))</f>
        <v/>
      </c>
      <c r="H65" s="3">
        <f>IF(INDEX(Data_Checks!$H:$H,61+1)="","",INDEX(Data_Checks!$H:$H,61+1))</f>
        <v/>
      </c>
      <c r="I65" s="18" t="n"/>
      <c r="J65" s="18" t="n"/>
      <c r="K65" s="18" t="n"/>
      <c r="L65" s="18" t="n"/>
    </row>
    <row r="66">
      <c r="A66" s="3">
        <f>IF(INDEX(Data_Checks!$A:$A,62+1)="","",INDEX(Data_Checks!$A:$A,62+1))</f>
        <v/>
      </c>
      <c r="B66" s="3">
        <f>IF(INDEX(Data_Checks!$B:$B,62+1)="","",INDEX(Data_Checks!$B:$B,62+1))</f>
        <v/>
      </c>
      <c r="C66" s="3">
        <f>IF(INDEX(Data_Checks!$C:$C,62+1)="","",INDEX(Data_Checks!$C:$C,62+1))</f>
        <v/>
      </c>
      <c r="D66" s="16">
        <f>IF(INDEX(Data_Checks!$D:$D,62+1)="","",INDEX(Data_Checks!$D:$D,62+1))</f>
        <v/>
      </c>
      <c r="E66" s="16">
        <f>IF(INDEX(Data_Checks!$E:$E,62+1)="","",INDEX(Data_Checks!$E:$E,62+1))</f>
        <v/>
      </c>
      <c r="F66" s="17">
        <f>IF(INDEX(Data_Checks!$F:$F,62+1)="","",INDEX(Data_Checks!$F:$F,62+1))</f>
        <v/>
      </c>
      <c r="G66" s="2">
        <f>IF(INDEX(Data_Checks!$G:$G,62+1)="","",INDEX(Data_Checks!$G:$G,62+1))</f>
        <v/>
      </c>
      <c r="H66" s="3">
        <f>IF(INDEX(Data_Checks!$H:$H,62+1)="","",INDEX(Data_Checks!$H:$H,62+1))</f>
        <v/>
      </c>
      <c r="I66" s="18" t="n"/>
      <c r="J66" s="18" t="n"/>
      <c r="K66" s="18" t="n"/>
      <c r="L66" s="18" t="n"/>
    </row>
    <row r="67">
      <c r="A67" s="3">
        <f>IF(INDEX(Data_Checks!$A:$A,63+1)="","",INDEX(Data_Checks!$A:$A,63+1))</f>
        <v/>
      </c>
      <c r="B67" s="3">
        <f>IF(INDEX(Data_Checks!$B:$B,63+1)="","",INDEX(Data_Checks!$B:$B,63+1))</f>
        <v/>
      </c>
      <c r="C67" s="3">
        <f>IF(INDEX(Data_Checks!$C:$C,63+1)="","",INDEX(Data_Checks!$C:$C,63+1))</f>
        <v/>
      </c>
      <c r="D67" s="16">
        <f>IF(INDEX(Data_Checks!$D:$D,63+1)="","",INDEX(Data_Checks!$D:$D,63+1))</f>
        <v/>
      </c>
      <c r="E67" s="16">
        <f>IF(INDEX(Data_Checks!$E:$E,63+1)="","",INDEX(Data_Checks!$E:$E,63+1))</f>
        <v/>
      </c>
      <c r="F67" s="17">
        <f>IF(INDEX(Data_Checks!$F:$F,63+1)="","",INDEX(Data_Checks!$F:$F,63+1))</f>
        <v/>
      </c>
      <c r="G67" s="2">
        <f>IF(INDEX(Data_Checks!$G:$G,63+1)="","",INDEX(Data_Checks!$G:$G,63+1))</f>
        <v/>
      </c>
      <c r="H67" s="3">
        <f>IF(INDEX(Data_Checks!$H:$H,63+1)="","",INDEX(Data_Checks!$H:$H,63+1))</f>
        <v/>
      </c>
      <c r="I67" s="18" t="n"/>
      <c r="J67" s="18" t="n"/>
      <c r="K67" s="18" t="n"/>
      <c r="L67" s="18" t="n"/>
    </row>
    <row r="68">
      <c r="A68" s="3">
        <f>IF(INDEX(Data_Checks!$A:$A,64+1)="","",INDEX(Data_Checks!$A:$A,64+1))</f>
        <v/>
      </c>
      <c r="B68" s="3">
        <f>IF(INDEX(Data_Checks!$B:$B,64+1)="","",INDEX(Data_Checks!$B:$B,64+1))</f>
        <v/>
      </c>
      <c r="C68" s="3">
        <f>IF(INDEX(Data_Checks!$C:$C,64+1)="","",INDEX(Data_Checks!$C:$C,64+1))</f>
        <v/>
      </c>
      <c r="D68" s="16">
        <f>IF(INDEX(Data_Checks!$D:$D,64+1)="","",INDEX(Data_Checks!$D:$D,64+1))</f>
        <v/>
      </c>
      <c r="E68" s="16">
        <f>IF(INDEX(Data_Checks!$E:$E,64+1)="","",INDEX(Data_Checks!$E:$E,64+1))</f>
        <v/>
      </c>
      <c r="F68" s="17">
        <f>IF(INDEX(Data_Checks!$F:$F,64+1)="","",INDEX(Data_Checks!$F:$F,64+1))</f>
        <v/>
      </c>
      <c r="G68" s="2">
        <f>IF(INDEX(Data_Checks!$G:$G,64+1)="","",INDEX(Data_Checks!$G:$G,64+1))</f>
        <v/>
      </c>
      <c r="H68" s="3">
        <f>IF(INDEX(Data_Checks!$H:$H,64+1)="","",INDEX(Data_Checks!$H:$H,64+1))</f>
        <v/>
      </c>
      <c r="I68" s="18" t="n"/>
      <c r="J68" s="18" t="n"/>
      <c r="K68" s="18" t="n"/>
      <c r="L68" s="18" t="n"/>
    </row>
    <row r="69">
      <c r="A69" s="3">
        <f>IF(INDEX(Data_Checks!$A:$A,65+1)="","",INDEX(Data_Checks!$A:$A,65+1))</f>
        <v/>
      </c>
      <c r="B69" s="3">
        <f>IF(INDEX(Data_Checks!$B:$B,65+1)="","",INDEX(Data_Checks!$B:$B,65+1))</f>
        <v/>
      </c>
      <c r="C69" s="3">
        <f>IF(INDEX(Data_Checks!$C:$C,65+1)="","",INDEX(Data_Checks!$C:$C,65+1))</f>
        <v/>
      </c>
      <c r="D69" s="16">
        <f>IF(INDEX(Data_Checks!$D:$D,65+1)="","",INDEX(Data_Checks!$D:$D,65+1))</f>
        <v/>
      </c>
      <c r="E69" s="16">
        <f>IF(INDEX(Data_Checks!$E:$E,65+1)="","",INDEX(Data_Checks!$E:$E,65+1))</f>
        <v/>
      </c>
      <c r="F69" s="17">
        <f>IF(INDEX(Data_Checks!$F:$F,65+1)="","",INDEX(Data_Checks!$F:$F,65+1))</f>
        <v/>
      </c>
      <c r="G69" s="2">
        <f>IF(INDEX(Data_Checks!$G:$G,65+1)="","",INDEX(Data_Checks!$G:$G,65+1))</f>
        <v/>
      </c>
      <c r="H69" s="3">
        <f>IF(INDEX(Data_Checks!$H:$H,65+1)="","",INDEX(Data_Checks!$H:$H,65+1))</f>
        <v/>
      </c>
      <c r="I69" s="18" t="n"/>
      <c r="J69" s="18" t="n"/>
      <c r="K69" s="18" t="n"/>
      <c r="L69" s="18" t="n"/>
    </row>
    <row r="70">
      <c r="A70" s="3">
        <f>IF(INDEX(Data_Checks!$A:$A,66+1)="","",INDEX(Data_Checks!$A:$A,66+1))</f>
        <v/>
      </c>
      <c r="B70" s="3">
        <f>IF(INDEX(Data_Checks!$B:$B,66+1)="","",INDEX(Data_Checks!$B:$B,66+1))</f>
        <v/>
      </c>
      <c r="C70" s="3">
        <f>IF(INDEX(Data_Checks!$C:$C,66+1)="","",INDEX(Data_Checks!$C:$C,66+1))</f>
        <v/>
      </c>
      <c r="D70" s="16">
        <f>IF(INDEX(Data_Checks!$D:$D,66+1)="","",INDEX(Data_Checks!$D:$D,66+1))</f>
        <v/>
      </c>
      <c r="E70" s="16">
        <f>IF(INDEX(Data_Checks!$E:$E,66+1)="","",INDEX(Data_Checks!$E:$E,66+1))</f>
        <v/>
      </c>
      <c r="F70" s="17">
        <f>IF(INDEX(Data_Checks!$F:$F,66+1)="","",INDEX(Data_Checks!$F:$F,66+1))</f>
        <v/>
      </c>
      <c r="G70" s="2">
        <f>IF(INDEX(Data_Checks!$G:$G,66+1)="","",INDEX(Data_Checks!$G:$G,66+1))</f>
        <v/>
      </c>
      <c r="H70" s="3">
        <f>IF(INDEX(Data_Checks!$H:$H,66+1)="","",INDEX(Data_Checks!$H:$H,66+1))</f>
        <v/>
      </c>
      <c r="I70" s="18" t="n"/>
      <c r="J70" s="18" t="n"/>
      <c r="K70" s="18" t="n"/>
      <c r="L70" s="18" t="n"/>
    </row>
    <row r="71">
      <c r="A71" s="3">
        <f>IF(INDEX(Data_Checks!$A:$A,67+1)="","",INDEX(Data_Checks!$A:$A,67+1))</f>
        <v/>
      </c>
      <c r="B71" s="3">
        <f>IF(INDEX(Data_Checks!$B:$B,67+1)="","",INDEX(Data_Checks!$B:$B,67+1))</f>
        <v/>
      </c>
      <c r="C71" s="3">
        <f>IF(INDEX(Data_Checks!$C:$C,67+1)="","",INDEX(Data_Checks!$C:$C,67+1))</f>
        <v/>
      </c>
      <c r="D71" s="16">
        <f>IF(INDEX(Data_Checks!$D:$D,67+1)="","",INDEX(Data_Checks!$D:$D,67+1))</f>
        <v/>
      </c>
      <c r="E71" s="16">
        <f>IF(INDEX(Data_Checks!$E:$E,67+1)="","",INDEX(Data_Checks!$E:$E,67+1))</f>
        <v/>
      </c>
      <c r="F71" s="17">
        <f>IF(INDEX(Data_Checks!$F:$F,67+1)="","",INDEX(Data_Checks!$F:$F,67+1))</f>
        <v/>
      </c>
      <c r="G71" s="2">
        <f>IF(INDEX(Data_Checks!$G:$G,67+1)="","",INDEX(Data_Checks!$G:$G,67+1))</f>
        <v/>
      </c>
      <c r="H71" s="3">
        <f>IF(INDEX(Data_Checks!$H:$H,67+1)="","",INDEX(Data_Checks!$H:$H,67+1))</f>
        <v/>
      </c>
      <c r="I71" s="18" t="n"/>
      <c r="J71" s="18" t="n"/>
      <c r="K71" s="18" t="n"/>
      <c r="L71" s="18" t="n"/>
    </row>
    <row r="72">
      <c r="A72" s="3">
        <f>IF(INDEX(Data_Checks!$A:$A,68+1)="","",INDEX(Data_Checks!$A:$A,68+1))</f>
        <v/>
      </c>
      <c r="B72" s="3">
        <f>IF(INDEX(Data_Checks!$B:$B,68+1)="","",INDEX(Data_Checks!$B:$B,68+1))</f>
        <v/>
      </c>
      <c r="C72" s="3">
        <f>IF(INDEX(Data_Checks!$C:$C,68+1)="","",INDEX(Data_Checks!$C:$C,68+1))</f>
        <v/>
      </c>
      <c r="D72" s="16">
        <f>IF(INDEX(Data_Checks!$D:$D,68+1)="","",INDEX(Data_Checks!$D:$D,68+1))</f>
        <v/>
      </c>
      <c r="E72" s="16">
        <f>IF(INDEX(Data_Checks!$E:$E,68+1)="","",INDEX(Data_Checks!$E:$E,68+1))</f>
        <v/>
      </c>
      <c r="F72" s="17">
        <f>IF(INDEX(Data_Checks!$F:$F,68+1)="","",INDEX(Data_Checks!$F:$F,68+1))</f>
        <v/>
      </c>
      <c r="G72" s="2">
        <f>IF(INDEX(Data_Checks!$G:$G,68+1)="","",INDEX(Data_Checks!$G:$G,68+1))</f>
        <v/>
      </c>
      <c r="H72" s="3">
        <f>IF(INDEX(Data_Checks!$H:$H,68+1)="","",INDEX(Data_Checks!$H:$H,68+1))</f>
        <v/>
      </c>
      <c r="I72" s="18" t="n"/>
      <c r="J72" s="18" t="n"/>
      <c r="K72" s="18" t="n"/>
      <c r="L72" s="18" t="n"/>
    </row>
    <row r="73">
      <c r="A73" s="3">
        <f>IF(INDEX(Data_Checks!$A:$A,69+1)="","",INDEX(Data_Checks!$A:$A,69+1))</f>
        <v/>
      </c>
      <c r="B73" s="3">
        <f>IF(INDEX(Data_Checks!$B:$B,69+1)="","",INDEX(Data_Checks!$B:$B,69+1))</f>
        <v/>
      </c>
      <c r="C73" s="3">
        <f>IF(INDEX(Data_Checks!$C:$C,69+1)="","",INDEX(Data_Checks!$C:$C,69+1))</f>
        <v/>
      </c>
      <c r="D73" s="16">
        <f>IF(INDEX(Data_Checks!$D:$D,69+1)="","",INDEX(Data_Checks!$D:$D,69+1))</f>
        <v/>
      </c>
      <c r="E73" s="16">
        <f>IF(INDEX(Data_Checks!$E:$E,69+1)="","",INDEX(Data_Checks!$E:$E,69+1))</f>
        <v/>
      </c>
      <c r="F73" s="17">
        <f>IF(INDEX(Data_Checks!$F:$F,69+1)="","",INDEX(Data_Checks!$F:$F,69+1))</f>
        <v/>
      </c>
      <c r="G73" s="2">
        <f>IF(INDEX(Data_Checks!$G:$G,69+1)="","",INDEX(Data_Checks!$G:$G,69+1))</f>
        <v/>
      </c>
      <c r="H73" s="3">
        <f>IF(INDEX(Data_Checks!$H:$H,69+1)="","",INDEX(Data_Checks!$H:$H,69+1))</f>
        <v/>
      </c>
      <c r="I73" s="18" t="n"/>
      <c r="J73" s="18" t="n"/>
      <c r="K73" s="18" t="n"/>
      <c r="L73" s="18" t="n"/>
    </row>
    <row r="74">
      <c r="A74" s="3">
        <f>IF(INDEX(Data_Checks!$A:$A,70+1)="","",INDEX(Data_Checks!$A:$A,70+1))</f>
        <v/>
      </c>
      <c r="B74" s="3">
        <f>IF(INDEX(Data_Checks!$B:$B,70+1)="","",INDEX(Data_Checks!$B:$B,70+1))</f>
        <v/>
      </c>
      <c r="C74" s="3">
        <f>IF(INDEX(Data_Checks!$C:$C,70+1)="","",INDEX(Data_Checks!$C:$C,70+1))</f>
        <v/>
      </c>
      <c r="D74" s="16">
        <f>IF(INDEX(Data_Checks!$D:$D,70+1)="","",INDEX(Data_Checks!$D:$D,70+1))</f>
        <v/>
      </c>
      <c r="E74" s="16">
        <f>IF(INDEX(Data_Checks!$E:$E,70+1)="","",INDEX(Data_Checks!$E:$E,70+1))</f>
        <v/>
      </c>
      <c r="F74" s="17">
        <f>IF(INDEX(Data_Checks!$F:$F,70+1)="","",INDEX(Data_Checks!$F:$F,70+1))</f>
        <v/>
      </c>
      <c r="G74" s="2">
        <f>IF(INDEX(Data_Checks!$G:$G,70+1)="","",INDEX(Data_Checks!$G:$G,70+1))</f>
        <v/>
      </c>
      <c r="H74" s="3">
        <f>IF(INDEX(Data_Checks!$H:$H,70+1)="","",INDEX(Data_Checks!$H:$H,70+1))</f>
        <v/>
      </c>
      <c r="I74" s="18" t="n"/>
      <c r="J74" s="18" t="n"/>
      <c r="K74" s="18" t="n"/>
      <c r="L74" s="18" t="n"/>
    </row>
    <row r="75">
      <c r="A75" s="3">
        <f>IF(INDEX(Data_Checks!$A:$A,71+1)="","",INDEX(Data_Checks!$A:$A,71+1))</f>
        <v/>
      </c>
      <c r="B75" s="3">
        <f>IF(INDEX(Data_Checks!$B:$B,71+1)="","",INDEX(Data_Checks!$B:$B,71+1))</f>
        <v/>
      </c>
      <c r="C75" s="3">
        <f>IF(INDEX(Data_Checks!$C:$C,71+1)="","",INDEX(Data_Checks!$C:$C,71+1))</f>
        <v/>
      </c>
      <c r="D75" s="16">
        <f>IF(INDEX(Data_Checks!$D:$D,71+1)="","",INDEX(Data_Checks!$D:$D,71+1))</f>
        <v/>
      </c>
      <c r="E75" s="16">
        <f>IF(INDEX(Data_Checks!$E:$E,71+1)="","",INDEX(Data_Checks!$E:$E,71+1))</f>
        <v/>
      </c>
      <c r="F75" s="17">
        <f>IF(INDEX(Data_Checks!$F:$F,71+1)="","",INDEX(Data_Checks!$F:$F,71+1))</f>
        <v/>
      </c>
      <c r="G75" s="2">
        <f>IF(INDEX(Data_Checks!$G:$G,71+1)="","",INDEX(Data_Checks!$G:$G,71+1))</f>
        <v/>
      </c>
      <c r="H75" s="3">
        <f>IF(INDEX(Data_Checks!$H:$H,71+1)="","",INDEX(Data_Checks!$H:$H,71+1))</f>
        <v/>
      </c>
      <c r="I75" s="18" t="n"/>
      <c r="J75" s="18" t="n"/>
      <c r="K75" s="18" t="n"/>
      <c r="L75" s="18" t="n"/>
    </row>
    <row r="76">
      <c r="A76" s="3">
        <f>IF(INDEX(Data_Checks!$A:$A,72+1)="","",INDEX(Data_Checks!$A:$A,72+1))</f>
        <v/>
      </c>
      <c r="B76" s="3">
        <f>IF(INDEX(Data_Checks!$B:$B,72+1)="","",INDEX(Data_Checks!$B:$B,72+1))</f>
        <v/>
      </c>
      <c r="C76" s="3">
        <f>IF(INDEX(Data_Checks!$C:$C,72+1)="","",INDEX(Data_Checks!$C:$C,72+1))</f>
        <v/>
      </c>
      <c r="D76" s="16">
        <f>IF(INDEX(Data_Checks!$D:$D,72+1)="","",INDEX(Data_Checks!$D:$D,72+1))</f>
        <v/>
      </c>
      <c r="E76" s="16">
        <f>IF(INDEX(Data_Checks!$E:$E,72+1)="","",INDEX(Data_Checks!$E:$E,72+1))</f>
        <v/>
      </c>
      <c r="F76" s="17">
        <f>IF(INDEX(Data_Checks!$F:$F,72+1)="","",INDEX(Data_Checks!$F:$F,72+1))</f>
        <v/>
      </c>
      <c r="G76" s="2">
        <f>IF(INDEX(Data_Checks!$G:$G,72+1)="","",INDEX(Data_Checks!$G:$G,72+1))</f>
        <v/>
      </c>
      <c r="H76" s="3">
        <f>IF(INDEX(Data_Checks!$H:$H,72+1)="","",INDEX(Data_Checks!$H:$H,72+1))</f>
        <v/>
      </c>
      <c r="I76" s="18" t="n"/>
      <c r="J76" s="18" t="n"/>
      <c r="K76" s="18" t="n"/>
      <c r="L76" s="18" t="n"/>
    </row>
    <row r="77">
      <c r="A77" s="3">
        <f>IF(INDEX(Data_Checks!$A:$A,73+1)="","",INDEX(Data_Checks!$A:$A,73+1))</f>
        <v/>
      </c>
      <c r="B77" s="3">
        <f>IF(INDEX(Data_Checks!$B:$B,73+1)="","",INDEX(Data_Checks!$B:$B,73+1))</f>
        <v/>
      </c>
      <c r="C77" s="3">
        <f>IF(INDEX(Data_Checks!$C:$C,73+1)="","",INDEX(Data_Checks!$C:$C,73+1))</f>
        <v/>
      </c>
      <c r="D77" s="16">
        <f>IF(INDEX(Data_Checks!$D:$D,73+1)="","",INDEX(Data_Checks!$D:$D,73+1))</f>
        <v/>
      </c>
      <c r="E77" s="16">
        <f>IF(INDEX(Data_Checks!$E:$E,73+1)="","",INDEX(Data_Checks!$E:$E,73+1))</f>
        <v/>
      </c>
      <c r="F77" s="17">
        <f>IF(INDEX(Data_Checks!$F:$F,73+1)="","",INDEX(Data_Checks!$F:$F,73+1))</f>
        <v/>
      </c>
      <c r="G77" s="2">
        <f>IF(INDEX(Data_Checks!$G:$G,73+1)="","",INDEX(Data_Checks!$G:$G,73+1))</f>
        <v/>
      </c>
      <c r="H77" s="3">
        <f>IF(INDEX(Data_Checks!$H:$H,73+1)="","",INDEX(Data_Checks!$H:$H,73+1))</f>
        <v/>
      </c>
      <c r="I77" s="18" t="n"/>
      <c r="J77" s="18" t="n"/>
      <c r="K77" s="18" t="n"/>
      <c r="L77" s="18" t="n"/>
    </row>
    <row r="78">
      <c r="A78" s="3">
        <f>IF(INDEX(Data_Checks!$A:$A,74+1)="","",INDEX(Data_Checks!$A:$A,74+1))</f>
        <v/>
      </c>
      <c r="B78" s="3">
        <f>IF(INDEX(Data_Checks!$B:$B,74+1)="","",INDEX(Data_Checks!$B:$B,74+1))</f>
        <v/>
      </c>
      <c r="C78" s="3">
        <f>IF(INDEX(Data_Checks!$C:$C,74+1)="","",INDEX(Data_Checks!$C:$C,74+1))</f>
        <v/>
      </c>
      <c r="D78" s="16">
        <f>IF(INDEX(Data_Checks!$D:$D,74+1)="","",INDEX(Data_Checks!$D:$D,74+1))</f>
        <v/>
      </c>
      <c r="E78" s="16">
        <f>IF(INDEX(Data_Checks!$E:$E,74+1)="","",INDEX(Data_Checks!$E:$E,74+1))</f>
        <v/>
      </c>
      <c r="F78" s="17">
        <f>IF(INDEX(Data_Checks!$F:$F,74+1)="","",INDEX(Data_Checks!$F:$F,74+1))</f>
        <v/>
      </c>
      <c r="G78" s="2">
        <f>IF(INDEX(Data_Checks!$G:$G,74+1)="","",INDEX(Data_Checks!$G:$G,74+1))</f>
        <v/>
      </c>
      <c r="H78" s="3">
        <f>IF(INDEX(Data_Checks!$H:$H,74+1)="","",INDEX(Data_Checks!$H:$H,74+1))</f>
        <v/>
      </c>
      <c r="I78" s="18" t="n"/>
      <c r="J78" s="18" t="n"/>
      <c r="K78" s="18" t="n"/>
      <c r="L78" s="18" t="n"/>
    </row>
    <row r="79">
      <c r="A79" s="3">
        <f>IF(INDEX(Data_Checks!$A:$A,75+1)="","",INDEX(Data_Checks!$A:$A,75+1))</f>
        <v/>
      </c>
      <c r="B79" s="3">
        <f>IF(INDEX(Data_Checks!$B:$B,75+1)="","",INDEX(Data_Checks!$B:$B,75+1))</f>
        <v/>
      </c>
      <c r="C79" s="3">
        <f>IF(INDEX(Data_Checks!$C:$C,75+1)="","",INDEX(Data_Checks!$C:$C,75+1))</f>
        <v/>
      </c>
      <c r="D79" s="16">
        <f>IF(INDEX(Data_Checks!$D:$D,75+1)="","",INDEX(Data_Checks!$D:$D,75+1))</f>
        <v/>
      </c>
      <c r="E79" s="16">
        <f>IF(INDEX(Data_Checks!$E:$E,75+1)="","",INDEX(Data_Checks!$E:$E,75+1))</f>
        <v/>
      </c>
      <c r="F79" s="17">
        <f>IF(INDEX(Data_Checks!$F:$F,75+1)="","",INDEX(Data_Checks!$F:$F,75+1))</f>
        <v/>
      </c>
      <c r="G79" s="2">
        <f>IF(INDEX(Data_Checks!$G:$G,75+1)="","",INDEX(Data_Checks!$G:$G,75+1))</f>
        <v/>
      </c>
      <c r="H79" s="3">
        <f>IF(INDEX(Data_Checks!$H:$H,75+1)="","",INDEX(Data_Checks!$H:$H,75+1))</f>
        <v/>
      </c>
      <c r="I79" s="18" t="n"/>
      <c r="J79" s="18" t="n"/>
      <c r="K79" s="18" t="n"/>
      <c r="L79" s="18" t="n"/>
    </row>
    <row r="80">
      <c r="A80" s="3">
        <f>IF(INDEX(Data_Checks!$A:$A,76+1)="","",INDEX(Data_Checks!$A:$A,76+1))</f>
        <v/>
      </c>
      <c r="B80" s="3">
        <f>IF(INDEX(Data_Checks!$B:$B,76+1)="","",INDEX(Data_Checks!$B:$B,76+1))</f>
        <v/>
      </c>
      <c r="C80" s="3">
        <f>IF(INDEX(Data_Checks!$C:$C,76+1)="","",INDEX(Data_Checks!$C:$C,76+1))</f>
        <v/>
      </c>
      <c r="D80" s="16">
        <f>IF(INDEX(Data_Checks!$D:$D,76+1)="","",INDEX(Data_Checks!$D:$D,76+1))</f>
        <v/>
      </c>
      <c r="E80" s="16">
        <f>IF(INDEX(Data_Checks!$E:$E,76+1)="","",INDEX(Data_Checks!$E:$E,76+1))</f>
        <v/>
      </c>
      <c r="F80" s="17">
        <f>IF(INDEX(Data_Checks!$F:$F,76+1)="","",INDEX(Data_Checks!$F:$F,76+1))</f>
        <v/>
      </c>
      <c r="G80" s="2">
        <f>IF(INDEX(Data_Checks!$G:$G,76+1)="","",INDEX(Data_Checks!$G:$G,76+1))</f>
        <v/>
      </c>
      <c r="H80" s="3">
        <f>IF(INDEX(Data_Checks!$H:$H,76+1)="","",INDEX(Data_Checks!$H:$H,76+1))</f>
        <v/>
      </c>
      <c r="I80" s="18" t="n"/>
      <c r="J80" s="18" t="n"/>
      <c r="K80" s="18" t="n"/>
      <c r="L80" s="18" t="n"/>
    </row>
    <row r="81">
      <c r="A81" s="3">
        <f>IF(INDEX(Data_Checks!$A:$A,77+1)="","",INDEX(Data_Checks!$A:$A,77+1))</f>
        <v/>
      </c>
      <c r="B81" s="3">
        <f>IF(INDEX(Data_Checks!$B:$B,77+1)="","",INDEX(Data_Checks!$B:$B,77+1))</f>
        <v/>
      </c>
      <c r="C81" s="3">
        <f>IF(INDEX(Data_Checks!$C:$C,77+1)="","",INDEX(Data_Checks!$C:$C,77+1))</f>
        <v/>
      </c>
      <c r="D81" s="16">
        <f>IF(INDEX(Data_Checks!$D:$D,77+1)="","",INDEX(Data_Checks!$D:$D,77+1))</f>
        <v/>
      </c>
      <c r="E81" s="16">
        <f>IF(INDEX(Data_Checks!$E:$E,77+1)="","",INDEX(Data_Checks!$E:$E,77+1))</f>
        <v/>
      </c>
      <c r="F81" s="17">
        <f>IF(INDEX(Data_Checks!$F:$F,77+1)="","",INDEX(Data_Checks!$F:$F,77+1))</f>
        <v/>
      </c>
      <c r="G81" s="2">
        <f>IF(INDEX(Data_Checks!$G:$G,77+1)="","",INDEX(Data_Checks!$G:$G,77+1))</f>
        <v/>
      </c>
      <c r="H81" s="3">
        <f>IF(INDEX(Data_Checks!$H:$H,77+1)="","",INDEX(Data_Checks!$H:$H,77+1))</f>
        <v/>
      </c>
      <c r="I81" s="18" t="n"/>
      <c r="J81" s="18" t="n"/>
      <c r="K81" s="18" t="n"/>
      <c r="L81" s="18" t="n"/>
    </row>
    <row r="82">
      <c r="A82" s="3">
        <f>IF(INDEX(Data_Checks!$A:$A,78+1)="","",INDEX(Data_Checks!$A:$A,78+1))</f>
        <v/>
      </c>
      <c r="B82" s="3">
        <f>IF(INDEX(Data_Checks!$B:$B,78+1)="","",INDEX(Data_Checks!$B:$B,78+1))</f>
        <v/>
      </c>
      <c r="C82" s="3">
        <f>IF(INDEX(Data_Checks!$C:$C,78+1)="","",INDEX(Data_Checks!$C:$C,78+1))</f>
        <v/>
      </c>
      <c r="D82" s="16">
        <f>IF(INDEX(Data_Checks!$D:$D,78+1)="","",INDEX(Data_Checks!$D:$D,78+1))</f>
        <v/>
      </c>
      <c r="E82" s="16">
        <f>IF(INDEX(Data_Checks!$E:$E,78+1)="","",INDEX(Data_Checks!$E:$E,78+1))</f>
        <v/>
      </c>
      <c r="F82" s="17">
        <f>IF(INDEX(Data_Checks!$F:$F,78+1)="","",INDEX(Data_Checks!$F:$F,78+1))</f>
        <v/>
      </c>
      <c r="G82" s="2">
        <f>IF(INDEX(Data_Checks!$G:$G,78+1)="","",INDEX(Data_Checks!$G:$G,78+1))</f>
        <v/>
      </c>
      <c r="H82" s="3">
        <f>IF(INDEX(Data_Checks!$H:$H,78+1)="","",INDEX(Data_Checks!$H:$H,78+1))</f>
        <v/>
      </c>
      <c r="I82" s="18" t="n"/>
      <c r="J82" s="18" t="n"/>
      <c r="K82" s="18" t="n"/>
      <c r="L82" s="18" t="n"/>
    </row>
    <row r="83">
      <c r="A83" s="3">
        <f>IF(INDEX(Data_Checks!$A:$A,79+1)="","",INDEX(Data_Checks!$A:$A,79+1))</f>
        <v/>
      </c>
      <c r="B83" s="3">
        <f>IF(INDEX(Data_Checks!$B:$B,79+1)="","",INDEX(Data_Checks!$B:$B,79+1))</f>
        <v/>
      </c>
      <c r="C83" s="3">
        <f>IF(INDEX(Data_Checks!$C:$C,79+1)="","",INDEX(Data_Checks!$C:$C,79+1))</f>
        <v/>
      </c>
      <c r="D83" s="16">
        <f>IF(INDEX(Data_Checks!$D:$D,79+1)="","",INDEX(Data_Checks!$D:$D,79+1))</f>
        <v/>
      </c>
      <c r="E83" s="16">
        <f>IF(INDEX(Data_Checks!$E:$E,79+1)="","",INDEX(Data_Checks!$E:$E,79+1))</f>
        <v/>
      </c>
      <c r="F83" s="17">
        <f>IF(INDEX(Data_Checks!$F:$F,79+1)="","",INDEX(Data_Checks!$F:$F,79+1))</f>
        <v/>
      </c>
      <c r="G83" s="2">
        <f>IF(INDEX(Data_Checks!$G:$G,79+1)="","",INDEX(Data_Checks!$G:$G,79+1))</f>
        <v/>
      </c>
      <c r="H83" s="3">
        <f>IF(INDEX(Data_Checks!$H:$H,79+1)="","",INDEX(Data_Checks!$H:$H,79+1))</f>
        <v/>
      </c>
      <c r="I83" s="18" t="n"/>
      <c r="J83" s="18" t="n"/>
      <c r="K83" s="18" t="n"/>
      <c r="L83" s="18" t="n"/>
    </row>
    <row r="84">
      <c r="A84" s="3">
        <f>IF(INDEX(Data_Checks!$A:$A,80+1)="","",INDEX(Data_Checks!$A:$A,80+1))</f>
        <v/>
      </c>
      <c r="B84" s="3">
        <f>IF(INDEX(Data_Checks!$B:$B,80+1)="","",INDEX(Data_Checks!$B:$B,80+1))</f>
        <v/>
      </c>
      <c r="C84" s="3">
        <f>IF(INDEX(Data_Checks!$C:$C,80+1)="","",INDEX(Data_Checks!$C:$C,80+1))</f>
        <v/>
      </c>
      <c r="D84" s="16">
        <f>IF(INDEX(Data_Checks!$D:$D,80+1)="","",INDEX(Data_Checks!$D:$D,80+1))</f>
        <v/>
      </c>
      <c r="E84" s="16">
        <f>IF(INDEX(Data_Checks!$E:$E,80+1)="","",INDEX(Data_Checks!$E:$E,80+1))</f>
        <v/>
      </c>
      <c r="F84" s="17">
        <f>IF(INDEX(Data_Checks!$F:$F,80+1)="","",INDEX(Data_Checks!$F:$F,80+1))</f>
        <v/>
      </c>
      <c r="G84" s="2">
        <f>IF(INDEX(Data_Checks!$G:$G,80+1)="","",INDEX(Data_Checks!$G:$G,80+1))</f>
        <v/>
      </c>
      <c r="H84" s="3">
        <f>IF(INDEX(Data_Checks!$H:$H,80+1)="","",INDEX(Data_Checks!$H:$H,80+1))</f>
        <v/>
      </c>
      <c r="I84" s="18" t="n"/>
      <c r="J84" s="18" t="n"/>
      <c r="K84" s="18" t="n"/>
      <c r="L84" s="18" t="n"/>
    </row>
    <row r="85">
      <c r="A85" s="3">
        <f>IF(INDEX(Data_Checks!$A:$A,81+1)="","",INDEX(Data_Checks!$A:$A,81+1))</f>
        <v/>
      </c>
      <c r="B85" s="3">
        <f>IF(INDEX(Data_Checks!$B:$B,81+1)="","",INDEX(Data_Checks!$B:$B,81+1))</f>
        <v/>
      </c>
      <c r="C85" s="3">
        <f>IF(INDEX(Data_Checks!$C:$C,81+1)="","",INDEX(Data_Checks!$C:$C,81+1))</f>
        <v/>
      </c>
      <c r="D85" s="16">
        <f>IF(INDEX(Data_Checks!$D:$D,81+1)="","",INDEX(Data_Checks!$D:$D,81+1))</f>
        <v/>
      </c>
      <c r="E85" s="16">
        <f>IF(INDEX(Data_Checks!$E:$E,81+1)="","",INDEX(Data_Checks!$E:$E,81+1))</f>
        <v/>
      </c>
      <c r="F85" s="17">
        <f>IF(INDEX(Data_Checks!$F:$F,81+1)="","",INDEX(Data_Checks!$F:$F,81+1))</f>
        <v/>
      </c>
      <c r="G85" s="2">
        <f>IF(INDEX(Data_Checks!$G:$G,81+1)="","",INDEX(Data_Checks!$G:$G,81+1))</f>
        <v/>
      </c>
      <c r="H85" s="3">
        <f>IF(INDEX(Data_Checks!$H:$H,81+1)="","",INDEX(Data_Checks!$H:$H,81+1))</f>
        <v/>
      </c>
      <c r="I85" s="18" t="n"/>
      <c r="J85" s="18" t="n"/>
      <c r="K85" s="18" t="n"/>
      <c r="L85" s="18" t="n"/>
    </row>
    <row r="86">
      <c r="A86" s="3">
        <f>IF(INDEX(Data_Checks!$A:$A,82+1)="","",INDEX(Data_Checks!$A:$A,82+1))</f>
        <v/>
      </c>
      <c r="B86" s="3">
        <f>IF(INDEX(Data_Checks!$B:$B,82+1)="","",INDEX(Data_Checks!$B:$B,82+1))</f>
        <v/>
      </c>
      <c r="C86" s="3">
        <f>IF(INDEX(Data_Checks!$C:$C,82+1)="","",INDEX(Data_Checks!$C:$C,82+1))</f>
        <v/>
      </c>
      <c r="D86" s="16">
        <f>IF(INDEX(Data_Checks!$D:$D,82+1)="","",INDEX(Data_Checks!$D:$D,82+1))</f>
        <v/>
      </c>
      <c r="E86" s="16">
        <f>IF(INDEX(Data_Checks!$E:$E,82+1)="","",INDEX(Data_Checks!$E:$E,82+1))</f>
        <v/>
      </c>
      <c r="F86" s="17">
        <f>IF(INDEX(Data_Checks!$F:$F,82+1)="","",INDEX(Data_Checks!$F:$F,82+1))</f>
        <v/>
      </c>
      <c r="G86" s="2">
        <f>IF(INDEX(Data_Checks!$G:$G,82+1)="","",INDEX(Data_Checks!$G:$G,82+1))</f>
        <v/>
      </c>
      <c r="H86" s="3">
        <f>IF(INDEX(Data_Checks!$H:$H,82+1)="","",INDEX(Data_Checks!$H:$H,82+1))</f>
        <v/>
      </c>
      <c r="I86" s="18" t="n"/>
      <c r="J86" s="18" t="n"/>
      <c r="K86" s="18" t="n"/>
      <c r="L86" s="18" t="n"/>
    </row>
    <row r="87">
      <c r="A87" s="3">
        <f>IF(INDEX(Data_Checks!$A:$A,83+1)="","",INDEX(Data_Checks!$A:$A,83+1))</f>
        <v/>
      </c>
      <c r="B87" s="3">
        <f>IF(INDEX(Data_Checks!$B:$B,83+1)="","",INDEX(Data_Checks!$B:$B,83+1))</f>
        <v/>
      </c>
      <c r="C87" s="3">
        <f>IF(INDEX(Data_Checks!$C:$C,83+1)="","",INDEX(Data_Checks!$C:$C,83+1))</f>
        <v/>
      </c>
      <c r="D87" s="16">
        <f>IF(INDEX(Data_Checks!$D:$D,83+1)="","",INDEX(Data_Checks!$D:$D,83+1))</f>
        <v/>
      </c>
      <c r="E87" s="16">
        <f>IF(INDEX(Data_Checks!$E:$E,83+1)="","",INDEX(Data_Checks!$E:$E,83+1))</f>
        <v/>
      </c>
      <c r="F87" s="17">
        <f>IF(INDEX(Data_Checks!$F:$F,83+1)="","",INDEX(Data_Checks!$F:$F,83+1))</f>
        <v/>
      </c>
      <c r="G87" s="2">
        <f>IF(INDEX(Data_Checks!$G:$G,83+1)="","",INDEX(Data_Checks!$G:$G,83+1))</f>
        <v/>
      </c>
      <c r="H87" s="3">
        <f>IF(INDEX(Data_Checks!$H:$H,83+1)="","",INDEX(Data_Checks!$H:$H,83+1))</f>
        <v/>
      </c>
      <c r="I87" s="18" t="n"/>
      <c r="J87" s="18" t="n"/>
      <c r="K87" s="18" t="n"/>
      <c r="L87" s="18" t="n"/>
    </row>
    <row r="88">
      <c r="A88" s="3">
        <f>IF(INDEX(Data_Checks!$A:$A,84+1)="","",INDEX(Data_Checks!$A:$A,84+1))</f>
        <v/>
      </c>
      <c r="B88" s="3">
        <f>IF(INDEX(Data_Checks!$B:$B,84+1)="","",INDEX(Data_Checks!$B:$B,84+1))</f>
        <v/>
      </c>
      <c r="C88" s="3">
        <f>IF(INDEX(Data_Checks!$C:$C,84+1)="","",INDEX(Data_Checks!$C:$C,84+1))</f>
        <v/>
      </c>
      <c r="D88" s="16">
        <f>IF(INDEX(Data_Checks!$D:$D,84+1)="","",INDEX(Data_Checks!$D:$D,84+1))</f>
        <v/>
      </c>
      <c r="E88" s="16">
        <f>IF(INDEX(Data_Checks!$E:$E,84+1)="","",INDEX(Data_Checks!$E:$E,84+1))</f>
        <v/>
      </c>
      <c r="F88" s="17">
        <f>IF(INDEX(Data_Checks!$F:$F,84+1)="","",INDEX(Data_Checks!$F:$F,84+1))</f>
        <v/>
      </c>
      <c r="G88" s="2">
        <f>IF(INDEX(Data_Checks!$G:$G,84+1)="","",INDEX(Data_Checks!$G:$G,84+1))</f>
        <v/>
      </c>
      <c r="H88" s="3">
        <f>IF(INDEX(Data_Checks!$H:$H,84+1)="","",INDEX(Data_Checks!$H:$H,84+1))</f>
        <v/>
      </c>
      <c r="I88" s="18" t="n"/>
      <c r="J88" s="18" t="n"/>
      <c r="K88" s="18" t="n"/>
      <c r="L88" s="18" t="n"/>
    </row>
    <row r="89">
      <c r="A89" s="3">
        <f>IF(INDEX(Data_Checks!$A:$A,85+1)="","",INDEX(Data_Checks!$A:$A,85+1))</f>
        <v/>
      </c>
      <c r="B89" s="3">
        <f>IF(INDEX(Data_Checks!$B:$B,85+1)="","",INDEX(Data_Checks!$B:$B,85+1))</f>
        <v/>
      </c>
      <c r="C89" s="3">
        <f>IF(INDEX(Data_Checks!$C:$C,85+1)="","",INDEX(Data_Checks!$C:$C,85+1))</f>
        <v/>
      </c>
      <c r="D89" s="16">
        <f>IF(INDEX(Data_Checks!$D:$D,85+1)="","",INDEX(Data_Checks!$D:$D,85+1))</f>
        <v/>
      </c>
      <c r="E89" s="16">
        <f>IF(INDEX(Data_Checks!$E:$E,85+1)="","",INDEX(Data_Checks!$E:$E,85+1))</f>
        <v/>
      </c>
      <c r="F89" s="17">
        <f>IF(INDEX(Data_Checks!$F:$F,85+1)="","",INDEX(Data_Checks!$F:$F,85+1))</f>
        <v/>
      </c>
      <c r="G89" s="2">
        <f>IF(INDEX(Data_Checks!$G:$G,85+1)="","",INDEX(Data_Checks!$G:$G,85+1))</f>
        <v/>
      </c>
      <c r="H89" s="3">
        <f>IF(INDEX(Data_Checks!$H:$H,85+1)="","",INDEX(Data_Checks!$H:$H,85+1))</f>
        <v/>
      </c>
      <c r="I89" s="18" t="n"/>
      <c r="J89" s="18" t="n"/>
      <c r="K89" s="18" t="n"/>
      <c r="L89" s="18" t="n"/>
    </row>
    <row r="90">
      <c r="A90" s="3">
        <f>IF(INDEX(Data_Checks!$A:$A,86+1)="","",INDEX(Data_Checks!$A:$A,86+1))</f>
        <v/>
      </c>
      <c r="B90" s="3">
        <f>IF(INDEX(Data_Checks!$B:$B,86+1)="","",INDEX(Data_Checks!$B:$B,86+1))</f>
        <v/>
      </c>
      <c r="C90" s="3">
        <f>IF(INDEX(Data_Checks!$C:$C,86+1)="","",INDEX(Data_Checks!$C:$C,86+1))</f>
        <v/>
      </c>
      <c r="D90" s="16">
        <f>IF(INDEX(Data_Checks!$D:$D,86+1)="","",INDEX(Data_Checks!$D:$D,86+1))</f>
        <v/>
      </c>
      <c r="E90" s="16">
        <f>IF(INDEX(Data_Checks!$E:$E,86+1)="","",INDEX(Data_Checks!$E:$E,86+1))</f>
        <v/>
      </c>
      <c r="F90" s="17">
        <f>IF(INDEX(Data_Checks!$F:$F,86+1)="","",INDEX(Data_Checks!$F:$F,86+1))</f>
        <v/>
      </c>
      <c r="G90" s="2">
        <f>IF(INDEX(Data_Checks!$G:$G,86+1)="","",INDEX(Data_Checks!$G:$G,86+1))</f>
        <v/>
      </c>
      <c r="H90" s="3">
        <f>IF(INDEX(Data_Checks!$H:$H,86+1)="","",INDEX(Data_Checks!$H:$H,86+1))</f>
        <v/>
      </c>
      <c r="I90" s="18" t="n"/>
      <c r="J90" s="18" t="n"/>
      <c r="K90" s="18" t="n"/>
      <c r="L90" s="18" t="n"/>
    </row>
    <row r="91">
      <c r="A91" s="3">
        <f>IF(INDEX(Data_Checks!$A:$A,87+1)="","",INDEX(Data_Checks!$A:$A,87+1))</f>
        <v/>
      </c>
      <c r="B91" s="3">
        <f>IF(INDEX(Data_Checks!$B:$B,87+1)="","",INDEX(Data_Checks!$B:$B,87+1))</f>
        <v/>
      </c>
      <c r="C91" s="3">
        <f>IF(INDEX(Data_Checks!$C:$C,87+1)="","",INDEX(Data_Checks!$C:$C,87+1))</f>
        <v/>
      </c>
      <c r="D91" s="16">
        <f>IF(INDEX(Data_Checks!$D:$D,87+1)="","",INDEX(Data_Checks!$D:$D,87+1))</f>
        <v/>
      </c>
      <c r="E91" s="16">
        <f>IF(INDEX(Data_Checks!$E:$E,87+1)="","",INDEX(Data_Checks!$E:$E,87+1))</f>
        <v/>
      </c>
      <c r="F91" s="17">
        <f>IF(INDEX(Data_Checks!$F:$F,87+1)="","",INDEX(Data_Checks!$F:$F,87+1))</f>
        <v/>
      </c>
      <c r="G91" s="2">
        <f>IF(INDEX(Data_Checks!$G:$G,87+1)="","",INDEX(Data_Checks!$G:$G,87+1))</f>
        <v/>
      </c>
      <c r="H91" s="3">
        <f>IF(INDEX(Data_Checks!$H:$H,87+1)="","",INDEX(Data_Checks!$H:$H,87+1))</f>
        <v/>
      </c>
      <c r="I91" s="18" t="n"/>
      <c r="J91" s="18" t="n"/>
      <c r="K91" s="18" t="n"/>
      <c r="L91" s="18" t="n"/>
    </row>
    <row r="92">
      <c r="A92" s="3">
        <f>IF(INDEX(Data_Checks!$A:$A,88+1)="","",INDEX(Data_Checks!$A:$A,88+1))</f>
        <v/>
      </c>
      <c r="B92" s="3">
        <f>IF(INDEX(Data_Checks!$B:$B,88+1)="","",INDEX(Data_Checks!$B:$B,88+1))</f>
        <v/>
      </c>
      <c r="C92" s="3">
        <f>IF(INDEX(Data_Checks!$C:$C,88+1)="","",INDEX(Data_Checks!$C:$C,88+1))</f>
        <v/>
      </c>
      <c r="D92" s="16">
        <f>IF(INDEX(Data_Checks!$D:$D,88+1)="","",INDEX(Data_Checks!$D:$D,88+1))</f>
        <v/>
      </c>
      <c r="E92" s="16">
        <f>IF(INDEX(Data_Checks!$E:$E,88+1)="","",INDEX(Data_Checks!$E:$E,88+1))</f>
        <v/>
      </c>
      <c r="F92" s="17">
        <f>IF(INDEX(Data_Checks!$F:$F,88+1)="","",INDEX(Data_Checks!$F:$F,88+1))</f>
        <v/>
      </c>
      <c r="G92" s="2">
        <f>IF(INDEX(Data_Checks!$G:$G,88+1)="","",INDEX(Data_Checks!$G:$G,88+1))</f>
        <v/>
      </c>
      <c r="H92" s="3">
        <f>IF(INDEX(Data_Checks!$H:$H,88+1)="","",INDEX(Data_Checks!$H:$H,88+1))</f>
        <v/>
      </c>
      <c r="I92" s="18" t="n"/>
      <c r="J92" s="18" t="n"/>
      <c r="K92" s="18" t="n"/>
      <c r="L92" s="18" t="n"/>
    </row>
    <row r="93">
      <c r="A93" s="3">
        <f>IF(INDEX(Data_Checks!$A:$A,89+1)="","",INDEX(Data_Checks!$A:$A,89+1))</f>
        <v/>
      </c>
      <c r="B93" s="3">
        <f>IF(INDEX(Data_Checks!$B:$B,89+1)="","",INDEX(Data_Checks!$B:$B,89+1))</f>
        <v/>
      </c>
      <c r="C93" s="3">
        <f>IF(INDEX(Data_Checks!$C:$C,89+1)="","",INDEX(Data_Checks!$C:$C,89+1))</f>
        <v/>
      </c>
      <c r="D93" s="16">
        <f>IF(INDEX(Data_Checks!$D:$D,89+1)="","",INDEX(Data_Checks!$D:$D,89+1))</f>
        <v/>
      </c>
      <c r="E93" s="16">
        <f>IF(INDEX(Data_Checks!$E:$E,89+1)="","",INDEX(Data_Checks!$E:$E,89+1))</f>
        <v/>
      </c>
      <c r="F93" s="17">
        <f>IF(INDEX(Data_Checks!$F:$F,89+1)="","",INDEX(Data_Checks!$F:$F,89+1))</f>
        <v/>
      </c>
      <c r="G93" s="2">
        <f>IF(INDEX(Data_Checks!$G:$G,89+1)="","",INDEX(Data_Checks!$G:$G,89+1))</f>
        <v/>
      </c>
      <c r="H93" s="3">
        <f>IF(INDEX(Data_Checks!$H:$H,89+1)="","",INDEX(Data_Checks!$H:$H,89+1))</f>
        <v/>
      </c>
      <c r="I93" s="18" t="n"/>
      <c r="J93" s="18" t="n"/>
      <c r="K93" s="18" t="n"/>
      <c r="L93" s="18" t="n"/>
    </row>
    <row r="94">
      <c r="A94" s="3">
        <f>IF(INDEX(Data_Checks!$A:$A,90+1)="","",INDEX(Data_Checks!$A:$A,90+1))</f>
        <v/>
      </c>
      <c r="B94" s="3">
        <f>IF(INDEX(Data_Checks!$B:$B,90+1)="","",INDEX(Data_Checks!$B:$B,90+1))</f>
        <v/>
      </c>
      <c r="C94" s="3">
        <f>IF(INDEX(Data_Checks!$C:$C,90+1)="","",INDEX(Data_Checks!$C:$C,90+1))</f>
        <v/>
      </c>
      <c r="D94" s="16">
        <f>IF(INDEX(Data_Checks!$D:$D,90+1)="","",INDEX(Data_Checks!$D:$D,90+1))</f>
        <v/>
      </c>
      <c r="E94" s="16">
        <f>IF(INDEX(Data_Checks!$E:$E,90+1)="","",INDEX(Data_Checks!$E:$E,90+1))</f>
        <v/>
      </c>
      <c r="F94" s="17">
        <f>IF(INDEX(Data_Checks!$F:$F,90+1)="","",INDEX(Data_Checks!$F:$F,90+1))</f>
        <v/>
      </c>
      <c r="G94" s="2">
        <f>IF(INDEX(Data_Checks!$G:$G,90+1)="","",INDEX(Data_Checks!$G:$G,90+1))</f>
        <v/>
      </c>
      <c r="H94" s="3">
        <f>IF(INDEX(Data_Checks!$H:$H,90+1)="","",INDEX(Data_Checks!$H:$H,90+1))</f>
        <v/>
      </c>
      <c r="I94" s="18" t="n"/>
      <c r="J94" s="18" t="n"/>
      <c r="K94" s="18" t="n"/>
      <c r="L94" s="18" t="n"/>
    </row>
    <row r="95">
      <c r="A95" s="3">
        <f>IF(INDEX(Data_Checks!$A:$A,91+1)="","",INDEX(Data_Checks!$A:$A,91+1))</f>
        <v/>
      </c>
      <c r="B95" s="3">
        <f>IF(INDEX(Data_Checks!$B:$B,91+1)="","",INDEX(Data_Checks!$B:$B,91+1))</f>
        <v/>
      </c>
      <c r="C95" s="3">
        <f>IF(INDEX(Data_Checks!$C:$C,91+1)="","",INDEX(Data_Checks!$C:$C,91+1))</f>
        <v/>
      </c>
      <c r="D95" s="16">
        <f>IF(INDEX(Data_Checks!$D:$D,91+1)="","",INDEX(Data_Checks!$D:$D,91+1))</f>
        <v/>
      </c>
      <c r="E95" s="16">
        <f>IF(INDEX(Data_Checks!$E:$E,91+1)="","",INDEX(Data_Checks!$E:$E,91+1))</f>
        <v/>
      </c>
      <c r="F95" s="17">
        <f>IF(INDEX(Data_Checks!$F:$F,91+1)="","",INDEX(Data_Checks!$F:$F,91+1))</f>
        <v/>
      </c>
      <c r="G95" s="2">
        <f>IF(INDEX(Data_Checks!$G:$G,91+1)="","",INDEX(Data_Checks!$G:$G,91+1))</f>
        <v/>
      </c>
      <c r="H95" s="3">
        <f>IF(INDEX(Data_Checks!$H:$H,91+1)="","",INDEX(Data_Checks!$H:$H,91+1))</f>
        <v/>
      </c>
      <c r="I95" s="18" t="n"/>
      <c r="J95" s="18" t="n"/>
      <c r="K95" s="18" t="n"/>
      <c r="L95" s="18" t="n"/>
    </row>
    <row r="96">
      <c r="A96" s="3">
        <f>IF(INDEX(Data_Checks!$A:$A,92+1)="","",INDEX(Data_Checks!$A:$A,92+1))</f>
        <v/>
      </c>
      <c r="B96" s="3">
        <f>IF(INDEX(Data_Checks!$B:$B,92+1)="","",INDEX(Data_Checks!$B:$B,92+1))</f>
        <v/>
      </c>
      <c r="C96" s="3">
        <f>IF(INDEX(Data_Checks!$C:$C,92+1)="","",INDEX(Data_Checks!$C:$C,92+1))</f>
        <v/>
      </c>
      <c r="D96" s="16">
        <f>IF(INDEX(Data_Checks!$D:$D,92+1)="","",INDEX(Data_Checks!$D:$D,92+1))</f>
        <v/>
      </c>
      <c r="E96" s="16">
        <f>IF(INDEX(Data_Checks!$E:$E,92+1)="","",INDEX(Data_Checks!$E:$E,92+1))</f>
        <v/>
      </c>
      <c r="F96" s="17">
        <f>IF(INDEX(Data_Checks!$F:$F,92+1)="","",INDEX(Data_Checks!$F:$F,92+1))</f>
        <v/>
      </c>
      <c r="G96" s="2">
        <f>IF(INDEX(Data_Checks!$G:$G,92+1)="","",INDEX(Data_Checks!$G:$G,92+1))</f>
        <v/>
      </c>
      <c r="H96" s="3">
        <f>IF(INDEX(Data_Checks!$H:$H,92+1)="","",INDEX(Data_Checks!$H:$H,92+1))</f>
        <v/>
      </c>
      <c r="I96" s="18" t="n"/>
      <c r="J96" s="18" t="n"/>
      <c r="K96" s="18" t="n"/>
      <c r="L96" s="18" t="n"/>
    </row>
    <row r="97">
      <c r="A97" s="3">
        <f>IF(INDEX(Data_Checks!$A:$A,93+1)="","",INDEX(Data_Checks!$A:$A,93+1))</f>
        <v/>
      </c>
      <c r="B97" s="3">
        <f>IF(INDEX(Data_Checks!$B:$B,93+1)="","",INDEX(Data_Checks!$B:$B,93+1))</f>
        <v/>
      </c>
      <c r="C97" s="3">
        <f>IF(INDEX(Data_Checks!$C:$C,93+1)="","",INDEX(Data_Checks!$C:$C,93+1))</f>
        <v/>
      </c>
      <c r="D97" s="16">
        <f>IF(INDEX(Data_Checks!$D:$D,93+1)="","",INDEX(Data_Checks!$D:$D,93+1))</f>
        <v/>
      </c>
      <c r="E97" s="16">
        <f>IF(INDEX(Data_Checks!$E:$E,93+1)="","",INDEX(Data_Checks!$E:$E,93+1))</f>
        <v/>
      </c>
      <c r="F97" s="17">
        <f>IF(INDEX(Data_Checks!$F:$F,93+1)="","",INDEX(Data_Checks!$F:$F,93+1))</f>
        <v/>
      </c>
      <c r="G97" s="2">
        <f>IF(INDEX(Data_Checks!$G:$G,93+1)="","",INDEX(Data_Checks!$G:$G,93+1))</f>
        <v/>
      </c>
      <c r="H97" s="3">
        <f>IF(INDEX(Data_Checks!$H:$H,93+1)="","",INDEX(Data_Checks!$H:$H,93+1))</f>
        <v/>
      </c>
      <c r="I97" s="18" t="n"/>
      <c r="J97" s="18" t="n"/>
      <c r="K97" s="18" t="n"/>
      <c r="L97" s="18" t="n"/>
    </row>
    <row r="98">
      <c r="A98" s="3">
        <f>IF(INDEX(Data_Checks!$A:$A,94+1)="","",INDEX(Data_Checks!$A:$A,94+1))</f>
        <v/>
      </c>
      <c r="B98" s="3">
        <f>IF(INDEX(Data_Checks!$B:$B,94+1)="","",INDEX(Data_Checks!$B:$B,94+1))</f>
        <v/>
      </c>
      <c r="C98" s="3">
        <f>IF(INDEX(Data_Checks!$C:$C,94+1)="","",INDEX(Data_Checks!$C:$C,94+1))</f>
        <v/>
      </c>
      <c r="D98" s="16">
        <f>IF(INDEX(Data_Checks!$D:$D,94+1)="","",INDEX(Data_Checks!$D:$D,94+1))</f>
        <v/>
      </c>
      <c r="E98" s="16">
        <f>IF(INDEX(Data_Checks!$E:$E,94+1)="","",INDEX(Data_Checks!$E:$E,94+1))</f>
        <v/>
      </c>
      <c r="F98" s="17">
        <f>IF(INDEX(Data_Checks!$F:$F,94+1)="","",INDEX(Data_Checks!$F:$F,94+1))</f>
        <v/>
      </c>
      <c r="G98" s="2">
        <f>IF(INDEX(Data_Checks!$G:$G,94+1)="","",INDEX(Data_Checks!$G:$G,94+1))</f>
        <v/>
      </c>
      <c r="H98" s="3">
        <f>IF(INDEX(Data_Checks!$H:$H,94+1)="","",INDEX(Data_Checks!$H:$H,94+1))</f>
        <v/>
      </c>
      <c r="I98" s="18" t="n"/>
      <c r="J98" s="18" t="n"/>
      <c r="K98" s="18" t="n"/>
      <c r="L98" s="18" t="n"/>
    </row>
    <row r="99">
      <c r="A99" s="3">
        <f>IF(INDEX(Data_Checks!$A:$A,95+1)="","",INDEX(Data_Checks!$A:$A,95+1))</f>
        <v/>
      </c>
      <c r="B99" s="3">
        <f>IF(INDEX(Data_Checks!$B:$B,95+1)="","",INDEX(Data_Checks!$B:$B,95+1))</f>
        <v/>
      </c>
      <c r="C99" s="3">
        <f>IF(INDEX(Data_Checks!$C:$C,95+1)="","",INDEX(Data_Checks!$C:$C,95+1))</f>
        <v/>
      </c>
      <c r="D99" s="16">
        <f>IF(INDEX(Data_Checks!$D:$D,95+1)="","",INDEX(Data_Checks!$D:$D,95+1))</f>
        <v/>
      </c>
      <c r="E99" s="16">
        <f>IF(INDEX(Data_Checks!$E:$E,95+1)="","",INDEX(Data_Checks!$E:$E,95+1))</f>
        <v/>
      </c>
      <c r="F99" s="17">
        <f>IF(INDEX(Data_Checks!$F:$F,95+1)="","",INDEX(Data_Checks!$F:$F,95+1))</f>
        <v/>
      </c>
      <c r="G99" s="2">
        <f>IF(INDEX(Data_Checks!$G:$G,95+1)="","",INDEX(Data_Checks!$G:$G,95+1))</f>
        <v/>
      </c>
      <c r="H99" s="3">
        <f>IF(INDEX(Data_Checks!$H:$H,95+1)="","",INDEX(Data_Checks!$H:$H,95+1))</f>
        <v/>
      </c>
      <c r="I99" s="18" t="n"/>
      <c r="J99" s="18" t="n"/>
      <c r="K99" s="18" t="n"/>
      <c r="L99" s="18" t="n"/>
    </row>
    <row r="100">
      <c r="A100" s="3">
        <f>IF(INDEX(Data_Checks!$A:$A,96+1)="","",INDEX(Data_Checks!$A:$A,96+1))</f>
        <v/>
      </c>
      <c r="B100" s="3">
        <f>IF(INDEX(Data_Checks!$B:$B,96+1)="","",INDEX(Data_Checks!$B:$B,96+1))</f>
        <v/>
      </c>
      <c r="C100" s="3">
        <f>IF(INDEX(Data_Checks!$C:$C,96+1)="","",INDEX(Data_Checks!$C:$C,96+1))</f>
        <v/>
      </c>
      <c r="D100" s="16">
        <f>IF(INDEX(Data_Checks!$D:$D,96+1)="","",INDEX(Data_Checks!$D:$D,96+1))</f>
        <v/>
      </c>
      <c r="E100" s="16">
        <f>IF(INDEX(Data_Checks!$E:$E,96+1)="","",INDEX(Data_Checks!$E:$E,96+1))</f>
        <v/>
      </c>
      <c r="F100" s="17">
        <f>IF(INDEX(Data_Checks!$F:$F,96+1)="","",INDEX(Data_Checks!$F:$F,96+1))</f>
        <v/>
      </c>
      <c r="G100" s="2">
        <f>IF(INDEX(Data_Checks!$G:$G,96+1)="","",INDEX(Data_Checks!$G:$G,96+1))</f>
        <v/>
      </c>
      <c r="H100" s="3">
        <f>IF(INDEX(Data_Checks!$H:$H,96+1)="","",INDEX(Data_Checks!$H:$H,96+1))</f>
        <v/>
      </c>
      <c r="I100" s="18" t="n"/>
      <c r="J100" s="18" t="n"/>
      <c r="K100" s="18" t="n"/>
      <c r="L100" s="18" t="n"/>
    </row>
    <row r="101">
      <c r="A101" s="3">
        <f>IF(INDEX(Data_Checks!$A:$A,97+1)="","",INDEX(Data_Checks!$A:$A,97+1))</f>
        <v/>
      </c>
      <c r="B101" s="3">
        <f>IF(INDEX(Data_Checks!$B:$B,97+1)="","",INDEX(Data_Checks!$B:$B,97+1))</f>
        <v/>
      </c>
      <c r="C101" s="3">
        <f>IF(INDEX(Data_Checks!$C:$C,97+1)="","",INDEX(Data_Checks!$C:$C,97+1))</f>
        <v/>
      </c>
      <c r="D101" s="16">
        <f>IF(INDEX(Data_Checks!$D:$D,97+1)="","",INDEX(Data_Checks!$D:$D,97+1))</f>
        <v/>
      </c>
      <c r="E101" s="16">
        <f>IF(INDEX(Data_Checks!$E:$E,97+1)="","",INDEX(Data_Checks!$E:$E,97+1))</f>
        <v/>
      </c>
      <c r="F101" s="17">
        <f>IF(INDEX(Data_Checks!$F:$F,97+1)="","",INDEX(Data_Checks!$F:$F,97+1))</f>
        <v/>
      </c>
      <c r="G101" s="2">
        <f>IF(INDEX(Data_Checks!$G:$G,97+1)="","",INDEX(Data_Checks!$G:$G,97+1))</f>
        <v/>
      </c>
      <c r="H101" s="3">
        <f>IF(INDEX(Data_Checks!$H:$H,97+1)="","",INDEX(Data_Checks!$H:$H,97+1))</f>
        <v/>
      </c>
      <c r="I101" s="18" t="n"/>
      <c r="J101" s="18" t="n"/>
      <c r="K101" s="18" t="n"/>
      <c r="L101" s="18" t="n"/>
    </row>
    <row r="102">
      <c r="A102" s="3">
        <f>IF(INDEX(Data_Checks!$A:$A,98+1)="","",INDEX(Data_Checks!$A:$A,98+1))</f>
        <v/>
      </c>
      <c r="B102" s="3">
        <f>IF(INDEX(Data_Checks!$B:$B,98+1)="","",INDEX(Data_Checks!$B:$B,98+1))</f>
        <v/>
      </c>
      <c r="C102" s="3">
        <f>IF(INDEX(Data_Checks!$C:$C,98+1)="","",INDEX(Data_Checks!$C:$C,98+1))</f>
        <v/>
      </c>
      <c r="D102" s="16">
        <f>IF(INDEX(Data_Checks!$D:$D,98+1)="","",INDEX(Data_Checks!$D:$D,98+1))</f>
        <v/>
      </c>
      <c r="E102" s="16">
        <f>IF(INDEX(Data_Checks!$E:$E,98+1)="","",INDEX(Data_Checks!$E:$E,98+1))</f>
        <v/>
      </c>
      <c r="F102" s="17">
        <f>IF(INDEX(Data_Checks!$F:$F,98+1)="","",INDEX(Data_Checks!$F:$F,98+1))</f>
        <v/>
      </c>
      <c r="G102" s="2">
        <f>IF(INDEX(Data_Checks!$G:$G,98+1)="","",INDEX(Data_Checks!$G:$G,98+1))</f>
        <v/>
      </c>
      <c r="H102" s="3">
        <f>IF(INDEX(Data_Checks!$H:$H,98+1)="","",INDEX(Data_Checks!$H:$H,98+1))</f>
        <v/>
      </c>
      <c r="I102" s="18" t="n"/>
      <c r="J102" s="18" t="n"/>
      <c r="K102" s="18" t="n"/>
      <c r="L102" s="18" t="n"/>
    </row>
    <row r="103">
      <c r="A103" s="3">
        <f>IF(INDEX(Data_Checks!$A:$A,99+1)="","",INDEX(Data_Checks!$A:$A,99+1))</f>
        <v/>
      </c>
      <c r="B103" s="3">
        <f>IF(INDEX(Data_Checks!$B:$B,99+1)="","",INDEX(Data_Checks!$B:$B,99+1))</f>
        <v/>
      </c>
      <c r="C103" s="3">
        <f>IF(INDEX(Data_Checks!$C:$C,99+1)="","",INDEX(Data_Checks!$C:$C,99+1))</f>
        <v/>
      </c>
      <c r="D103" s="16">
        <f>IF(INDEX(Data_Checks!$D:$D,99+1)="","",INDEX(Data_Checks!$D:$D,99+1))</f>
        <v/>
      </c>
      <c r="E103" s="16">
        <f>IF(INDEX(Data_Checks!$E:$E,99+1)="","",INDEX(Data_Checks!$E:$E,99+1))</f>
        <v/>
      </c>
      <c r="F103" s="17">
        <f>IF(INDEX(Data_Checks!$F:$F,99+1)="","",INDEX(Data_Checks!$F:$F,99+1))</f>
        <v/>
      </c>
      <c r="G103" s="2">
        <f>IF(INDEX(Data_Checks!$G:$G,99+1)="","",INDEX(Data_Checks!$G:$G,99+1))</f>
        <v/>
      </c>
      <c r="H103" s="3">
        <f>IF(INDEX(Data_Checks!$H:$H,99+1)="","",INDEX(Data_Checks!$H:$H,99+1))</f>
        <v/>
      </c>
      <c r="I103" s="18" t="n"/>
      <c r="J103" s="18" t="n"/>
      <c r="K103" s="18" t="n"/>
      <c r="L103" s="18" t="n"/>
    </row>
    <row r="104">
      <c r="A104" s="3">
        <f>IF(INDEX(Data_Checks!$A:$A,100+1)="","",INDEX(Data_Checks!$A:$A,100+1))</f>
        <v/>
      </c>
      <c r="B104" s="3">
        <f>IF(INDEX(Data_Checks!$B:$B,100+1)="","",INDEX(Data_Checks!$B:$B,100+1))</f>
        <v/>
      </c>
      <c r="C104" s="3">
        <f>IF(INDEX(Data_Checks!$C:$C,100+1)="","",INDEX(Data_Checks!$C:$C,100+1))</f>
        <v/>
      </c>
      <c r="D104" s="16">
        <f>IF(INDEX(Data_Checks!$D:$D,100+1)="","",INDEX(Data_Checks!$D:$D,100+1))</f>
        <v/>
      </c>
      <c r="E104" s="16">
        <f>IF(INDEX(Data_Checks!$E:$E,100+1)="","",INDEX(Data_Checks!$E:$E,100+1))</f>
        <v/>
      </c>
      <c r="F104" s="17">
        <f>IF(INDEX(Data_Checks!$F:$F,100+1)="","",INDEX(Data_Checks!$F:$F,100+1))</f>
        <v/>
      </c>
      <c r="G104" s="2">
        <f>IF(INDEX(Data_Checks!$G:$G,100+1)="","",INDEX(Data_Checks!$G:$G,100+1))</f>
        <v/>
      </c>
      <c r="H104" s="3">
        <f>IF(INDEX(Data_Checks!$H:$H,100+1)="","",INDEX(Data_Checks!$H:$H,100+1))</f>
        <v/>
      </c>
      <c r="I104" s="18" t="n"/>
      <c r="J104" s="18" t="n"/>
      <c r="K104" s="18" t="n"/>
      <c r="L104" s="18" t="n"/>
    </row>
    <row r="105">
      <c r="A105" s="3">
        <f>IF(INDEX(Data_Checks!$A:$A,101+1)="","",INDEX(Data_Checks!$A:$A,101+1))</f>
        <v/>
      </c>
      <c r="B105" s="3">
        <f>IF(INDEX(Data_Checks!$B:$B,101+1)="","",INDEX(Data_Checks!$B:$B,101+1))</f>
        <v/>
      </c>
      <c r="C105" s="3">
        <f>IF(INDEX(Data_Checks!$C:$C,101+1)="","",INDEX(Data_Checks!$C:$C,101+1))</f>
        <v/>
      </c>
      <c r="D105" s="16">
        <f>IF(INDEX(Data_Checks!$D:$D,101+1)="","",INDEX(Data_Checks!$D:$D,101+1))</f>
        <v/>
      </c>
      <c r="E105" s="16">
        <f>IF(INDEX(Data_Checks!$E:$E,101+1)="","",INDEX(Data_Checks!$E:$E,101+1))</f>
        <v/>
      </c>
      <c r="F105" s="17">
        <f>IF(INDEX(Data_Checks!$F:$F,101+1)="","",INDEX(Data_Checks!$F:$F,101+1))</f>
        <v/>
      </c>
      <c r="G105" s="2">
        <f>IF(INDEX(Data_Checks!$G:$G,101+1)="","",INDEX(Data_Checks!$G:$G,101+1))</f>
        <v/>
      </c>
      <c r="H105" s="3">
        <f>IF(INDEX(Data_Checks!$H:$H,101+1)="","",INDEX(Data_Checks!$H:$H,101+1))</f>
        <v/>
      </c>
      <c r="I105" s="18" t="n"/>
      <c r="J105" s="18" t="n"/>
      <c r="K105" s="18" t="n"/>
      <c r="L105" s="18" t="n"/>
    </row>
    <row r="106">
      <c r="A106" s="3">
        <f>IF(INDEX(Data_Checks!$A:$A,102+1)="","",INDEX(Data_Checks!$A:$A,102+1))</f>
        <v/>
      </c>
      <c r="B106" s="3">
        <f>IF(INDEX(Data_Checks!$B:$B,102+1)="","",INDEX(Data_Checks!$B:$B,102+1))</f>
        <v/>
      </c>
      <c r="C106" s="3">
        <f>IF(INDEX(Data_Checks!$C:$C,102+1)="","",INDEX(Data_Checks!$C:$C,102+1))</f>
        <v/>
      </c>
      <c r="D106" s="16">
        <f>IF(INDEX(Data_Checks!$D:$D,102+1)="","",INDEX(Data_Checks!$D:$D,102+1))</f>
        <v/>
      </c>
      <c r="E106" s="16">
        <f>IF(INDEX(Data_Checks!$E:$E,102+1)="","",INDEX(Data_Checks!$E:$E,102+1))</f>
        <v/>
      </c>
      <c r="F106" s="17">
        <f>IF(INDEX(Data_Checks!$F:$F,102+1)="","",INDEX(Data_Checks!$F:$F,102+1))</f>
        <v/>
      </c>
      <c r="G106" s="2">
        <f>IF(INDEX(Data_Checks!$G:$G,102+1)="","",INDEX(Data_Checks!$G:$G,102+1))</f>
        <v/>
      </c>
      <c r="H106" s="3">
        <f>IF(INDEX(Data_Checks!$H:$H,102+1)="","",INDEX(Data_Checks!$H:$H,102+1))</f>
        <v/>
      </c>
      <c r="I106" s="18" t="n"/>
      <c r="J106" s="18" t="n"/>
      <c r="K106" s="18" t="n"/>
      <c r="L106" s="18" t="n"/>
    </row>
    <row r="107">
      <c r="A107" s="3">
        <f>IF(INDEX(Data_Checks!$A:$A,103+1)="","",INDEX(Data_Checks!$A:$A,103+1))</f>
        <v/>
      </c>
      <c r="B107" s="3">
        <f>IF(INDEX(Data_Checks!$B:$B,103+1)="","",INDEX(Data_Checks!$B:$B,103+1))</f>
        <v/>
      </c>
      <c r="C107" s="3">
        <f>IF(INDEX(Data_Checks!$C:$C,103+1)="","",INDEX(Data_Checks!$C:$C,103+1))</f>
        <v/>
      </c>
      <c r="D107" s="16">
        <f>IF(INDEX(Data_Checks!$D:$D,103+1)="","",INDEX(Data_Checks!$D:$D,103+1))</f>
        <v/>
      </c>
      <c r="E107" s="16">
        <f>IF(INDEX(Data_Checks!$E:$E,103+1)="","",INDEX(Data_Checks!$E:$E,103+1))</f>
        <v/>
      </c>
      <c r="F107" s="17">
        <f>IF(INDEX(Data_Checks!$F:$F,103+1)="","",INDEX(Data_Checks!$F:$F,103+1))</f>
        <v/>
      </c>
      <c r="G107" s="2">
        <f>IF(INDEX(Data_Checks!$G:$G,103+1)="","",INDEX(Data_Checks!$G:$G,103+1))</f>
        <v/>
      </c>
      <c r="H107" s="3">
        <f>IF(INDEX(Data_Checks!$H:$H,103+1)="","",INDEX(Data_Checks!$H:$H,103+1))</f>
        <v/>
      </c>
      <c r="I107" s="18" t="n"/>
      <c r="J107" s="18" t="n"/>
      <c r="K107" s="18" t="n"/>
      <c r="L107" s="18" t="n"/>
    </row>
    <row r="108">
      <c r="A108" s="3">
        <f>IF(INDEX(Data_Checks!$A:$A,104+1)="","",INDEX(Data_Checks!$A:$A,104+1))</f>
        <v/>
      </c>
      <c r="B108" s="3">
        <f>IF(INDEX(Data_Checks!$B:$B,104+1)="","",INDEX(Data_Checks!$B:$B,104+1))</f>
        <v/>
      </c>
      <c r="C108" s="3">
        <f>IF(INDEX(Data_Checks!$C:$C,104+1)="","",INDEX(Data_Checks!$C:$C,104+1))</f>
        <v/>
      </c>
      <c r="D108" s="16">
        <f>IF(INDEX(Data_Checks!$D:$D,104+1)="","",INDEX(Data_Checks!$D:$D,104+1))</f>
        <v/>
      </c>
      <c r="E108" s="16">
        <f>IF(INDEX(Data_Checks!$E:$E,104+1)="","",INDEX(Data_Checks!$E:$E,104+1))</f>
        <v/>
      </c>
      <c r="F108" s="17">
        <f>IF(INDEX(Data_Checks!$F:$F,104+1)="","",INDEX(Data_Checks!$F:$F,104+1))</f>
        <v/>
      </c>
      <c r="G108" s="2">
        <f>IF(INDEX(Data_Checks!$G:$G,104+1)="","",INDEX(Data_Checks!$G:$G,104+1))</f>
        <v/>
      </c>
      <c r="H108" s="3">
        <f>IF(INDEX(Data_Checks!$H:$H,104+1)="","",INDEX(Data_Checks!$H:$H,104+1))</f>
        <v/>
      </c>
      <c r="I108" s="18" t="n"/>
      <c r="J108" s="18" t="n"/>
      <c r="K108" s="18" t="n"/>
      <c r="L108" s="18" t="n"/>
    </row>
    <row r="109">
      <c r="A109" s="3">
        <f>IF(INDEX(Data_Checks!$A:$A,105+1)="","",INDEX(Data_Checks!$A:$A,105+1))</f>
        <v/>
      </c>
      <c r="B109" s="3">
        <f>IF(INDEX(Data_Checks!$B:$B,105+1)="","",INDEX(Data_Checks!$B:$B,105+1))</f>
        <v/>
      </c>
      <c r="C109" s="3">
        <f>IF(INDEX(Data_Checks!$C:$C,105+1)="","",INDEX(Data_Checks!$C:$C,105+1))</f>
        <v/>
      </c>
      <c r="D109" s="16">
        <f>IF(INDEX(Data_Checks!$D:$D,105+1)="","",INDEX(Data_Checks!$D:$D,105+1))</f>
        <v/>
      </c>
      <c r="E109" s="16">
        <f>IF(INDEX(Data_Checks!$E:$E,105+1)="","",INDEX(Data_Checks!$E:$E,105+1))</f>
        <v/>
      </c>
      <c r="F109" s="17">
        <f>IF(INDEX(Data_Checks!$F:$F,105+1)="","",INDEX(Data_Checks!$F:$F,105+1))</f>
        <v/>
      </c>
      <c r="G109" s="2">
        <f>IF(INDEX(Data_Checks!$G:$G,105+1)="","",INDEX(Data_Checks!$G:$G,105+1))</f>
        <v/>
      </c>
      <c r="H109" s="3">
        <f>IF(INDEX(Data_Checks!$H:$H,105+1)="","",INDEX(Data_Checks!$H:$H,105+1))</f>
        <v/>
      </c>
      <c r="I109" s="18" t="n"/>
      <c r="J109" s="18" t="n"/>
      <c r="K109" s="18" t="n"/>
      <c r="L109" s="18" t="n"/>
    </row>
    <row r="110">
      <c r="A110" s="3">
        <f>IF(INDEX(Data_Checks!$A:$A,106+1)="","",INDEX(Data_Checks!$A:$A,106+1))</f>
        <v/>
      </c>
      <c r="B110" s="3">
        <f>IF(INDEX(Data_Checks!$B:$B,106+1)="","",INDEX(Data_Checks!$B:$B,106+1))</f>
        <v/>
      </c>
      <c r="C110" s="3">
        <f>IF(INDEX(Data_Checks!$C:$C,106+1)="","",INDEX(Data_Checks!$C:$C,106+1))</f>
        <v/>
      </c>
      <c r="D110" s="16">
        <f>IF(INDEX(Data_Checks!$D:$D,106+1)="","",INDEX(Data_Checks!$D:$D,106+1))</f>
        <v/>
      </c>
      <c r="E110" s="16">
        <f>IF(INDEX(Data_Checks!$E:$E,106+1)="","",INDEX(Data_Checks!$E:$E,106+1))</f>
        <v/>
      </c>
      <c r="F110" s="17">
        <f>IF(INDEX(Data_Checks!$F:$F,106+1)="","",INDEX(Data_Checks!$F:$F,106+1))</f>
        <v/>
      </c>
      <c r="G110" s="2">
        <f>IF(INDEX(Data_Checks!$G:$G,106+1)="","",INDEX(Data_Checks!$G:$G,106+1))</f>
        <v/>
      </c>
      <c r="H110" s="3">
        <f>IF(INDEX(Data_Checks!$H:$H,106+1)="","",INDEX(Data_Checks!$H:$H,106+1))</f>
        <v/>
      </c>
      <c r="I110" s="18" t="n"/>
      <c r="J110" s="18" t="n"/>
      <c r="K110" s="18" t="n"/>
      <c r="L110" s="18" t="n"/>
    </row>
    <row r="111">
      <c r="A111" s="3">
        <f>IF(INDEX(Data_Checks!$A:$A,107+1)="","",INDEX(Data_Checks!$A:$A,107+1))</f>
        <v/>
      </c>
      <c r="B111" s="3">
        <f>IF(INDEX(Data_Checks!$B:$B,107+1)="","",INDEX(Data_Checks!$B:$B,107+1))</f>
        <v/>
      </c>
      <c r="C111" s="3">
        <f>IF(INDEX(Data_Checks!$C:$C,107+1)="","",INDEX(Data_Checks!$C:$C,107+1))</f>
        <v/>
      </c>
      <c r="D111" s="16">
        <f>IF(INDEX(Data_Checks!$D:$D,107+1)="","",INDEX(Data_Checks!$D:$D,107+1))</f>
        <v/>
      </c>
      <c r="E111" s="16">
        <f>IF(INDEX(Data_Checks!$E:$E,107+1)="","",INDEX(Data_Checks!$E:$E,107+1))</f>
        <v/>
      </c>
      <c r="F111" s="17">
        <f>IF(INDEX(Data_Checks!$F:$F,107+1)="","",INDEX(Data_Checks!$F:$F,107+1))</f>
        <v/>
      </c>
      <c r="G111" s="2">
        <f>IF(INDEX(Data_Checks!$G:$G,107+1)="","",INDEX(Data_Checks!$G:$G,107+1))</f>
        <v/>
      </c>
      <c r="H111" s="3">
        <f>IF(INDEX(Data_Checks!$H:$H,107+1)="","",INDEX(Data_Checks!$H:$H,107+1))</f>
        <v/>
      </c>
      <c r="I111" s="18" t="n"/>
      <c r="J111" s="18" t="n"/>
      <c r="K111" s="18" t="n"/>
      <c r="L111" s="18" t="n"/>
    </row>
    <row r="112">
      <c r="A112" s="3">
        <f>IF(INDEX(Data_Checks!$A:$A,108+1)="","",INDEX(Data_Checks!$A:$A,108+1))</f>
        <v/>
      </c>
      <c r="B112" s="3">
        <f>IF(INDEX(Data_Checks!$B:$B,108+1)="","",INDEX(Data_Checks!$B:$B,108+1))</f>
        <v/>
      </c>
      <c r="C112" s="3">
        <f>IF(INDEX(Data_Checks!$C:$C,108+1)="","",INDEX(Data_Checks!$C:$C,108+1))</f>
        <v/>
      </c>
      <c r="D112" s="16">
        <f>IF(INDEX(Data_Checks!$D:$D,108+1)="","",INDEX(Data_Checks!$D:$D,108+1))</f>
        <v/>
      </c>
      <c r="E112" s="16">
        <f>IF(INDEX(Data_Checks!$E:$E,108+1)="","",INDEX(Data_Checks!$E:$E,108+1))</f>
        <v/>
      </c>
      <c r="F112" s="17">
        <f>IF(INDEX(Data_Checks!$F:$F,108+1)="","",INDEX(Data_Checks!$F:$F,108+1))</f>
        <v/>
      </c>
      <c r="G112" s="2">
        <f>IF(INDEX(Data_Checks!$G:$G,108+1)="","",INDEX(Data_Checks!$G:$G,108+1))</f>
        <v/>
      </c>
      <c r="H112" s="3">
        <f>IF(INDEX(Data_Checks!$H:$H,108+1)="","",INDEX(Data_Checks!$H:$H,108+1))</f>
        <v/>
      </c>
      <c r="I112" s="18" t="n"/>
      <c r="J112" s="18" t="n"/>
      <c r="K112" s="18" t="n"/>
      <c r="L112" s="18" t="n"/>
    </row>
    <row r="113">
      <c r="A113" s="3">
        <f>IF(INDEX(Data_Checks!$A:$A,109+1)="","",INDEX(Data_Checks!$A:$A,109+1))</f>
        <v/>
      </c>
      <c r="B113" s="3">
        <f>IF(INDEX(Data_Checks!$B:$B,109+1)="","",INDEX(Data_Checks!$B:$B,109+1))</f>
        <v/>
      </c>
      <c r="C113" s="3">
        <f>IF(INDEX(Data_Checks!$C:$C,109+1)="","",INDEX(Data_Checks!$C:$C,109+1))</f>
        <v/>
      </c>
      <c r="D113" s="16">
        <f>IF(INDEX(Data_Checks!$D:$D,109+1)="","",INDEX(Data_Checks!$D:$D,109+1))</f>
        <v/>
      </c>
      <c r="E113" s="16">
        <f>IF(INDEX(Data_Checks!$E:$E,109+1)="","",INDEX(Data_Checks!$E:$E,109+1))</f>
        <v/>
      </c>
      <c r="F113" s="17">
        <f>IF(INDEX(Data_Checks!$F:$F,109+1)="","",INDEX(Data_Checks!$F:$F,109+1))</f>
        <v/>
      </c>
      <c r="G113" s="2">
        <f>IF(INDEX(Data_Checks!$G:$G,109+1)="","",INDEX(Data_Checks!$G:$G,109+1))</f>
        <v/>
      </c>
      <c r="H113" s="3">
        <f>IF(INDEX(Data_Checks!$H:$H,109+1)="","",INDEX(Data_Checks!$H:$H,109+1))</f>
        <v/>
      </c>
      <c r="I113" s="18" t="n"/>
      <c r="J113" s="18" t="n"/>
      <c r="K113" s="18" t="n"/>
      <c r="L113" s="18" t="n"/>
    </row>
    <row r="114">
      <c r="A114" s="3">
        <f>IF(INDEX(Data_Checks!$A:$A,110+1)="","",INDEX(Data_Checks!$A:$A,110+1))</f>
        <v/>
      </c>
      <c r="B114" s="3">
        <f>IF(INDEX(Data_Checks!$B:$B,110+1)="","",INDEX(Data_Checks!$B:$B,110+1))</f>
        <v/>
      </c>
      <c r="C114" s="3">
        <f>IF(INDEX(Data_Checks!$C:$C,110+1)="","",INDEX(Data_Checks!$C:$C,110+1))</f>
        <v/>
      </c>
      <c r="D114" s="16">
        <f>IF(INDEX(Data_Checks!$D:$D,110+1)="","",INDEX(Data_Checks!$D:$D,110+1))</f>
        <v/>
      </c>
      <c r="E114" s="16">
        <f>IF(INDEX(Data_Checks!$E:$E,110+1)="","",INDEX(Data_Checks!$E:$E,110+1))</f>
        <v/>
      </c>
      <c r="F114" s="17">
        <f>IF(INDEX(Data_Checks!$F:$F,110+1)="","",INDEX(Data_Checks!$F:$F,110+1))</f>
        <v/>
      </c>
      <c r="G114" s="2">
        <f>IF(INDEX(Data_Checks!$G:$G,110+1)="","",INDEX(Data_Checks!$G:$G,110+1))</f>
        <v/>
      </c>
      <c r="H114" s="3">
        <f>IF(INDEX(Data_Checks!$H:$H,110+1)="","",INDEX(Data_Checks!$H:$H,110+1))</f>
        <v/>
      </c>
      <c r="I114" s="18" t="n"/>
      <c r="J114" s="18" t="n"/>
      <c r="K114" s="18" t="n"/>
      <c r="L114" s="18" t="n"/>
    </row>
    <row r="115">
      <c r="A115" s="3">
        <f>IF(INDEX(Data_Checks!$A:$A,111+1)="","",INDEX(Data_Checks!$A:$A,111+1))</f>
        <v/>
      </c>
      <c r="B115" s="3">
        <f>IF(INDEX(Data_Checks!$B:$B,111+1)="","",INDEX(Data_Checks!$B:$B,111+1))</f>
        <v/>
      </c>
      <c r="C115" s="3">
        <f>IF(INDEX(Data_Checks!$C:$C,111+1)="","",INDEX(Data_Checks!$C:$C,111+1))</f>
        <v/>
      </c>
      <c r="D115" s="16">
        <f>IF(INDEX(Data_Checks!$D:$D,111+1)="","",INDEX(Data_Checks!$D:$D,111+1))</f>
        <v/>
      </c>
      <c r="E115" s="16">
        <f>IF(INDEX(Data_Checks!$E:$E,111+1)="","",INDEX(Data_Checks!$E:$E,111+1))</f>
        <v/>
      </c>
      <c r="F115" s="17">
        <f>IF(INDEX(Data_Checks!$F:$F,111+1)="","",INDEX(Data_Checks!$F:$F,111+1))</f>
        <v/>
      </c>
      <c r="G115" s="2">
        <f>IF(INDEX(Data_Checks!$G:$G,111+1)="","",INDEX(Data_Checks!$G:$G,111+1))</f>
        <v/>
      </c>
      <c r="H115" s="3">
        <f>IF(INDEX(Data_Checks!$H:$H,111+1)="","",INDEX(Data_Checks!$H:$H,111+1))</f>
        <v/>
      </c>
      <c r="I115" s="18" t="n"/>
      <c r="J115" s="18" t="n"/>
      <c r="K115" s="18" t="n"/>
      <c r="L115" s="18" t="n"/>
    </row>
    <row r="116">
      <c r="A116" s="3">
        <f>IF(INDEX(Data_Checks!$A:$A,112+1)="","",INDEX(Data_Checks!$A:$A,112+1))</f>
        <v/>
      </c>
      <c r="B116" s="3">
        <f>IF(INDEX(Data_Checks!$B:$B,112+1)="","",INDEX(Data_Checks!$B:$B,112+1))</f>
        <v/>
      </c>
      <c r="C116" s="3">
        <f>IF(INDEX(Data_Checks!$C:$C,112+1)="","",INDEX(Data_Checks!$C:$C,112+1))</f>
        <v/>
      </c>
      <c r="D116" s="16">
        <f>IF(INDEX(Data_Checks!$D:$D,112+1)="","",INDEX(Data_Checks!$D:$D,112+1))</f>
        <v/>
      </c>
      <c r="E116" s="16">
        <f>IF(INDEX(Data_Checks!$E:$E,112+1)="","",INDEX(Data_Checks!$E:$E,112+1))</f>
        <v/>
      </c>
      <c r="F116" s="17">
        <f>IF(INDEX(Data_Checks!$F:$F,112+1)="","",INDEX(Data_Checks!$F:$F,112+1))</f>
        <v/>
      </c>
      <c r="G116" s="2">
        <f>IF(INDEX(Data_Checks!$G:$G,112+1)="","",INDEX(Data_Checks!$G:$G,112+1))</f>
        <v/>
      </c>
      <c r="H116" s="3">
        <f>IF(INDEX(Data_Checks!$H:$H,112+1)="","",INDEX(Data_Checks!$H:$H,112+1))</f>
        <v/>
      </c>
      <c r="I116" s="18" t="n"/>
      <c r="J116" s="18" t="n"/>
      <c r="K116" s="18" t="n"/>
      <c r="L116" s="18" t="n"/>
    </row>
    <row r="117">
      <c r="A117" s="3">
        <f>IF(INDEX(Data_Checks!$A:$A,113+1)="","",INDEX(Data_Checks!$A:$A,113+1))</f>
        <v/>
      </c>
      <c r="B117" s="3">
        <f>IF(INDEX(Data_Checks!$B:$B,113+1)="","",INDEX(Data_Checks!$B:$B,113+1))</f>
        <v/>
      </c>
      <c r="C117" s="3">
        <f>IF(INDEX(Data_Checks!$C:$C,113+1)="","",INDEX(Data_Checks!$C:$C,113+1))</f>
        <v/>
      </c>
      <c r="D117" s="16">
        <f>IF(INDEX(Data_Checks!$D:$D,113+1)="","",INDEX(Data_Checks!$D:$D,113+1))</f>
        <v/>
      </c>
      <c r="E117" s="16">
        <f>IF(INDEX(Data_Checks!$E:$E,113+1)="","",INDEX(Data_Checks!$E:$E,113+1))</f>
        <v/>
      </c>
      <c r="F117" s="17">
        <f>IF(INDEX(Data_Checks!$F:$F,113+1)="","",INDEX(Data_Checks!$F:$F,113+1))</f>
        <v/>
      </c>
      <c r="G117" s="2">
        <f>IF(INDEX(Data_Checks!$G:$G,113+1)="","",INDEX(Data_Checks!$G:$G,113+1))</f>
        <v/>
      </c>
      <c r="H117" s="3">
        <f>IF(INDEX(Data_Checks!$H:$H,113+1)="","",INDEX(Data_Checks!$H:$H,113+1))</f>
        <v/>
      </c>
      <c r="I117" s="18" t="n"/>
      <c r="J117" s="18" t="n"/>
      <c r="K117" s="18" t="n"/>
      <c r="L117" s="18" t="n"/>
    </row>
    <row r="118">
      <c r="A118" s="3">
        <f>IF(INDEX(Data_Checks!$A:$A,114+1)="","",INDEX(Data_Checks!$A:$A,114+1))</f>
        <v/>
      </c>
      <c r="B118" s="3">
        <f>IF(INDEX(Data_Checks!$B:$B,114+1)="","",INDEX(Data_Checks!$B:$B,114+1))</f>
        <v/>
      </c>
      <c r="C118" s="3">
        <f>IF(INDEX(Data_Checks!$C:$C,114+1)="","",INDEX(Data_Checks!$C:$C,114+1))</f>
        <v/>
      </c>
      <c r="D118" s="16">
        <f>IF(INDEX(Data_Checks!$D:$D,114+1)="","",INDEX(Data_Checks!$D:$D,114+1))</f>
        <v/>
      </c>
      <c r="E118" s="16">
        <f>IF(INDEX(Data_Checks!$E:$E,114+1)="","",INDEX(Data_Checks!$E:$E,114+1))</f>
        <v/>
      </c>
      <c r="F118" s="17">
        <f>IF(INDEX(Data_Checks!$F:$F,114+1)="","",INDEX(Data_Checks!$F:$F,114+1))</f>
        <v/>
      </c>
      <c r="G118" s="2">
        <f>IF(INDEX(Data_Checks!$G:$G,114+1)="","",INDEX(Data_Checks!$G:$G,114+1))</f>
        <v/>
      </c>
      <c r="H118" s="3">
        <f>IF(INDEX(Data_Checks!$H:$H,114+1)="","",INDEX(Data_Checks!$H:$H,114+1))</f>
        <v/>
      </c>
      <c r="I118" s="18" t="n"/>
      <c r="J118" s="18" t="n"/>
      <c r="K118" s="18" t="n"/>
      <c r="L118" s="18" t="n"/>
    </row>
    <row r="119">
      <c r="A119" s="3">
        <f>IF(INDEX(Data_Checks!$A:$A,115+1)="","",INDEX(Data_Checks!$A:$A,115+1))</f>
        <v/>
      </c>
      <c r="B119" s="3">
        <f>IF(INDEX(Data_Checks!$B:$B,115+1)="","",INDEX(Data_Checks!$B:$B,115+1))</f>
        <v/>
      </c>
      <c r="C119" s="3">
        <f>IF(INDEX(Data_Checks!$C:$C,115+1)="","",INDEX(Data_Checks!$C:$C,115+1))</f>
        <v/>
      </c>
      <c r="D119" s="16">
        <f>IF(INDEX(Data_Checks!$D:$D,115+1)="","",INDEX(Data_Checks!$D:$D,115+1))</f>
        <v/>
      </c>
      <c r="E119" s="16">
        <f>IF(INDEX(Data_Checks!$E:$E,115+1)="","",INDEX(Data_Checks!$E:$E,115+1))</f>
        <v/>
      </c>
      <c r="F119" s="17">
        <f>IF(INDEX(Data_Checks!$F:$F,115+1)="","",INDEX(Data_Checks!$F:$F,115+1))</f>
        <v/>
      </c>
      <c r="G119" s="2">
        <f>IF(INDEX(Data_Checks!$G:$G,115+1)="","",INDEX(Data_Checks!$G:$G,115+1))</f>
        <v/>
      </c>
      <c r="H119" s="3">
        <f>IF(INDEX(Data_Checks!$H:$H,115+1)="","",INDEX(Data_Checks!$H:$H,115+1))</f>
        <v/>
      </c>
      <c r="I119" s="18" t="n"/>
      <c r="J119" s="18" t="n"/>
      <c r="K119" s="18" t="n"/>
      <c r="L119" s="18" t="n"/>
    </row>
    <row r="120">
      <c r="A120" s="3">
        <f>IF(INDEX(Data_Checks!$A:$A,116+1)="","",INDEX(Data_Checks!$A:$A,116+1))</f>
        <v/>
      </c>
      <c r="B120" s="3">
        <f>IF(INDEX(Data_Checks!$B:$B,116+1)="","",INDEX(Data_Checks!$B:$B,116+1))</f>
        <v/>
      </c>
      <c r="C120" s="3">
        <f>IF(INDEX(Data_Checks!$C:$C,116+1)="","",INDEX(Data_Checks!$C:$C,116+1))</f>
        <v/>
      </c>
      <c r="D120" s="16">
        <f>IF(INDEX(Data_Checks!$D:$D,116+1)="","",INDEX(Data_Checks!$D:$D,116+1))</f>
        <v/>
      </c>
      <c r="E120" s="16">
        <f>IF(INDEX(Data_Checks!$E:$E,116+1)="","",INDEX(Data_Checks!$E:$E,116+1))</f>
        <v/>
      </c>
      <c r="F120" s="17">
        <f>IF(INDEX(Data_Checks!$F:$F,116+1)="","",INDEX(Data_Checks!$F:$F,116+1))</f>
        <v/>
      </c>
      <c r="G120" s="2">
        <f>IF(INDEX(Data_Checks!$G:$G,116+1)="","",INDEX(Data_Checks!$G:$G,116+1))</f>
        <v/>
      </c>
      <c r="H120" s="3">
        <f>IF(INDEX(Data_Checks!$H:$H,116+1)="","",INDEX(Data_Checks!$H:$H,116+1))</f>
        <v/>
      </c>
      <c r="I120" s="18" t="n"/>
      <c r="J120" s="18" t="n"/>
      <c r="K120" s="18" t="n"/>
      <c r="L120" s="18" t="n"/>
    </row>
    <row r="121">
      <c r="A121" s="3">
        <f>IF(INDEX(Data_Checks!$A:$A,117+1)="","",INDEX(Data_Checks!$A:$A,117+1))</f>
        <v/>
      </c>
      <c r="B121" s="3">
        <f>IF(INDEX(Data_Checks!$B:$B,117+1)="","",INDEX(Data_Checks!$B:$B,117+1))</f>
        <v/>
      </c>
      <c r="C121" s="3">
        <f>IF(INDEX(Data_Checks!$C:$C,117+1)="","",INDEX(Data_Checks!$C:$C,117+1))</f>
        <v/>
      </c>
      <c r="D121" s="16">
        <f>IF(INDEX(Data_Checks!$D:$D,117+1)="","",INDEX(Data_Checks!$D:$D,117+1))</f>
        <v/>
      </c>
      <c r="E121" s="16">
        <f>IF(INDEX(Data_Checks!$E:$E,117+1)="","",INDEX(Data_Checks!$E:$E,117+1))</f>
        <v/>
      </c>
      <c r="F121" s="17">
        <f>IF(INDEX(Data_Checks!$F:$F,117+1)="","",INDEX(Data_Checks!$F:$F,117+1))</f>
        <v/>
      </c>
      <c r="G121" s="2">
        <f>IF(INDEX(Data_Checks!$G:$G,117+1)="","",INDEX(Data_Checks!$G:$G,117+1))</f>
        <v/>
      </c>
      <c r="H121" s="3">
        <f>IF(INDEX(Data_Checks!$H:$H,117+1)="","",INDEX(Data_Checks!$H:$H,117+1))</f>
        <v/>
      </c>
      <c r="I121" s="18" t="n"/>
      <c r="J121" s="18" t="n"/>
      <c r="K121" s="18" t="n"/>
      <c r="L121" s="18" t="n"/>
    </row>
    <row r="122">
      <c r="A122" s="3">
        <f>IF(INDEX(Data_Checks!$A:$A,118+1)="","",INDEX(Data_Checks!$A:$A,118+1))</f>
        <v/>
      </c>
      <c r="B122" s="3">
        <f>IF(INDEX(Data_Checks!$B:$B,118+1)="","",INDEX(Data_Checks!$B:$B,118+1))</f>
        <v/>
      </c>
      <c r="C122" s="3">
        <f>IF(INDEX(Data_Checks!$C:$C,118+1)="","",INDEX(Data_Checks!$C:$C,118+1))</f>
        <v/>
      </c>
      <c r="D122" s="16">
        <f>IF(INDEX(Data_Checks!$D:$D,118+1)="","",INDEX(Data_Checks!$D:$D,118+1))</f>
        <v/>
      </c>
      <c r="E122" s="16">
        <f>IF(INDEX(Data_Checks!$E:$E,118+1)="","",INDEX(Data_Checks!$E:$E,118+1))</f>
        <v/>
      </c>
      <c r="F122" s="17">
        <f>IF(INDEX(Data_Checks!$F:$F,118+1)="","",INDEX(Data_Checks!$F:$F,118+1))</f>
        <v/>
      </c>
      <c r="G122" s="2">
        <f>IF(INDEX(Data_Checks!$G:$G,118+1)="","",INDEX(Data_Checks!$G:$G,118+1))</f>
        <v/>
      </c>
      <c r="H122" s="3">
        <f>IF(INDEX(Data_Checks!$H:$H,118+1)="","",INDEX(Data_Checks!$H:$H,118+1))</f>
        <v/>
      </c>
      <c r="I122" s="18" t="n"/>
      <c r="J122" s="18" t="n"/>
      <c r="K122" s="18" t="n"/>
      <c r="L122" s="18" t="n"/>
    </row>
    <row r="123">
      <c r="A123" s="3">
        <f>IF(INDEX(Data_Checks!$A:$A,119+1)="","",INDEX(Data_Checks!$A:$A,119+1))</f>
        <v/>
      </c>
      <c r="B123" s="3">
        <f>IF(INDEX(Data_Checks!$B:$B,119+1)="","",INDEX(Data_Checks!$B:$B,119+1))</f>
        <v/>
      </c>
      <c r="C123" s="3">
        <f>IF(INDEX(Data_Checks!$C:$C,119+1)="","",INDEX(Data_Checks!$C:$C,119+1))</f>
        <v/>
      </c>
      <c r="D123" s="16">
        <f>IF(INDEX(Data_Checks!$D:$D,119+1)="","",INDEX(Data_Checks!$D:$D,119+1))</f>
        <v/>
      </c>
      <c r="E123" s="16">
        <f>IF(INDEX(Data_Checks!$E:$E,119+1)="","",INDEX(Data_Checks!$E:$E,119+1))</f>
        <v/>
      </c>
      <c r="F123" s="17">
        <f>IF(INDEX(Data_Checks!$F:$F,119+1)="","",INDEX(Data_Checks!$F:$F,119+1))</f>
        <v/>
      </c>
      <c r="G123" s="2">
        <f>IF(INDEX(Data_Checks!$G:$G,119+1)="","",INDEX(Data_Checks!$G:$G,119+1))</f>
        <v/>
      </c>
      <c r="H123" s="3">
        <f>IF(INDEX(Data_Checks!$H:$H,119+1)="","",INDEX(Data_Checks!$H:$H,119+1))</f>
        <v/>
      </c>
      <c r="I123" s="18" t="n"/>
      <c r="J123" s="18" t="n"/>
      <c r="K123" s="18" t="n"/>
      <c r="L123" s="18" t="n"/>
    </row>
    <row r="124">
      <c r="A124" s="3">
        <f>IF(INDEX(Data_Checks!$A:$A,120+1)="","",INDEX(Data_Checks!$A:$A,120+1))</f>
        <v/>
      </c>
      <c r="B124" s="3">
        <f>IF(INDEX(Data_Checks!$B:$B,120+1)="","",INDEX(Data_Checks!$B:$B,120+1))</f>
        <v/>
      </c>
      <c r="C124" s="3">
        <f>IF(INDEX(Data_Checks!$C:$C,120+1)="","",INDEX(Data_Checks!$C:$C,120+1))</f>
        <v/>
      </c>
      <c r="D124" s="16">
        <f>IF(INDEX(Data_Checks!$D:$D,120+1)="","",INDEX(Data_Checks!$D:$D,120+1))</f>
        <v/>
      </c>
      <c r="E124" s="16">
        <f>IF(INDEX(Data_Checks!$E:$E,120+1)="","",INDEX(Data_Checks!$E:$E,120+1))</f>
        <v/>
      </c>
      <c r="F124" s="17">
        <f>IF(INDEX(Data_Checks!$F:$F,120+1)="","",INDEX(Data_Checks!$F:$F,120+1))</f>
        <v/>
      </c>
      <c r="G124" s="2">
        <f>IF(INDEX(Data_Checks!$G:$G,120+1)="","",INDEX(Data_Checks!$G:$G,120+1))</f>
        <v/>
      </c>
      <c r="H124" s="3">
        <f>IF(INDEX(Data_Checks!$H:$H,120+1)="","",INDEX(Data_Checks!$H:$H,120+1))</f>
        <v/>
      </c>
      <c r="I124" s="18" t="n"/>
      <c r="J124" s="18" t="n"/>
      <c r="K124" s="18" t="n"/>
      <c r="L124" s="18" t="n"/>
    </row>
    <row r="125">
      <c r="A125" s="3">
        <f>IF(INDEX(Data_Checks!$A:$A,121+1)="","",INDEX(Data_Checks!$A:$A,121+1))</f>
        <v/>
      </c>
      <c r="B125" s="3">
        <f>IF(INDEX(Data_Checks!$B:$B,121+1)="","",INDEX(Data_Checks!$B:$B,121+1))</f>
        <v/>
      </c>
      <c r="C125" s="3">
        <f>IF(INDEX(Data_Checks!$C:$C,121+1)="","",INDEX(Data_Checks!$C:$C,121+1))</f>
        <v/>
      </c>
      <c r="D125" s="16">
        <f>IF(INDEX(Data_Checks!$D:$D,121+1)="","",INDEX(Data_Checks!$D:$D,121+1))</f>
        <v/>
      </c>
      <c r="E125" s="16">
        <f>IF(INDEX(Data_Checks!$E:$E,121+1)="","",INDEX(Data_Checks!$E:$E,121+1))</f>
        <v/>
      </c>
      <c r="F125" s="17">
        <f>IF(INDEX(Data_Checks!$F:$F,121+1)="","",INDEX(Data_Checks!$F:$F,121+1))</f>
        <v/>
      </c>
      <c r="G125" s="2">
        <f>IF(INDEX(Data_Checks!$G:$G,121+1)="","",INDEX(Data_Checks!$G:$G,121+1))</f>
        <v/>
      </c>
      <c r="H125" s="3">
        <f>IF(INDEX(Data_Checks!$H:$H,121+1)="","",INDEX(Data_Checks!$H:$H,121+1))</f>
        <v/>
      </c>
      <c r="I125" s="18" t="n"/>
      <c r="J125" s="18" t="n"/>
      <c r="K125" s="18" t="n"/>
      <c r="L125" s="18" t="n"/>
    </row>
    <row r="126">
      <c r="A126" s="3">
        <f>IF(INDEX(Data_Checks!$A:$A,122+1)="","",INDEX(Data_Checks!$A:$A,122+1))</f>
        <v/>
      </c>
      <c r="B126" s="3">
        <f>IF(INDEX(Data_Checks!$B:$B,122+1)="","",INDEX(Data_Checks!$B:$B,122+1))</f>
        <v/>
      </c>
      <c r="C126" s="3">
        <f>IF(INDEX(Data_Checks!$C:$C,122+1)="","",INDEX(Data_Checks!$C:$C,122+1))</f>
        <v/>
      </c>
      <c r="D126" s="16">
        <f>IF(INDEX(Data_Checks!$D:$D,122+1)="","",INDEX(Data_Checks!$D:$D,122+1))</f>
        <v/>
      </c>
      <c r="E126" s="16">
        <f>IF(INDEX(Data_Checks!$E:$E,122+1)="","",INDEX(Data_Checks!$E:$E,122+1))</f>
        <v/>
      </c>
      <c r="F126" s="17">
        <f>IF(INDEX(Data_Checks!$F:$F,122+1)="","",INDEX(Data_Checks!$F:$F,122+1))</f>
        <v/>
      </c>
      <c r="G126" s="2">
        <f>IF(INDEX(Data_Checks!$G:$G,122+1)="","",INDEX(Data_Checks!$G:$G,122+1))</f>
        <v/>
      </c>
      <c r="H126" s="3">
        <f>IF(INDEX(Data_Checks!$H:$H,122+1)="","",INDEX(Data_Checks!$H:$H,122+1))</f>
        <v/>
      </c>
      <c r="I126" s="18" t="n"/>
      <c r="J126" s="18" t="n"/>
      <c r="K126" s="18" t="n"/>
      <c r="L126" s="18" t="n"/>
    </row>
    <row r="127">
      <c r="A127" s="3">
        <f>IF(INDEX(Data_Checks!$A:$A,123+1)="","",INDEX(Data_Checks!$A:$A,123+1))</f>
        <v/>
      </c>
      <c r="B127" s="3">
        <f>IF(INDEX(Data_Checks!$B:$B,123+1)="","",INDEX(Data_Checks!$B:$B,123+1))</f>
        <v/>
      </c>
      <c r="C127" s="3">
        <f>IF(INDEX(Data_Checks!$C:$C,123+1)="","",INDEX(Data_Checks!$C:$C,123+1))</f>
        <v/>
      </c>
      <c r="D127" s="16">
        <f>IF(INDEX(Data_Checks!$D:$D,123+1)="","",INDEX(Data_Checks!$D:$D,123+1))</f>
        <v/>
      </c>
      <c r="E127" s="16">
        <f>IF(INDEX(Data_Checks!$E:$E,123+1)="","",INDEX(Data_Checks!$E:$E,123+1))</f>
        <v/>
      </c>
      <c r="F127" s="17">
        <f>IF(INDEX(Data_Checks!$F:$F,123+1)="","",INDEX(Data_Checks!$F:$F,123+1))</f>
        <v/>
      </c>
      <c r="G127" s="2">
        <f>IF(INDEX(Data_Checks!$G:$G,123+1)="","",INDEX(Data_Checks!$G:$G,123+1))</f>
        <v/>
      </c>
      <c r="H127" s="3">
        <f>IF(INDEX(Data_Checks!$H:$H,123+1)="","",INDEX(Data_Checks!$H:$H,123+1))</f>
        <v/>
      </c>
      <c r="I127" s="18" t="n"/>
      <c r="J127" s="18" t="n"/>
      <c r="K127" s="18" t="n"/>
      <c r="L127" s="18" t="n"/>
    </row>
    <row r="128">
      <c r="A128" s="3">
        <f>IF(INDEX(Data_Checks!$A:$A,124+1)="","",INDEX(Data_Checks!$A:$A,124+1))</f>
        <v/>
      </c>
      <c r="B128" s="3">
        <f>IF(INDEX(Data_Checks!$B:$B,124+1)="","",INDEX(Data_Checks!$B:$B,124+1))</f>
        <v/>
      </c>
      <c r="C128" s="3">
        <f>IF(INDEX(Data_Checks!$C:$C,124+1)="","",INDEX(Data_Checks!$C:$C,124+1))</f>
        <v/>
      </c>
      <c r="D128" s="16">
        <f>IF(INDEX(Data_Checks!$D:$D,124+1)="","",INDEX(Data_Checks!$D:$D,124+1))</f>
        <v/>
      </c>
      <c r="E128" s="16">
        <f>IF(INDEX(Data_Checks!$E:$E,124+1)="","",INDEX(Data_Checks!$E:$E,124+1))</f>
        <v/>
      </c>
      <c r="F128" s="17">
        <f>IF(INDEX(Data_Checks!$F:$F,124+1)="","",INDEX(Data_Checks!$F:$F,124+1))</f>
        <v/>
      </c>
      <c r="G128" s="2">
        <f>IF(INDEX(Data_Checks!$G:$G,124+1)="","",INDEX(Data_Checks!$G:$G,124+1))</f>
        <v/>
      </c>
      <c r="H128" s="3">
        <f>IF(INDEX(Data_Checks!$H:$H,124+1)="","",INDEX(Data_Checks!$H:$H,124+1))</f>
        <v/>
      </c>
      <c r="I128" s="18" t="n"/>
      <c r="J128" s="18" t="n"/>
      <c r="K128" s="18" t="n"/>
      <c r="L128" s="18" t="n"/>
    </row>
    <row r="129">
      <c r="A129" s="3">
        <f>IF(INDEX(Data_Checks!$A:$A,125+1)="","",INDEX(Data_Checks!$A:$A,125+1))</f>
        <v/>
      </c>
      <c r="B129" s="3">
        <f>IF(INDEX(Data_Checks!$B:$B,125+1)="","",INDEX(Data_Checks!$B:$B,125+1))</f>
        <v/>
      </c>
      <c r="C129" s="3">
        <f>IF(INDEX(Data_Checks!$C:$C,125+1)="","",INDEX(Data_Checks!$C:$C,125+1))</f>
        <v/>
      </c>
      <c r="D129" s="16">
        <f>IF(INDEX(Data_Checks!$D:$D,125+1)="","",INDEX(Data_Checks!$D:$D,125+1))</f>
        <v/>
      </c>
      <c r="E129" s="16">
        <f>IF(INDEX(Data_Checks!$E:$E,125+1)="","",INDEX(Data_Checks!$E:$E,125+1))</f>
        <v/>
      </c>
      <c r="F129" s="17">
        <f>IF(INDEX(Data_Checks!$F:$F,125+1)="","",INDEX(Data_Checks!$F:$F,125+1))</f>
        <v/>
      </c>
      <c r="G129" s="2">
        <f>IF(INDEX(Data_Checks!$G:$G,125+1)="","",INDEX(Data_Checks!$G:$G,125+1))</f>
        <v/>
      </c>
      <c r="H129" s="3">
        <f>IF(INDEX(Data_Checks!$H:$H,125+1)="","",INDEX(Data_Checks!$H:$H,125+1))</f>
        <v/>
      </c>
      <c r="I129" s="18" t="n"/>
      <c r="J129" s="18" t="n"/>
      <c r="K129" s="18" t="n"/>
      <c r="L129" s="18" t="n"/>
    </row>
    <row r="130">
      <c r="A130" s="3">
        <f>IF(INDEX(Data_Checks!$A:$A,126+1)="","",INDEX(Data_Checks!$A:$A,126+1))</f>
        <v/>
      </c>
      <c r="B130" s="3">
        <f>IF(INDEX(Data_Checks!$B:$B,126+1)="","",INDEX(Data_Checks!$B:$B,126+1))</f>
        <v/>
      </c>
      <c r="C130" s="3">
        <f>IF(INDEX(Data_Checks!$C:$C,126+1)="","",INDEX(Data_Checks!$C:$C,126+1))</f>
        <v/>
      </c>
      <c r="D130" s="16">
        <f>IF(INDEX(Data_Checks!$D:$D,126+1)="","",INDEX(Data_Checks!$D:$D,126+1))</f>
        <v/>
      </c>
      <c r="E130" s="16">
        <f>IF(INDEX(Data_Checks!$E:$E,126+1)="","",INDEX(Data_Checks!$E:$E,126+1))</f>
        <v/>
      </c>
      <c r="F130" s="17">
        <f>IF(INDEX(Data_Checks!$F:$F,126+1)="","",INDEX(Data_Checks!$F:$F,126+1))</f>
        <v/>
      </c>
      <c r="G130" s="2">
        <f>IF(INDEX(Data_Checks!$G:$G,126+1)="","",INDEX(Data_Checks!$G:$G,126+1))</f>
        <v/>
      </c>
      <c r="H130" s="3">
        <f>IF(INDEX(Data_Checks!$H:$H,126+1)="","",INDEX(Data_Checks!$H:$H,126+1))</f>
        <v/>
      </c>
      <c r="I130" s="18" t="n"/>
      <c r="J130" s="18" t="n"/>
      <c r="K130" s="18" t="n"/>
      <c r="L130" s="18" t="n"/>
    </row>
    <row r="131">
      <c r="A131" s="3">
        <f>IF(INDEX(Data_Checks!$A:$A,127+1)="","",INDEX(Data_Checks!$A:$A,127+1))</f>
        <v/>
      </c>
      <c r="B131" s="3">
        <f>IF(INDEX(Data_Checks!$B:$B,127+1)="","",INDEX(Data_Checks!$B:$B,127+1))</f>
        <v/>
      </c>
      <c r="C131" s="3">
        <f>IF(INDEX(Data_Checks!$C:$C,127+1)="","",INDEX(Data_Checks!$C:$C,127+1))</f>
        <v/>
      </c>
      <c r="D131" s="16">
        <f>IF(INDEX(Data_Checks!$D:$D,127+1)="","",INDEX(Data_Checks!$D:$D,127+1))</f>
        <v/>
      </c>
      <c r="E131" s="16">
        <f>IF(INDEX(Data_Checks!$E:$E,127+1)="","",INDEX(Data_Checks!$E:$E,127+1))</f>
        <v/>
      </c>
      <c r="F131" s="17">
        <f>IF(INDEX(Data_Checks!$F:$F,127+1)="","",INDEX(Data_Checks!$F:$F,127+1))</f>
        <v/>
      </c>
      <c r="G131" s="2">
        <f>IF(INDEX(Data_Checks!$G:$G,127+1)="","",INDEX(Data_Checks!$G:$G,127+1))</f>
        <v/>
      </c>
      <c r="H131" s="3">
        <f>IF(INDEX(Data_Checks!$H:$H,127+1)="","",INDEX(Data_Checks!$H:$H,127+1))</f>
        <v/>
      </c>
      <c r="I131" s="18" t="n"/>
      <c r="J131" s="18" t="n"/>
      <c r="K131" s="18" t="n"/>
      <c r="L131" s="18" t="n"/>
    </row>
    <row r="132">
      <c r="A132" s="3">
        <f>IF(INDEX(Data_Checks!$A:$A,128+1)="","",INDEX(Data_Checks!$A:$A,128+1))</f>
        <v/>
      </c>
      <c r="B132" s="3">
        <f>IF(INDEX(Data_Checks!$B:$B,128+1)="","",INDEX(Data_Checks!$B:$B,128+1))</f>
        <v/>
      </c>
      <c r="C132" s="3">
        <f>IF(INDEX(Data_Checks!$C:$C,128+1)="","",INDEX(Data_Checks!$C:$C,128+1))</f>
        <v/>
      </c>
      <c r="D132" s="16">
        <f>IF(INDEX(Data_Checks!$D:$D,128+1)="","",INDEX(Data_Checks!$D:$D,128+1))</f>
        <v/>
      </c>
      <c r="E132" s="16">
        <f>IF(INDEX(Data_Checks!$E:$E,128+1)="","",INDEX(Data_Checks!$E:$E,128+1))</f>
        <v/>
      </c>
      <c r="F132" s="17">
        <f>IF(INDEX(Data_Checks!$F:$F,128+1)="","",INDEX(Data_Checks!$F:$F,128+1))</f>
        <v/>
      </c>
      <c r="G132" s="2">
        <f>IF(INDEX(Data_Checks!$G:$G,128+1)="","",INDEX(Data_Checks!$G:$G,128+1))</f>
        <v/>
      </c>
      <c r="H132" s="3">
        <f>IF(INDEX(Data_Checks!$H:$H,128+1)="","",INDEX(Data_Checks!$H:$H,128+1))</f>
        <v/>
      </c>
      <c r="I132" s="18" t="n"/>
      <c r="J132" s="18" t="n"/>
      <c r="K132" s="18" t="n"/>
      <c r="L132" s="18" t="n"/>
    </row>
    <row r="133">
      <c r="A133" s="3">
        <f>IF(INDEX(Data_Checks!$A:$A,129+1)="","",INDEX(Data_Checks!$A:$A,129+1))</f>
        <v/>
      </c>
      <c r="B133" s="3">
        <f>IF(INDEX(Data_Checks!$B:$B,129+1)="","",INDEX(Data_Checks!$B:$B,129+1))</f>
        <v/>
      </c>
      <c r="C133" s="3">
        <f>IF(INDEX(Data_Checks!$C:$C,129+1)="","",INDEX(Data_Checks!$C:$C,129+1))</f>
        <v/>
      </c>
      <c r="D133" s="16">
        <f>IF(INDEX(Data_Checks!$D:$D,129+1)="","",INDEX(Data_Checks!$D:$D,129+1))</f>
        <v/>
      </c>
      <c r="E133" s="16">
        <f>IF(INDEX(Data_Checks!$E:$E,129+1)="","",INDEX(Data_Checks!$E:$E,129+1))</f>
        <v/>
      </c>
      <c r="F133" s="17">
        <f>IF(INDEX(Data_Checks!$F:$F,129+1)="","",INDEX(Data_Checks!$F:$F,129+1))</f>
        <v/>
      </c>
      <c r="G133" s="2">
        <f>IF(INDEX(Data_Checks!$G:$G,129+1)="","",INDEX(Data_Checks!$G:$G,129+1))</f>
        <v/>
      </c>
      <c r="H133" s="3">
        <f>IF(INDEX(Data_Checks!$H:$H,129+1)="","",INDEX(Data_Checks!$H:$H,129+1))</f>
        <v/>
      </c>
      <c r="I133" s="18" t="n"/>
      <c r="J133" s="18" t="n"/>
      <c r="K133" s="18" t="n"/>
      <c r="L133" s="18" t="n"/>
    </row>
    <row r="134">
      <c r="A134" s="3">
        <f>IF(INDEX(Data_Checks!$A:$A,130+1)="","",INDEX(Data_Checks!$A:$A,130+1))</f>
        <v/>
      </c>
      <c r="B134" s="3">
        <f>IF(INDEX(Data_Checks!$B:$B,130+1)="","",INDEX(Data_Checks!$B:$B,130+1))</f>
        <v/>
      </c>
      <c r="C134" s="3">
        <f>IF(INDEX(Data_Checks!$C:$C,130+1)="","",INDEX(Data_Checks!$C:$C,130+1))</f>
        <v/>
      </c>
      <c r="D134" s="16">
        <f>IF(INDEX(Data_Checks!$D:$D,130+1)="","",INDEX(Data_Checks!$D:$D,130+1))</f>
        <v/>
      </c>
      <c r="E134" s="16">
        <f>IF(INDEX(Data_Checks!$E:$E,130+1)="","",INDEX(Data_Checks!$E:$E,130+1))</f>
        <v/>
      </c>
      <c r="F134" s="17">
        <f>IF(INDEX(Data_Checks!$F:$F,130+1)="","",INDEX(Data_Checks!$F:$F,130+1))</f>
        <v/>
      </c>
      <c r="G134" s="2">
        <f>IF(INDEX(Data_Checks!$G:$G,130+1)="","",INDEX(Data_Checks!$G:$G,130+1))</f>
        <v/>
      </c>
      <c r="H134" s="3">
        <f>IF(INDEX(Data_Checks!$H:$H,130+1)="","",INDEX(Data_Checks!$H:$H,130+1))</f>
        <v/>
      </c>
      <c r="I134" s="18" t="n"/>
      <c r="J134" s="18" t="n"/>
      <c r="K134" s="18" t="n"/>
      <c r="L134" s="18" t="n"/>
    </row>
    <row r="135">
      <c r="A135" s="3">
        <f>IF(INDEX(Data_Checks!$A:$A,131+1)="","",INDEX(Data_Checks!$A:$A,131+1))</f>
        <v/>
      </c>
      <c r="B135" s="3">
        <f>IF(INDEX(Data_Checks!$B:$B,131+1)="","",INDEX(Data_Checks!$B:$B,131+1))</f>
        <v/>
      </c>
      <c r="C135" s="3">
        <f>IF(INDEX(Data_Checks!$C:$C,131+1)="","",INDEX(Data_Checks!$C:$C,131+1))</f>
        <v/>
      </c>
      <c r="D135" s="16">
        <f>IF(INDEX(Data_Checks!$D:$D,131+1)="","",INDEX(Data_Checks!$D:$D,131+1))</f>
        <v/>
      </c>
      <c r="E135" s="16">
        <f>IF(INDEX(Data_Checks!$E:$E,131+1)="","",INDEX(Data_Checks!$E:$E,131+1))</f>
        <v/>
      </c>
      <c r="F135" s="17">
        <f>IF(INDEX(Data_Checks!$F:$F,131+1)="","",INDEX(Data_Checks!$F:$F,131+1))</f>
        <v/>
      </c>
      <c r="G135" s="2">
        <f>IF(INDEX(Data_Checks!$G:$G,131+1)="","",INDEX(Data_Checks!$G:$G,131+1))</f>
        <v/>
      </c>
      <c r="H135" s="3">
        <f>IF(INDEX(Data_Checks!$H:$H,131+1)="","",INDEX(Data_Checks!$H:$H,131+1))</f>
        <v/>
      </c>
      <c r="I135" s="18" t="n"/>
      <c r="J135" s="18" t="n"/>
      <c r="K135" s="18" t="n"/>
      <c r="L135" s="18" t="n"/>
    </row>
    <row r="136">
      <c r="A136" s="3">
        <f>IF(INDEX(Data_Checks!$A:$A,132+1)="","",INDEX(Data_Checks!$A:$A,132+1))</f>
        <v/>
      </c>
      <c r="B136" s="3">
        <f>IF(INDEX(Data_Checks!$B:$B,132+1)="","",INDEX(Data_Checks!$B:$B,132+1))</f>
        <v/>
      </c>
      <c r="C136" s="3">
        <f>IF(INDEX(Data_Checks!$C:$C,132+1)="","",INDEX(Data_Checks!$C:$C,132+1))</f>
        <v/>
      </c>
      <c r="D136" s="16">
        <f>IF(INDEX(Data_Checks!$D:$D,132+1)="","",INDEX(Data_Checks!$D:$D,132+1))</f>
        <v/>
      </c>
      <c r="E136" s="16">
        <f>IF(INDEX(Data_Checks!$E:$E,132+1)="","",INDEX(Data_Checks!$E:$E,132+1))</f>
        <v/>
      </c>
      <c r="F136" s="17">
        <f>IF(INDEX(Data_Checks!$F:$F,132+1)="","",INDEX(Data_Checks!$F:$F,132+1))</f>
        <v/>
      </c>
      <c r="G136" s="2">
        <f>IF(INDEX(Data_Checks!$G:$G,132+1)="","",INDEX(Data_Checks!$G:$G,132+1))</f>
        <v/>
      </c>
      <c r="H136" s="3">
        <f>IF(INDEX(Data_Checks!$H:$H,132+1)="","",INDEX(Data_Checks!$H:$H,132+1))</f>
        <v/>
      </c>
      <c r="I136" s="18" t="n"/>
      <c r="J136" s="18" t="n"/>
      <c r="K136" s="18" t="n"/>
      <c r="L136" s="18" t="n"/>
    </row>
    <row r="137">
      <c r="A137" s="3">
        <f>IF(INDEX(Data_Checks!$A:$A,133+1)="","",INDEX(Data_Checks!$A:$A,133+1))</f>
        <v/>
      </c>
      <c r="B137" s="3">
        <f>IF(INDEX(Data_Checks!$B:$B,133+1)="","",INDEX(Data_Checks!$B:$B,133+1))</f>
        <v/>
      </c>
      <c r="C137" s="3">
        <f>IF(INDEX(Data_Checks!$C:$C,133+1)="","",INDEX(Data_Checks!$C:$C,133+1))</f>
        <v/>
      </c>
      <c r="D137" s="16">
        <f>IF(INDEX(Data_Checks!$D:$D,133+1)="","",INDEX(Data_Checks!$D:$D,133+1))</f>
        <v/>
      </c>
      <c r="E137" s="16">
        <f>IF(INDEX(Data_Checks!$E:$E,133+1)="","",INDEX(Data_Checks!$E:$E,133+1))</f>
        <v/>
      </c>
      <c r="F137" s="17">
        <f>IF(INDEX(Data_Checks!$F:$F,133+1)="","",INDEX(Data_Checks!$F:$F,133+1))</f>
        <v/>
      </c>
      <c r="G137" s="2">
        <f>IF(INDEX(Data_Checks!$G:$G,133+1)="","",INDEX(Data_Checks!$G:$G,133+1))</f>
        <v/>
      </c>
      <c r="H137" s="3">
        <f>IF(INDEX(Data_Checks!$H:$H,133+1)="","",INDEX(Data_Checks!$H:$H,133+1))</f>
        <v/>
      </c>
      <c r="I137" s="18" t="n"/>
      <c r="J137" s="18" t="n"/>
      <c r="K137" s="18" t="n"/>
      <c r="L137" s="18" t="n"/>
    </row>
    <row r="138">
      <c r="A138" s="3">
        <f>IF(INDEX(Data_Checks!$A:$A,134+1)="","",INDEX(Data_Checks!$A:$A,134+1))</f>
        <v/>
      </c>
      <c r="B138" s="3">
        <f>IF(INDEX(Data_Checks!$B:$B,134+1)="","",INDEX(Data_Checks!$B:$B,134+1))</f>
        <v/>
      </c>
      <c r="C138" s="3">
        <f>IF(INDEX(Data_Checks!$C:$C,134+1)="","",INDEX(Data_Checks!$C:$C,134+1))</f>
        <v/>
      </c>
      <c r="D138" s="16">
        <f>IF(INDEX(Data_Checks!$D:$D,134+1)="","",INDEX(Data_Checks!$D:$D,134+1))</f>
        <v/>
      </c>
      <c r="E138" s="16">
        <f>IF(INDEX(Data_Checks!$E:$E,134+1)="","",INDEX(Data_Checks!$E:$E,134+1))</f>
        <v/>
      </c>
      <c r="F138" s="17">
        <f>IF(INDEX(Data_Checks!$F:$F,134+1)="","",INDEX(Data_Checks!$F:$F,134+1))</f>
        <v/>
      </c>
      <c r="G138" s="2">
        <f>IF(INDEX(Data_Checks!$G:$G,134+1)="","",INDEX(Data_Checks!$G:$G,134+1))</f>
        <v/>
      </c>
      <c r="H138" s="3">
        <f>IF(INDEX(Data_Checks!$H:$H,134+1)="","",INDEX(Data_Checks!$H:$H,134+1))</f>
        <v/>
      </c>
      <c r="I138" s="18" t="n"/>
      <c r="J138" s="18" t="n"/>
      <c r="K138" s="18" t="n"/>
      <c r="L138" s="18" t="n"/>
    </row>
    <row r="139">
      <c r="A139" s="3">
        <f>IF(INDEX(Data_Checks!$A:$A,135+1)="","",INDEX(Data_Checks!$A:$A,135+1))</f>
        <v/>
      </c>
      <c r="B139" s="3">
        <f>IF(INDEX(Data_Checks!$B:$B,135+1)="","",INDEX(Data_Checks!$B:$B,135+1))</f>
        <v/>
      </c>
      <c r="C139" s="3">
        <f>IF(INDEX(Data_Checks!$C:$C,135+1)="","",INDEX(Data_Checks!$C:$C,135+1))</f>
        <v/>
      </c>
      <c r="D139" s="16">
        <f>IF(INDEX(Data_Checks!$D:$D,135+1)="","",INDEX(Data_Checks!$D:$D,135+1))</f>
        <v/>
      </c>
      <c r="E139" s="16">
        <f>IF(INDEX(Data_Checks!$E:$E,135+1)="","",INDEX(Data_Checks!$E:$E,135+1))</f>
        <v/>
      </c>
      <c r="F139" s="17">
        <f>IF(INDEX(Data_Checks!$F:$F,135+1)="","",INDEX(Data_Checks!$F:$F,135+1))</f>
        <v/>
      </c>
      <c r="G139" s="2">
        <f>IF(INDEX(Data_Checks!$G:$G,135+1)="","",INDEX(Data_Checks!$G:$G,135+1))</f>
        <v/>
      </c>
      <c r="H139" s="3">
        <f>IF(INDEX(Data_Checks!$H:$H,135+1)="","",INDEX(Data_Checks!$H:$H,135+1))</f>
        <v/>
      </c>
      <c r="I139" s="18" t="n"/>
      <c r="J139" s="18" t="n"/>
      <c r="K139" s="18" t="n"/>
      <c r="L139" s="18" t="n"/>
    </row>
    <row r="140">
      <c r="A140" s="3">
        <f>IF(INDEX(Data_Checks!$A:$A,136+1)="","",INDEX(Data_Checks!$A:$A,136+1))</f>
        <v/>
      </c>
      <c r="B140" s="3">
        <f>IF(INDEX(Data_Checks!$B:$B,136+1)="","",INDEX(Data_Checks!$B:$B,136+1))</f>
        <v/>
      </c>
      <c r="C140" s="3">
        <f>IF(INDEX(Data_Checks!$C:$C,136+1)="","",INDEX(Data_Checks!$C:$C,136+1))</f>
        <v/>
      </c>
      <c r="D140" s="16">
        <f>IF(INDEX(Data_Checks!$D:$D,136+1)="","",INDEX(Data_Checks!$D:$D,136+1))</f>
        <v/>
      </c>
      <c r="E140" s="16">
        <f>IF(INDEX(Data_Checks!$E:$E,136+1)="","",INDEX(Data_Checks!$E:$E,136+1))</f>
        <v/>
      </c>
      <c r="F140" s="17">
        <f>IF(INDEX(Data_Checks!$F:$F,136+1)="","",INDEX(Data_Checks!$F:$F,136+1))</f>
        <v/>
      </c>
      <c r="G140" s="2">
        <f>IF(INDEX(Data_Checks!$G:$G,136+1)="","",INDEX(Data_Checks!$G:$G,136+1))</f>
        <v/>
      </c>
      <c r="H140" s="3">
        <f>IF(INDEX(Data_Checks!$H:$H,136+1)="","",INDEX(Data_Checks!$H:$H,136+1))</f>
        <v/>
      </c>
      <c r="I140" s="18" t="n"/>
      <c r="J140" s="18" t="n"/>
      <c r="K140" s="18" t="n"/>
      <c r="L140" s="18" t="n"/>
    </row>
    <row r="141">
      <c r="A141" s="3">
        <f>IF(INDEX(Data_Checks!$A:$A,137+1)="","",INDEX(Data_Checks!$A:$A,137+1))</f>
        <v/>
      </c>
      <c r="B141" s="3">
        <f>IF(INDEX(Data_Checks!$B:$B,137+1)="","",INDEX(Data_Checks!$B:$B,137+1))</f>
        <v/>
      </c>
      <c r="C141" s="3">
        <f>IF(INDEX(Data_Checks!$C:$C,137+1)="","",INDEX(Data_Checks!$C:$C,137+1))</f>
        <v/>
      </c>
      <c r="D141" s="16">
        <f>IF(INDEX(Data_Checks!$D:$D,137+1)="","",INDEX(Data_Checks!$D:$D,137+1))</f>
        <v/>
      </c>
      <c r="E141" s="16">
        <f>IF(INDEX(Data_Checks!$E:$E,137+1)="","",INDEX(Data_Checks!$E:$E,137+1))</f>
        <v/>
      </c>
      <c r="F141" s="17">
        <f>IF(INDEX(Data_Checks!$F:$F,137+1)="","",INDEX(Data_Checks!$F:$F,137+1))</f>
        <v/>
      </c>
      <c r="G141" s="2">
        <f>IF(INDEX(Data_Checks!$G:$G,137+1)="","",INDEX(Data_Checks!$G:$G,137+1))</f>
        <v/>
      </c>
      <c r="H141" s="3">
        <f>IF(INDEX(Data_Checks!$H:$H,137+1)="","",INDEX(Data_Checks!$H:$H,137+1))</f>
        <v/>
      </c>
      <c r="I141" s="18" t="n"/>
      <c r="J141" s="18" t="n"/>
      <c r="K141" s="18" t="n"/>
      <c r="L141" s="18" t="n"/>
    </row>
    <row r="142">
      <c r="A142" s="3">
        <f>IF(INDEX(Data_Checks!$A:$A,138+1)="","",INDEX(Data_Checks!$A:$A,138+1))</f>
        <v/>
      </c>
      <c r="B142" s="3">
        <f>IF(INDEX(Data_Checks!$B:$B,138+1)="","",INDEX(Data_Checks!$B:$B,138+1))</f>
        <v/>
      </c>
      <c r="C142" s="3">
        <f>IF(INDEX(Data_Checks!$C:$C,138+1)="","",INDEX(Data_Checks!$C:$C,138+1))</f>
        <v/>
      </c>
      <c r="D142" s="16">
        <f>IF(INDEX(Data_Checks!$D:$D,138+1)="","",INDEX(Data_Checks!$D:$D,138+1))</f>
        <v/>
      </c>
      <c r="E142" s="16">
        <f>IF(INDEX(Data_Checks!$E:$E,138+1)="","",INDEX(Data_Checks!$E:$E,138+1))</f>
        <v/>
      </c>
      <c r="F142" s="17">
        <f>IF(INDEX(Data_Checks!$F:$F,138+1)="","",INDEX(Data_Checks!$F:$F,138+1))</f>
        <v/>
      </c>
      <c r="G142" s="2">
        <f>IF(INDEX(Data_Checks!$G:$G,138+1)="","",INDEX(Data_Checks!$G:$G,138+1))</f>
        <v/>
      </c>
      <c r="H142" s="3">
        <f>IF(INDEX(Data_Checks!$H:$H,138+1)="","",INDEX(Data_Checks!$H:$H,138+1))</f>
        <v/>
      </c>
      <c r="I142" s="18" t="n"/>
      <c r="J142" s="18" t="n"/>
      <c r="K142" s="18" t="n"/>
      <c r="L142" s="18" t="n"/>
    </row>
    <row r="143">
      <c r="A143" s="3">
        <f>IF(INDEX(Data_Checks!$A:$A,139+1)="","",INDEX(Data_Checks!$A:$A,139+1))</f>
        <v/>
      </c>
      <c r="B143" s="3">
        <f>IF(INDEX(Data_Checks!$B:$B,139+1)="","",INDEX(Data_Checks!$B:$B,139+1))</f>
        <v/>
      </c>
      <c r="C143" s="3">
        <f>IF(INDEX(Data_Checks!$C:$C,139+1)="","",INDEX(Data_Checks!$C:$C,139+1))</f>
        <v/>
      </c>
      <c r="D143" s="16">
        <f>IF(INDEX(Data_Checks!$D:$D,139+1)="","",INDEX(Data_Checks!$D:$D,139+1))</f>
        <v/>
      </c>
      <c r="E143" s="16">
        <f>IF(INDEX(Data_Checks!$E:$E,139+1)="","",INDEX(Data_Checks!$E:$E,139+1))</f>
        <v/>
      </c>
      <c r="F143" s="17">
        <f>IF(INDEX(Data_Checks!$F:$F,139+1)="","",INDEX(Data_Checks!$F:$F,139+1))</f>
        <v/>
      </c>
      <c r="G143" s="2">
        <f>IF(INDEX(Data_Checks!$G:$G,139+1)="","",INDEX(Data_Checks!$G:$G,139+1))</f>
        <v/>
      </c>
      <c r="H143" s="3">
        <f>IF(INDEX(Data_Checks!$H:$H,139+1)="","",INDEX(Data_Checks!$H:$H,139+1))</f>
        <v/>
      </c>
      <c r="I143" s="18" t="n"/>
      <c r="J143" s="18" t="n"/>
      <c r="K143" s="18" t="n"/>
      <c r="L143" s="18" t="n"/>
    </row>
    <row r="144">
      <c r="A144" s="3">
        <f>IF(INDEX(Data_Checks!$A:$A,140+1)="","",INDEX(Data_Checks!$A:$A,140+1))</f>
        <v/>
      </c>
      <c r="B144" s="3">
        <f>IF(INDEX(Data_Checks!$B:$B,140+1)="","",INDEX(Data_Checks!$B:$B,140+1))</f>
        <v/>
      </c>
      <c r="C144" s="3">
        <f>IF(INDEX(Data_Checks!$C:$C,140+1)="","",INDEX(Data_Checks!$C:$C,140+1))</f>
        <v/>
      </c>
      <c r="D144" s="16">
        <f>IF(INDEX(Data_Checks!$D:$D,140+1)="","",INDEX(Data_Checks!$D:$D,140+1))</f>
        <v/>
      </c>
      <c r="E144" s="16">
        <f>IF(INDEX(Data_Checks!$E:$E,140+1)="","",INDEX(Data_Checks!$E:$E,140+1))</f>
        <v/>
      </c>
      <c r="F144" s="17">
        <f>IF(INDEX(Data_Checks!$F:$F,140+1)="","",INDEX(Data_Checks!$F:$F,140+1))</f>
        <v/>
      </c>
      <c r="G144" s="2">
        <f>IF(INDEX(Data_Checks!$G:$G,140+1)="","",INDEX(Data_Checks!$G:$G,140+1))</f>
        <v/>
      </c>
      <c r="H144" s="3">
        <f>IF(INDEX(Data_Checks!$H:$H,140+1)="","",INDEX(Data_Checks!$H:$H,140+1))</f>
        <v/>
      </c>
      <c r="I144" s="18" t="n"/>
      <c r="J144" s="18" t="n"/>
      <c r="K144" s="18" t="n"/>
      <c r="L144" s="18" t="n"/>
    </row>
    <row r="145">
      <c r="A145" s="3">
        <f>IF(INDEX(Data_Checks!$A:$A,141+1)="","",INDEX(Data_Checks!$A:$A,141+1))</f>
        <v/>
      </c>
      <c r="B145" s="3">
        <f>IF(INDEX(Data_Checks!$B:$B,141+1)="","",INDEX(Data_Checks!$B:$B,141+1))</f>
        <v/>
      </c>
      <c r="C145" s="3">
        <f>IF(INDEX(Data_Checks!$C:$C,141+1)="","",INDEX(Data_Checks!$C:$C,141+1))</f>
        <v/>
      </c>
      <c r="D145" s="16">
        <f>IF(INDEX(Data_Checks!$D:$D,141+1)="","",INDEX(Data_Checks!$D:$D,141+1))</f>
        <v/>
      </c>
      <c r="E145" s="16">
        <f>IF(INDEX(Data_Checks!$E:$E,141+1)="","",INDEX(Data_Checks!$E:$E,141+1))</f>
        <v/>
      </c>
      <c r="F145" s="17">
        <f>IF(INDEX(Data_Checks!$F:$F,141+1)="","",INDEX(Data_Checks!$F:$F,141+1))</f>
        <v/>
      </c>
      <c r="G145" s="2">
        <f>IF(INDEX(Data_Checks!$G:$G,141+1)="","",INDEX(Data_Checks!$G:$G,141+1))</f>
        <v/>
      </c>
      <c r="H145" s="3">
        <f>IF(INDEX(Data_Checks!$H:$H,141+1)="","",INDEX(Data_Checks!$H:$H,141+1))</f>
        <v/>
      </c>
      <c r="I145" s="18" t="n"/>
      <c r="J145" s="18" t="n"/>
      <c r="K145" s="18" t="n"/>
      <c r="L145" s="18" t="n"/>
    </row>
    <row r="146">
      <c r="A146" s="3">
        <f>IF(INDEX(Data_Checks!$A:$A,142+1)="","",INDEX(Data_Checks!$A:$A,142+1))</f>
        <v/>
      </c>
      <c r="B146" s="3">
        <f>IF(INDEX(Data_Checks!$B:$B,142+1)="","",INDEX(Data_Checks!$B:$B,142+1))</f>
        <v/>
      </c>
      <c r="C146" s="3">
        <f>IF(INDEX(Data_Checks!$C:$C,142+1)="","",INDEX(Data_Checks!$C:$C,142+1))</f>
        <v/>
      </c>
      <c r="D146" s="16">
        <f>IF(INDEX(Data_Checks!$D:$D,142+1)="","",INDEX(Data_Checks!$D:$D,142+1))</f>
        <v/>
      </c>
      <c r="E146" s="16">
        <f>IF(INDEX(Data_Checks!$E:$E,142+1)="","",INDEX(Data_Checks!$E:$E,142+1))</f>
        <v/>
      </c>
      <c r="F146" s="17">
        <f>IF(INDEX(Data_Checks!$F:$F,142+1)="","",INDEX(Data_Checks!$F:$F,142+1))</f>
        <v/>
      </c>
      <c r="G146" s="2">
        <f>IF(INDEX(Data_Checks!$G:$G,142+1)="","",INDEX(Data_Checks!$G:$G,142+1))</f>
        <v/>
      </c>
      <c r="H146" s="3">
        <f>IF(INDEX(Data_Checks!$H:$H,142+1)="","",INDEX(Data_Checks!$H:$H,142+1))</f>
        <v/>
      </c>
      <c r="I146" s="18" t="n"/>
      <c r="J146" s="18" t="n"/>
      <c r="K146" s="18" t="n"/>
      <c r="L146" s="18" t="n"/>
    </row>
    <row r="147">
      <c r="A147" s="3">
        <f>IF(INDEX(Data_Checks!$A:$A,143+1)="","",INDEX(Data_Checks!$A:$A,143+1))</f>
        <v/>
      </c>
      <c r="B147" s="3">
        <f>IF(INDEX(Data_Checks!$B:$B,143+1)="","",INDEX(Data_Checks!$B:$B,143+1))</f>
        <v/>
      </c>
      <c r="C147" s="3">
        <f>IF(INDEX(Data_Checks!$C:$C,143+1)="","",INDEX(Data_Checks!$C:$C,143+1))</f>
        <v/>
      </c>
      <c r="D147" s="16">
        <f>IF(INDEX(Data_Checks!$D:$D,143+1)="","",INDEX(Data_Checks!$D:$D,143+1))</f>
        <v/>
      </c>
      <c r="E147" s="16">
        <f>IF(INDEX(Data_Checks!$E:$E,143+1)="","",INDEX(Data_Checks!$E:$E,143+1))</f>
        <v/>
      </c>
      <c r="F147" s="17">
        <f>IF(INDEX(Data_Checks!$F:$F,143+1)="","",INDEX(Data_Checks!$F:$F,143+1))</f>
        <v/>
      </c>
      <c r="G147" s="2">
        <f>IF(INDEX(Data_Checks!$G:$G,143+1)="","",INDEX(Data_Checks!$G:$G,143+1))</f>
        <v/>
      </c>
      <c r="H147" s="3">
        <f>IF(INDEX(Data_Checks!$H:$H,143+1)="","",INDEX(Data_Checks!$H:$H,143+1))</f>
        <v/>
      </c>
      <c r="I147" s="18" t="n"/>
      <c r="J147" s="18" t="n"/>
      <c r="K147" s="18" t="n"/>
      <c r="L147" s="18" t="n"/>
    </row>
    <row r="148">
      <c r="A148" s="3">
        <f>IF(INDEX(Data_Checks!$A:$A,144+1)="","",INDEX(Data_Checks!$A:$A,144+1))</f>
        <v/>
      </c>
      <c r="B148" s="3">
        <f>IF(INDEX(Data_Checks!$B:$B,144+1)="","",INDEX(Data_Checks!$B:$B,144+1))</f>
        <v/>
      </c>
      <c r="C148" s="3">
        <f>IF(INDEX(Data_Checks!$C:$C,144+1)="","",INDEX(Data_Checks!$C:$C,144+1))</f>
        <v/>
      </c>
      <c r="D148" s="16">
        <f>IF(INDEX(Data_Checks!$D:$D,144+1)="","",INDEX(Data_Checks!$D:$D,144+1))</f>
        <v/>
      </c>
      <c r="E148" s="16">
        <f>IF(INDEX(Data_Checks!$E:$E,144+1)="","",INDEX(Data_Checks!$E:$E,144+1))</f>
        <v/>
      </c>
      <c r="F148" s="17">
        <f>IF(INDEX(Data_Checks!$F:$F,144+1)="","",INDEX(Data_Checks!$F:$F,144+1))</f>
        <v/>
      </c>
      <c r="G148" s="2">
        <f>IF(INDEX(Data_Checks!$G:$G,144+1)="","",INDEX(Data_Checks!$G:$G,144+1))</f>
        <v/>
      </c>
      <c r="H148" s="3">
        <f>IF(INDEX(Data_Checks!$H:$H,144+1)="","",INDEX(Data_Checks!$H:$H,144+1))</f>
        <v/>
      </c>
      <c r="I148" s="18" t="n"/>
      <c r="J148" s="18" t="n"/>
      <c r="K148" s="18" t="n"/>
      <c r="L148" s="18" t="n"/>
    </row>
    <row r="149">
      <c r="A149" s="3">
        <f>IF(INDEX(Data_Checks!$A:$A,145+1)="","",INDEX(Data_Checks!$A:$A,145+1))</f>
        <v/>
      </c>
      <c r="B149" s="3">
        <f>IF(INDEX(Data_Checks!$B:$B,145+1)="","",INDEX(Data_Checks!$B:$B,145+1))</f>
        <v/>
      </c>
      <c r="C149" s="3">
        <f>IF(INDEX(Data_Checks!$C:$C,145+1)="","",INDEX(Data_Checks!$C:$C,145+1))</f>
        <v/>
      </c>
      <c r="D149" s="16">
        <f>IF(INDEX(Data_Checks!$D:$D,145+1)="","",INDEX(Data_Checks!$D:$D,145+1))</f>
        <v/>
      </c>
      <c r="E149" s="16">
        <f>IF(INDEX(Data_Checks!$E:$E,145+1)="","",INDEX(Data_Checks!$E:$E,145+1))</f>
        <v/>
      </c>
      <c r="F149" s="17">
        <f>IF(INDEX(Data_Checks!$F:$F,145+1)="","",INDEX(Data_Checks!$F:$F,145+1))</f>
        <v/>
      </c>
      <c r="G149" s="2">
        <f>IF(INDEX(Data_Checks!$G:$G,145+1)="","",INDEX(Data_Checks!$G:$G,145+1))</f>
        <v/>
      </c>
      <c r="H149" s="3">
        <f>IF(INDEX(Data_Checks!$H:$H,145+1)="","",INDEX(Data_Checks!$H:$H,145+1))</f>
        <v/>
      </c>
      <c r="I149" s="18" t="n"/>
      <c r="J149" s="18" t="n"/>
      <c r="K149" s="18" t="n"/>
      <c r="L149" s="18" t="n"/>
    </row>
    <row r="150">
      <c r="A150" s="3">
        <f>IF(INDEX(Data_Checks!$A:$A,146+1)="","",INDEX(Data_Checks!$A:$A,146+1))</f>
        <v/>
      </c>
      <c r="B150" s="3">
        <f>IF(INDEX(Data_Checks!$B:$B,146+1)="","",INDEX(Data_Checks!$B:$B,146+1))</f>
        <v/>
      </c>
      <c r="C150" s="3">
        <f>IF(INDEX(Data_Checks!$C:$C,146+1)="","",INDEX(Data_Checks!$C:$C,146+1))</f>
        <v/>
      </c>
      <c r="D150" s="16">
        <f>IF(INDEX(Data_Checks!$D:$D,146+1)="","",INDEX(Data_Checks!$D:$D,146+1))</f>
        <v/>
      </c>
      <c r="E150" s="16">
        <f>IF(INDEX(Data_Checks!$E:$E,146+1)="","",INDEX(Data_Checks!$E:$E,146+1))</f>
        <v/>
      </c>
      <c r="F150" s="17">
        <f>IF(INDEX(Data_Checks!$F:$F,146+1)="","",INDEX(Data_Checks!$F:$F,146+1))</f>
        <v/>
      </c>
      <c r="G150" s="2">
        <f>IF(INDEX(Data_Checks!$G:$G,146+1)="","",INDEX(Data_Checks!$G:$G,146+1))</f>
        <v/>
      </c>
      <c r="H150" s="3">
        <f>IF(INDEX(Data_Checks!$H:$H,146+1)="","",INDEX(Data_Checks!$H:$H,146+1))</f>
        <v/>
      </c>
      <c r="I150" s="18" t="n"/>
      <c r="J150" s="18" t="n"/>
      <c r="K150" s="18" t="n"/>
      <c r="L150" s="18" t="n"/>
    </row>
    <row r="151">
      <c r="A151" s="3">
        <f>IF(INDEX(Data_Checks!$A:$A,147+1)="","",INDEX(Data_Checks!$A:$A,147+1))</f>
        <v/>
      </c>
      <c r="B151" s="3">
        <f>IF(INDEX(Data_Checks!$B:$B,147+1)="","",INDEX(Data_Checks!$B:$B,147+1))</f>
        <v/>
      </c>
      <c r="C151" s="3">
        <f>IF(INDEX(Data_Checks!$C:$C,147+1)="","",INDEX(Data_Checks!$C:$C,147+1))</f>
        <v/>
      </c>
      <c r="D151" s="16">
        <f>IF(INDEX(Data_Checks!$D:$D,147+1)="","",INDEX(Data_Checks!$D:$D,147+1))</f>
        <v/>
      </c>
      <c r="E151" s="16">
        <f>IF(INDEX(Data_Checks!$E:$E,147+1)="","",INDEX(Data_Checks!$E:$E,147+1))</f>
        <v/>
      </c>
      <c r="F151" s="17">
        <f>IF(INDEX(Data_Checks!$F:$F,147+1)="","",INDEX(Data_Checks!$F:$F,147+1))</f>
        <v/>
      </c>
      <c r="G151" s="2">
        <f>IF(INDEX(Data_Checks!$G:$G,147+1)="","",INDEX(Data_Checks!$G:$G,147+1))</f>
        <v/>
      </c>
      <c r="H151" s="3">
        <f>IF(INDEX(Data_Checks!$H:$H,147+1)="","",INDEX(Data_Checks!$H:$H,147+1))</f>
        <v/>
      </c>
      <c r="I151" s="18" t="n"/>
      <c r="J151" s="18" t="n"/>
      <c r="K151" s="18" t="n"/>
      <c r="L151" s="18" t="n"/>
    </row>
    <row r="152">
      <c r="A152" s="3">
        <f>IF(INDEX(Data_Checks!$A:$A,148+1)="","",INDEX(Data_Checks!$A:$A,148+1))</f>
        <v/>
      </c>
      <c r="B152" s="3">
        <f>IF(INDEX(Data_Checks!$B:$B,148+1)="","",INDEX(Data_Checks!$B:$B,148+1))</f>
        <v/>
      </c>
      <c r="C152" s="3">
        <f>IF(INDEX(Data_Checks!$C:$C,148+1)="","",INDEX(Data_Checks!$C:$C,148+1))</f>
        <v/>
      </c>
      <c r="D152" s="16">
        <f>IF(INDEX(Data_Checks!$D:$D,148+1)="","",INDEX(Data_Checks!$D:$D,148+1))</f>
        <v/>
      </c>
      <c r="E152" s="16">
        <f>IF(INDEX(Data_Checks!$E:$E,148+1)="","",INDEX(Data_Checks!$E:$E,148+1))</f>
        <v/>
      </c>
      <c r="F152" s="17">
        <f>IF(INDEX(Data_Checks!$F:$F,148+1)="","",INDEX(Data_Checks!$F:$F,148+1))</f>
        <v/>
      </c>
      <c r="G152" s="2">
        <f>IF(INDEX(Data_Checks!$G:$G,148+1)="","",INDEX(Data_Checks!$G:$G,148+1))</f>
        <v/>
      </c>
      <c r="H152" s="3">
        <f>IF(INDEX(Data_Checks!$H:$H,148+1)="","",INDEX(Data_Checks!$H:$H,148+1))</f>
        <v/>
      </c>
      <c r="I152" s="18" t="n"/>
      <c r="J152" s="18" t="n"/>
      <c r="K152" s="18" t="n"/>
      <c r="L152" s="18" t="n"/>
    </row>
    <row r="153">
      <c r="A153" s="3">
        <f>IF(INDEX(Data_Checks!$A:$A,149+1)="","",INDEX(Data_Checks!$A:$A,149+1))</f>
        <v/>
      </c>
      <c r="B153" s="3">
        <f>IF(INDEX(Data_Checks!$B:$B,149+1)="","",INDEX(Data_Checks!$B:$B,149+1))</f>
        <v/>
      </c>
      <c r="C153" s="3">
        <f>IF(INDEX(Data_Checks!$C:$C,149+1)="","",INDEX(Data_Checks!$C:$C,149+1))</f>
        <v/>
      </c>
      <c r="D153" s="16">
        <f>IF(INDEX(Data_Checks!$D:$D,149+1)="","",INDEX(Data_Checks!$D:$D,149+1))</f>
        <v/>
      </c>
      <c r="E153" s="16">
        <f>IF(INDEX(Data_Checks!$E:$E,149+1)="","",INDEX(Data_Checks!$E:$E,149+1))</f>
        <v/>
      </c>
      <c r="F153" s="17">
        <f>IF(INDEX(Data_Checks!$F:$F,149+1)="","",INDEX(Data_Checks!$F:$F,149+1))</f>
        <v/>
      </c>
      <c r="G153" s="2">
        <f>IF(INDEX(Data_Checks!$G:$G,149+1)="","",INDEX(Data_Checks!$G:$G,149+1))</f>
        <v/>
      </c>
      <c r="H153" s="3">
        <f>IF(INDEX(Data_Checks!$H:$H,149+1)="","",INDEX(Data_Checks!$H:$H,149+1))</f>
        <v/>
      </c>
      <c r="I153" s="18" t="n"/>
      <c r="J153" s="18" t="n"/>
      <c r="K153" s="18" t="n"/>
      <c r="L153" s="18" t="n"/>
    </row>
    <row r="154">
      <c r="A154" s="3">
        <f>IF(INDEX(Data_Checks!$A:$A,150+1)="","",INDEX(Data_Checks!$A:$A,150+1))</f>
        <v/>
      </c>
      <c r="B154" s="3">
        <f>IF(INDEX(Data_Checks!$B:$B,150+1)="","",INDEX(Data_Checks!$B:$B,150+1))</f>
        <v/>
      </c>
      <c r="C154" s="3">
        <f>IF(INDEX(Data_Checks!$C:$C,150+1)="","",INDEX(Data_Checks!$C:$C,150+1))</f>
        <v/>
      </c>
      <c r="D154" s="16">
        <f>IF(INDEX(Data_Checks!$D:$D,150+1)="","",INDEX(Data_Checks!$D:$D,150+1))</f>
        <v/>
      </c>
      <c r="E154" s="16">
        <f>IF(INDEX(Data_Checks!$E:$E,150+1)="","",INDEX(Data_Checks!$E:$E,150+1))</f>
        <v/>
      </c>
      <c r="F154" s="17">
        <f>IF(INDEX(Data_Checks!$F:$F,150+1)="","",INDEX(Data_Checks!$F:$F,150+1))</f>
        <v/>
      </c>
      <c r="G154" s="2">
        <f>IF(INDEX(Data_Checks!$G:$G,150+1)="","",INDEX(Data_Checks!$G:$G,150+1))</f>
        <v/>
      </c>
      <c r="H154" s="3">
        <f>IF(INDEX(Data_Checks!$H:$H,150+1)="","",INDEX(Data_Checks!$H:$H,150+1))</f>
        <v/>
      </c>
      <c r="I154" s="18" t="n"/>
      <c r="J154" s="18" t="n"/>
      <c r="K154" s="18" t="n"/>
      <c r="L154" s="18" t="n"/>
    </row>
  </sheetData>
  <conditionalFormatting sqref="G5:G154">
    <cfRule type="cellIs" priority="1" operator="equal" dxfId="0">
      <formula>"FLAG"</formula>
    </cfRule>
    <cfRule type="cellIs" priority="2" operator="equal" dxfId="1">
      <formula>"INFO"</formula>
    </cfRule>
    <cfRule type="cellIs" priority="3" operator="equal" dxfId="2">
      <formula>"PASS"</formula>
    </cfRule>
    <cfRule type="cellIs" priority="4" operator="equal" dxfId="3">
      <formula>"SKIP"</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c r="A1" s="1">
        <f>Data_Params!$B$14&amp;" | Usage and revenue by month"</f>
        <v/>
      </c>
    </row>
    <row r="2">
      <c r="A2" s="7" t="inlineStr">
        <is>
          <t>Formulas only: every number reads the Data_ sheets. Tokens in billions, $ in thousands.</t>
        </is>
      </c>
    </row>
    <row r="4">
      <c r="A4" s="8" t="inlineStr">
        <is>
          <t>Line</t>
        </is>
      </c>
      <c r="B4" s="9">
        <f>EDATE(Data_Params!$B$3,0)</f>
        <v/>
      </c>
      <c r="C4" s="9">
        <f>EDATE(Data_Params!$B$3,1)</f>
        <v/>
      </c>
      <c r="D4" s="9">
        <f>EDATE(Data_Params!$B$3,2)</f>
        <v/>
      </c>
      <c r="E4" s="9">
        <f>EDATE(Data_Params!$B$3,3)</f>
        <v/>
      </c>
      <c r="F4" s="9">
        <f>EDATE(Data_Params!$B$3,4)</f>
        <v/>
      </c>
      <c r="G4" s="9">
        <f>EDATE(Data_Params!$B$3,5)</f>
        <v/>
      </c>
      <c r="H4" s="9">
        <f>EDATE(Data_Params!$B$3,6)</f>
        <v/>
      </c>
      <c r="I4" s="9">
        <f>EDATE(Data_Params!$B$3,7)</f>
        <v/>
      </c>
      <c r="J4" s="9">
        <f>EDATE(Data_Params!$B$3,8)</f>
        <v/>
      </c>
      <c r="K4" s="9">
        <f>EDATE(Data_Params!$B$3,9)</f>
        <v/>
      </c>
      <c r="L4" s="9">
        <f>EDATE(Data_Params!$B$3,10)</f>
        <v/>
      </c>
      <c r="M4" s="9">
        <f>EDATE(Data_Params!$B$3,11)</f>
        <v/>
      </c>
    </row>
    <row r="5">
      <c r="A5" s="19" t="inlineStr">
        <is>
          <t>Billable tokens (B)</t>
        </is>
      </c>
      <c r="B5" s="20" t="n"/>
      <c r="C5" s="20" t="n"/>
      <c r="D5" s="20" t="n"/>
      <c r="E5" s="20" t="n"/>
      <c r="F5" s="20" t="n"/>
      <c r="G5" s="20" t="n"/>
      <c r="H5" s="20" t="n"/>
      <c r="I5" s="20" t="n"/>
      <c r="J5" s="20" t="n"/>
      <c r="K5" s="20" t="n"/>
      <c r="L5" s="20" t="n"/>
      <c r="M5" s="20" t="n"/>
    </row>
    <row r="6">
      <c r="A6" s="3" t="inlineStr">
        <is>
          <t>Enterprise</t>
        </is>
      </c>
      <c r="B6" s="21">
        <f>SUMIFS(Data_Monthly!$F:$F,Data_Monthly!$A:$A,B$4,Data_Monthly!$B:$B,"enterprise")/1E9</f>
        <v/>
      </c>
      <c r="C6" s="21">
        <f>SUMIFS(Data_Monthly!$F:$F,Data_Monthly!$A:$A,C$4,Data_Monthly!$B:$B,"enterprise")/1E9</f>
        <v/>
      </c>
      <c r="D6" s="21">
        <f>SUMIFS(Data_Monthly!$F:$F,Data_Monthly!$A:$A,D$4,Data_Monthly!$B:$B,"enterprise")/1E9</f>
        <v/>
      </c>
      <c r="E6" s="21">
        <f>SUMIFS(Data_Monthly!$F:$F,Data_Monthly!$A:$A,E$4,Data_Monthly!$B:$B,"enterprise")/1E9</f>
        <v/>
      </c>
      <c r="F6" s="21">
        <f>SUMIFS(Data_Monthly!$F:$F,Data_Monthly!$A:$A,F$4,Data_Monthly!$B:$B,"enterprise")/1E9</f>
        <v/>
      </c>
      <c r="G6" s="21">
        <f>SUMIFS(Data_Monthly!$F:$F,Data_Monthly!$A:$A,G$4,Data_Monthly!$B:$B,"enterprise")/1E9</f>
        <v/>
      </c>
      <c r="H6" s="21">
        <f>SUMIFS(Data_Monthly!$F:$F,Data_Monthly!$A:$A,H$4,Data_Monthly!$B:$B,"enterprise")/1E9</f>
        <v/>
      </c>
      <c r="I6" s="21">
        <f>SUMIFS(Data_Monthly!$F:$F,Data_Monthly!$A:$A,I$4,Data_Monthly!$B:$B,"enterprise")/1E9</f>
        <v/>
      </c>
      <c r="J6" s="21">
        <f>SUMIFS(Data_Monthly!$F:$F,Data_Monthly!$A:$A,J$4,Data_Monthly!$B:$B,"enterprise")/1E9</f>
        <v/>
      </c>
      <c r="K6" s="21">
        <f>SUMIFS(Data_Monthly!$F:$F,Data_Monthly!$A:$A,K$4,Data_Monthly!$B:$B,"enterprise")/1E9</f>
        <v/>
      </c>
      <c r="L6" s="21">
        <f>SUMIFS(Data_Monthly!$F:$F,Data_Monthly!$A:$A,L$4,Data_Monthly!$B:$B,"enterprise")/1E9</f>
        <v/>
      </c>
      <c r="M6" s="21">
        <f>SUMIFS(Data_Monthly!$F:$F,Data_Monthly!$A:$A,M$4,Data_Monthly!$B:$B,"enterprise")/1E9</f>
        <v/>
      </c>
    </row>
    <row r="7">
      <c r="A7" s="3" t="inlineStr">
        <is>
          <t>Self-serve</t>
        </is>
      </c>
      <c r="B7" s="21">
        <f>SUMIFS(Data_Monthly!$F:$F,Data_Monthly!$A:$A,B$4,Data_Monthly!$B:$B,"self_serve")/1E9</f>
        <v/>
      </c>
      <c r="C7" s="21">
        <f>SUMIFS(Data_Monthly!$F:$F,Data_Monthly!$A:$A,C$4,Data_Monthly!$B:$B,"self_serve")/1E9</f>
        <v/>
      </c>
      <c r="D7" s="21">
        <f>SUMIFS(Data_Monthly!$F:$F,Data_Monthly!$A:$A,D$4,Data_Monthly!$B:$B,"self_serve")/1E9</f>
        <v/>
      </c>
      <c r="E7" s="21">
        <f>SUMIFS(Data_Monthly!$F:$F,Data_Monthly!$A:$A,E$4,Data_Monthly!$B:$B,"self_serve")/1E9</f>
        <v/>
      </c>
      <c r="F7" s="21">
        <f>SUMIFS(Data_Monthly!$F:$F,Data_Monthly!$A:$A,F$4,Data_Monthly!$B:$B,"self_serve")/1E9</f>
        <v/>
      </c>
      <c r="G7" s="21">
        <f>SUMIFS(Data_Monthly!$F:$F,Data_Monthly!$A:$A,G$4,Data_Monthly!$B:$B,"self_serve")/1E9</f>
        <v/>
      </c>
      <c r="H7" s="21">
        <f>SUMIFS(Data_Monthly!$F:$F,Data_Monthly!$A:$A,H$4,Data_Monthly!$B:$B,"self_serve")/1E9</f>
        <v/>
      </c>
      <c r="I7" s="21">
        <f>SUMIFS(Data_Monthly!$F:$F,Data_Monthly!$A:$A,I$4,Data_Monthly!$B:$B,"self_serve")/1E9</f>
        <v/>
      </c>
      <c r="J7" s="21">
        <f>SUMIFS(Data_Monthly!$F:$F,Data_Monthly!$A:$A,J$4,Data_Monthly!$B:$B,"self_serve")/1E9</f>
        <v/>
      </c>
      <c r="K7" s="21">
        <f>SUMIFS(Data_Monthly!$F:$F,Data_Monthly!$A:$A,K$4,Data_Monthly!$B:$B,"self_serve")/1E9</f>
        <v/>
      </c>
      <c r="L7" s="21">
        <f>SUMIFS(Data_Monthly!$F:$F,Data_Monthly!$A:$A,L$4,Data_Monthly!$B:$B,"self_serve")/1E9</f>
        <v/>
      </c>
      <c r="M7" s="21">
        <f>SUMIFS(Data_Monthly!$F:$F,Data_Monthly!$A:$A,M$4,Data_Monthly!$B:$B,"self_serve")/1E9</f>
        <v/>
      </c>
    </row>
    <row r="8">
      <c r="A8" s="3" t="inlineStr">
        <is>
          <t>Gateways that don't pass customer IDs</t>
        </is>
      </c>
      <c r="B8" s="21">
        <f>SUMIFS(Data_Monthly!$F:$F,Data_Monthly!$A:$A,B$4,Data_Monthly!$B:$B,"gateway_aggregate")/1E9</f>
        <v/>
      </c>
      <c r="C8" s="21">
        <f>SUMIFS(Data_Monthly!$F:$F,Data_Monthly!$A:$A,C$4,Data_Monthly!$B:$B,"gateway_aggregate")/1E9</f>
        <v/>
      </c>
      <c r="D8" s="21">
        <f>SUMIFS(Data_Monthly!$F:$F,Data_Monthly!$A:$A,D$4,Data_Monthly!$B:$B,"gateway_aggregate")/1E9</f>
        <v/>
      </c>
      <c r="E8" s="21">
        <f>SUMIFS(Data_Monthly!$F:$F,Data_Monthly!$A:$A,E$4,Data_Monthly!$B:$B,"gateway_aggregate")/1E9</f>
        <v/>
      </c>
      <c r="F8" s="21">
        <f>SUMIFS(Data_Monthly!$F:$F,Data_Monthly!$A:$A,F$4,Data_Monthly!$B:$B,"gateway_aggregate")/1E9</f>
        <v/>
      </c>
      <c r="G8" s="21">
        <f>SUMIFS(Data_Monthly!$F:$F,Data_Monthly!$A:$A,G$4,Data_Monthly!$B:$B,"gateway_aggregate")/1E9</f>
        <v/>
      </c>
      <c r="H8" s="21">
        <f>SUMIFS(Data_Monthly!$F:$F,Data_Monthly!$A:$A,H$4,Data_Monthly!$B:$B,"gateway_aggregate")/1E9</f>
        <v/>
      </c>
      <c r="I8" s="21">
        <f>SUMIFS(Data_Monthly!$F:$F,Data_Monthly!$A:$A,I$4,Data_Monthly!$B:$B,"gateway_aggregate")/1E9</f>
        <v/>
      </c>
      <c r="J8" s="21">
        <f>SUMIFS(Data_Monthly!$F:$F,Data_Monthly!$A:$A,J$4,Data_Monthly!$B:$B,"gateway_aggregate")/1E9</f>
        <v/>
      </c>
      <c r="K8" s="21">
        <f>SUMIFS(Data_Monthly!$F:$F,Data_Monthly!$A:$A,K$4,Data_Monthly!$B:$B,"gateway_aggregate")/1E9</f>
        <v/>
      </c>
      <c r="L8" s="21">
        <f>SUMIFS(Data_Monthly!$F:$F,Data_Monthly!$A:$A,L$4,Data_Monthly!$B:$B,"gateway_aggregate")/1E9</f>
        <v/>
      </c>
      <c r="M8" s="21">
        <f>SUMIFS(Data_Monthly!$F:$F,Data_Monthly!$A:$A,M$4,Data_Monthly!$B:$B,"gateway_aggregate")/1E9</f>
        <v/>
      </c>
    </row>
    <row r="9">
      <c r="A9" s="3" t="inlineStr">
        <is>
          <t>Unmatched accounts (fix the accounts source)</t>
        </is>
      </c>
      <c r="B9" s="21">
        <f>SUMIFS(Data_Monthly!$F:$F,Data_Monthly!$A:$A,B$4,Data_Monthly!$B:$B,"unmatched")/1E9</f>
        <v/>
      </c>
      <c r="C9" s="21">
        <f>SUMIFS(Data_Monthly!$F:$F,Data_Monthly!$A:$A,C$4,Data_Monthly!$B:$B,"unmatched")/1E9</f>
        <v/>
      </c>
      <c r="D9" s="21">
        <f>SUMIFS(Data_Monthly!$F:$F,Data_Monthly!$A:$A,D$4,Data_Monthly!$B:$B,"unmatched")/1E9</f>
        <v/>
      </c>
      <c r="E9" s="21">
        <f>SUMIFS(Data_Monthly!$F:$F,Data_Monthly!$A:$A,E$4,Data_Monthly!$B:$B,"unmatched")/1E9</f>
        <v/>
      </c>
      <c r="F9" s="21">
        <f>SUMIFS(Data_Monthly!$F:$F,Data_Monthly!$A:$A,F$4,Data_Monthly!$B:$B,"unmatched")/1E9</f>
        <v/>
      </c>
      <c r="G9" s="21">
        <f>SUMIFS(Data_Monthly!$F:$F,Data_Monthly!$A:$A,G$4,Data_Monthly!$B:$B,"unmatched")/1E9</f>
        <v/>
      </c>
      <c r="H9" s="21">
        <f>SUMIFS(Data_Monthly!$F:$F,Data_Monthly!$A:$A,H$4,Data_Monthly!$B:$B,"unmatched")/1E9</f>
        <v/>
      </c>
      <c r="I9" s="21">
        <f>SUMIFS(Data_Monthly!$F:$F,Data_Monthly!$A:$A,I$4,Data_Monthly!$B:$B,"unmatched")/1E9</f>
        <v/>
      </c>
      <c r="J9" s="21">
        <f>SUMIFS(Data_Monthly!$F:$F,Data_Monthly!$A:$A,J$4,Data_Monthly!$B:$B,"unmatched")/1E9</f>
        <v/>
      </c>
      <c r="K9" s="21">
        <f>SUMIFS(Data_Monthly!$F:$F,Data_Monthly!$A:$A,K$4,Data_Monthly!$B:$B,"unmatched")/1E9</f>
        <v/>
      </c>
      <c r="L9" s="21">
        <f>SUMIFS(Data_Monthly!$F:$F,Data_Monthly!$A:$A,L$4,Data_Monthly!$B:$B,"unmatched")/1E9</f>
        <v/>
      </c>
      <c r="M9" s="21">
        <f>SUMIFS(Data_Monthly!$F:$F,Data_Monthly!$A:$A,M$4,Data_Monthly!$B:$B,"unmatched")/1E9</f>
        <v/>
      </c>
    </row>
    <row r="10">
      <c r="A10" s="2" t="inlineStr">
        <is>
          <t>Total billable tokens</t>
        </is>
      </c>
      <c r="B10" s="22">
        <f>SUM(B6:B9)</f>
        <v/>
      </c>
      <c r="C10" s="22">
        <f>SUM(C6:C9)</f>
        <v/>
      </c>
      <c r="D10" s="22">
        <f>SUM(D6:D9)</f>
        <v/>
      </c>
      <c r="E10" s="22">
        <f>SUM(E6:E9)</f>
        <v/>
      </c>
      <c r="F10" s="22">
        <f>SUM(F6:F9)</f>
        <v/>
      </c>
      <c r="G10" s="22">
        <f>SUM(G6:G9)</f>
        <v/>
      </c>
      <c r="H10" s="22">
        <f>SUM(H6:H9)</f>
        <v/>
      </c>
      <c r="I10" s="22">
        <f>SUM(I6:I9)</f>
        <v/>
      </c>
      <c r="J10" s="22">
        <f>SUM(J6:J9)</f>
        <v/>
      </c>
      <c r="K10" s="22">
        <f>SUM(K6:K9)</f>
        <v/>
      </c>
      <c r="L10" s="22">
        <f>SUM(L6:L9)</f>
        <v/>
      </c>
      <c r="M10" s="22">
        <f>SUM(M6:M9)</f>
        <v/>
      </c>
    </row>
    <row r="11">
      <c r="A11" s="3" t="inlineStr">
        <is>
          <t>Days of data in month</t>
        </is>
      </c>
      <c r="B11" s="23">
        <f>SUMIFS(Data_Months!$B:$B,Data_Months!$A:$A,B$4)</f>
        <v/>
      </c>
      <c r="C11" s="23">
        <f>SUMIFS(Data_Months!$B:$B,Data_Months!$A:$A,C$4)</f>
        <v/>
      </c>
      <c r="D11" s="23">
        <f>SUMIFS(Data_Months!$B:$B,Data_Months!$A:$A,D$4)</f>
        <v/>
      </c>
      <c r="E11" s="23">
        <f>SUMIFS(Data_Months!$B:$B,Data_Months!$A:$A,E$4)</f>
        <v/>
      </c>
      <c r="F11" s="23">
        <f>SUMIFS(Data_Months!$B:$B,Data_Months!$A:$A,F$4)</f>
        <v/>
      </c>
      <c r="G11" s="23">
        <f>SUMIFS(Data_Months!$B:$B,Data_Months!$A:$A,G$4)</f>
        <v/>
      </c>
      <c r="H11" s="23">
        <f>SUMIFS(Data_Months!$B:$B,Data_Months!$A:$A,H$4)</f>
        <v/>
      </c>
      <c r="I11" s="23">
        <f>SUMIFS(Data_Months!$B:$B,Data_Months!$A:$A,I$4)</f>
        <v/>
      </c>
      <c r="J11" s="23">
        <f>SUMIFS(Data_Months!$B:$B,Data_Months!$A:$A,J$4)</f>
        <v/>
      </c>
      <c r="K11" s="23">
        <f>SUMIFS(Data_Months!$B:$B,Data_Months!$A:$A,K$4)</f>
        <v/>
      </c>
      <c r="L11" s="23">
        <f>SUMIFS(Data_Months!$B:$B,Data_Months!$A:$A,L$4)</f>
        <v/>
      </c>
      <c r="M11" s="23">
        <f>SUMIFS(Data_Months!$B:$B,Data_Months!$A:$A,M$4)</f>
        <v/>
      </c>
    </row>
    <row r="12">
      <c r="A12" s="2" t="inlineStr">
        <is>
          <t>Tokens per day (B)</t>
        </is>
      </c>
      <c r="B12" s="22">
        <f>IF(B11=0,0,B10/B11)</f>
        <v/>
      </c>
      <c r="C12" s="22">
        <f>IF(C11=0,0,C10/C11)</f>
        <v/>
      </c>
      <c r="D12" s="22">
        <f>IF(D11=0,0,D10/D11)</f>
        <v/>
      </c>
      <c r="E12" s="22">
        <f>IF(E11=0,0,E10/E11)</f>
        <v/>
      </c>
      <c r="F12" s="22">
        <f>IF(F11=0,0,F10/F11)</f>
        <v/>
      </c>
      <c r="G12" s="22">
        <f>IF(G11=0,0,G10/G11)</f>
        <v/>
      </c>
      <c r="H12" s="22">
        <f>IF(H11=0,0,H10/H11)</f>
        <v/>
      </c>
      <c r="I12" s="22">
        <f>IF(I11=0,0,I10/I11)</f>
        <v/>
      </c>
      <c r="J12" s="22">
        <f>IF(J11=0,0,J10/J11)</f>
        <v/>
      </c>
      <c r="K12" s="22">
        <f>IF(K11=0,0,K10/K11)</f>
        <v/>
      </c>
      <c r="L12" s="22">
        <f>IF(L11=0,0,L10/L11)</f>
        <v/>
      </c>
      <c r="M12" s="22">
        <f>IF(M11=0,0,M10/M11)</f>
        <v/>
      </c>
    </row>
    <row r="13">
      <c r="A13" s="3" t="inlineStr">
        <is>
          <t xml:space="preserve">  Enterprise, per day</t>
        </is>
      </c>
      <c r="B13" s="24">
        <f>IF(B11=0,0,B6/B11)</f>
        <v/>
      </c>
      <c r="C13" s="24">
        <f>IF(C11=0,0,C6/C11)</f>
        <v/>
      </c>
      <c r="D13" s="24">
        <f>IF(D11=0,0,D6/D11)</f>
        <v/>
      </c>
      <c r="E13" s="24">
        <f>IF(E11=0,0,E6/E11)</f>
        <v/>
      </c>
      <c r="F13" s="24">
        <f>IF(F11=0,0,F6/F11)</f>
        <v/>
      </c>
      <c r="G13" s="24">
        <f>IF(G11=0,0,G6/G11)</f>
        <v/>
      </c>
      <c r="H13" s="24">
        <f>IF(H11=0,0,H6/H11)</f>
        <v/>
      </c>
      <c r="I13" s="24">
        <f>IF(I11=0,0,I6/I11)</f>
        <v/>
      </c>
      <c r="J13" s="24">
        <f>IF(J11=0,0,J6/J11)</f>
        <v/>
      </c>
      <c r="K13" s="24">
        <f>IF(K11=0,0,K6/K11)</f>
        <v/>
      </c>
      <c r="L13" s="24">
        <f>IF(L11=0,0,L6/L11)</f>
        <v/>
      </c>
      <c r="M13" s="24">
        <f>IF(M11=0,0,M6/M11)</f>
        <v/>
      </c>
    </row>
    <row r="14">
      <c r="A14" s="3" t="inlineStr">
        <is>
          <t xml:space="preserve">  Self-serve, per day</t>
        </is>
      </c>
      <c r="B14" s="24">
        <f>IF(B11=0,0,B7/B11)</f>
        <v/>
      </c>
      <c r="C14" s="24">
        <f>IF(C11=0,0,C7/C11)</f>
        <v/>
      </c>
      <c r="D14" s="24">
        <f>IF(D11=0,0,D7/D11)</f>
        <v/>
      </c>
      <c r="E14" s="24">
        <f>IF(E11=0,0,E7/E11)</f>
        <v/>
      </c>
      <c r="F14" s="24">
        <f>IF(F11=0,0,F7/F11)</f>
        <v/>
      </c>
      <c r="G14" s="24">
        <f>IF(G11=0,0,G7/G11)</f>
        <v/>
      </c>
      <c r="H14" s="24">
        <f>IF(H11=0,0,H7/H11)</f>
        <v/>
      </c>
      <c r="I14" s="24">
        <f>IF(I11=0,0,I7/I11)</f>
        <v/>
      </c>
      <c r="J14" s="24">
        <f>IF(J11=0,0,J7/J11)</f>
        <v/>
      </c>
      <c r="K14" s="24">
        <f>IF(K11=0,0,K7/K11)</f>
        <v/>
      </c>
      <c r="L14" s="24">
        <f>IF(L11=0,0,L7/L11)</f>
        <v/>
      </c>
      <c r="M14" s="24">
        <f>IF(M11=0,0,M7/M11)</f>
        <v/>
      </c>
    </row>
    <row r="15">
      <c r="A15" s="3" t="inlineStr">
        <is>
          <t xml:space="preserve">  Gateways that don't pass customer IDs, per day</t>
        </is>
      </c>
      <c r="B15" s="24">
        <f>IF(B11=0,0,B8/B11)</f>
        <v/>
      </c>
      <c r="C15" s="24">
        <f>IF(C11=0,0,C8/C11)</f>
        <v/>
      </c>
      <c r="D15" s="24">
        <f>IF(D11=0,0,D8/D11)</f>
        <v/>
      </c>
      <c r="E15" s="24">
        <f>IF(E11=0,0,E8/E11)</f>
        <v/>
      </c>
      <c r="F15" s="24">
        <f>IF(F11=0,0,F8/F11)</f>
        <v/>
      </c>
      <c r="G15" s="24">
        <f>IF(G11=0,0,G8/G11)</f>
        <v/>
      </c>
      <c r="H15" s="24">
        <f>IF(H11=0,0,H8/H11)</f>
        <v/>
      </c>
      <c r="I15" s="24">
        <f>IF(I11=0,0,I8/I11)</f>
        <v/>
      </c>
      <c r="J15" s="24">
        <f>IF(J11=0,0,J8/J11)</f>
        <v/>
      </c>
      <c r="K15" s="24">
        <f>IF(K11=0,0,K8/K11)</f>
        <v/>
      </c>
      <c r="L15" s="24">
        <f>IF(L11=0,0,L8/L11)</f>
        <v/>
      </c>
      <c r="M15" s="24">
        <f>IF(M11=0,0,M8/M11)</f>
        <v/>
      </c>
    </row>
    <row r="16">
      <c r="A16" s="3" t="inlineStr">
        <is>
          <t>Growth in tokens per day vs prior month</t>
        </is>
      </c>
      <c r="C16" s="25">
        <f>IF(B12=0,0,C12/B12-1)</f>
        <v/>
      </c>
      <c r="D16" s="25">
        <f>IF(C12=0,0,D12/C12-1)</f>
        <v/>
      </c>
      <c r="E16" s="25">
        <f>IF(D12=0,0,E12/D12-1)</f>
        <v/>
      </c>
      <c r="F16" s="25">
        <f>IF(E12=0,0,F12/E12-1)</f>
        <v/>
      </c>
      <c r="G16" s="25">
        <f>IF(F12=0,0,G12/F12-1)</f>
        <v/>
      </c>
      <c r="H16" s="25">
        <f>IF(G12=0,0,H12/G12-1)</f>
        <v/>
      </c>
      <c r="I16" s="25">
        <f>IF(H12=0,0,I12/H12-1)</f>
        <v/>
      </c>
      <c r="J16" s="25">
        <f>IF(I12=0,0,J12/I12-1)</f>
        <v/>
      </c>
      <c r="K16" s="25">
        <f>IF(J12=0,0,K12/J12-1)</f>
        <v/>
      </c>
      <c r="L16" s="25">
        <f>IF(K12=0,0,L12/K12-1)</f>
        <v/>
      </c>
      <c r="M16" s="25">
        <f>IF(L12=0,0,M12/L12-1)</f>
        <v/>
      </c>
    </row>
    <row r="18">
      <c r="A18" s="19" t="inlineStr">
        <is>
          <t>Billable tokens by channel (B)</t>
        </is>
      </c>
      <c r="B18" s="20" t="n"/>
      <c r="C18" s="20" t="n"/>
      <c r="D18" s="20" t="n"/>
      <c r="E18" s="20" t="n"/>
      <c r="F18" s="20" t="n"/>
      <c r="G18" s="20" t="n"/>
      <c r="H18" s="20" t="n"/>
      <c r="I18" s="20" t="n"/>
      <c r="J18" s="20" t="n"/>
      <c r="K18" s="20" t="n"/>
      <c r="L18" s="20" t="n"/>
      <c r="M18" s="20" t="n"/>
    </row>
    <row r="19">
      <c r="A19" s="3">
        <f>IF(INDEX(Data_Lists!$B:$B,1+1)="","",INDEX(Data_Lists!$B:$B,1+1))</f>
        <v/>
      </c>
      <c r="B19" s="21">
        <f>IF($A19="","",SUMIFS(Data_Monthly!$F:$F,Data_Monthly!$A:$A,B$4,Data_Monthly!$C:$C,$A19)/1E9)</f>
        <v/>
      </c>
      <c r="C19" s="21">
        <f>IF($A19="","",SUMIFS(Data_Monthly!$F:$F,Data_Monthly!$A:$A,C$4,Data_Monthly!$C:$C,$A19)/1E9)</f>
        <v/>
      </c>
      <c r="D19" s="21">
        <f>IF($A19="","",SUMIFS(Data_Monthly!$F:$F,Data_Monthly!$A:$A,D$4,Data_Monthly!$C:$C,$A19)/1E9)</f>
        <v/>
      </c>
      <c r="E19" s="21">
        <f>IF($A19="","",SUMIFS(Data_Monthly!$F:$F,Data_Monthly!$A:$A,E$4,Data_Monthly!$C:$C,$A19)/1E9)</f>
        <v/>
      </c>
      <c r="F19" s="21">
        <f>IF($A19="","",SUMIFS(Data_Monthly!$F:$F,Data_Monthly!$A:$A,F$4,Data_Monthly!$C:$C,$A19)/1E9)</f>
        <v/>
      </c>
      <c r="G19" s="21">
        <f>IF($A19="","",SUMIFS(Data_Monthly!$F:$F,Data_Monthly!$A:$A,G$4,Data_Monthly!$C:$C,$A19)/1E9)</f>
        <v/>
      </c>
      <c r="H19" s="21">
        <f>IF($A19="","",SUMIFS(Data_Monthly!$F:$F,Data_Monthly!$A:$A,H$4,Data_Monthly!$C:$C,$A19)/1E9)</f>
        <v/>
      </c>
      <c r="I19" s="21">
        <f>IF($A19="","",SUMIFS(Data_Monthly!$F:$F,Data_Monthly!$A:$A,I$4,Data_Monthly!$C:$C,$A19)/1E9)</f>
        <v/>
      </c>
      <c r="J19" s="21">
        <f>IF($A19="","",SUMIFS(Data_Monthly!$F:$F,Data_Monthly!$A:$A,J$4,Data_Monthly!$C:$C,$A19)/1E9)</f>
        <v/>
      </c>
      <c r="K19" s="21">
        <f>IF($A19="","",SUMIFS(Data_Monthly!$F:$F,Data_Monthly!$A:$A,K$4,Data_Monthly!$C:$C,$A19)/1E9)</f>
        <v/>
      </c>
      <c r="L19" s="21">
        <f>IF($A19="","",SUMIFS(Data_Monthly!$F:$F,Data_Monthly!$A:$A,L$4,Data_Monthly!$C:$C,$A19)/1E9)</f>
        <v/>
      </c>
      <c r="M19" s="21">
        <f>IF($A19="","",SUMIFS(Data_Monthly!$F:$F,Data_Monthly!$A:$A,M$4,Data_Monthly!$C:$C,$A19)/1E9)</f>
        <v/>
      </c>
    </row>
    <row r="20">
      <c r="A20" s="3">
        <f>IF(INDEX(Data_Lists!$B:$B,2+1)="","",INDEX(Data_Lists!$B:$B,2+1))</f>
        <v/>
      </c>
      <c r="B20" s="21">
        <f>IF($A20="","",SUMIFS(Data_Monthly!$F:$F,Data_Monthly!$A:$A,B$4,Data_Monthly!$C:$C,$A20)/1E9)</f>
        <v/>
      </c>
      <c r="C20" s="21">
        <f>IF($A20="","",SUMIFS(Data_Monthly!$F:$F,Data_Monthly!$A:$A,C$4,Data_Monthly!$C:$C,$A20)/1E9)</f>
        <v/>
      </c>
      <c r="D20" s="21">
        <f>IF($A20="","",SUMIFS(Data_Monthly!$F:$F,Data_Monthly!$A:$A,D$4,Data_Monthly!$C:$C,$A20)/1E9)</f>
        <v/>
      </c>
      <c r="E20" s="21">
        <f>IF($A20="","",SUMIFS(Data_Monthly!$F:$F,Data_Monthly!$A:$A,E$4,Data_Monthly!$C:$C,$A20)/1E9)</f>
        <v/>
      </c>
      <c r="F20" s="21">
        <f>IF($A20="","",SUMIFS(Data_Monthly!$F:$F,Data_Monthly!$A:$A,F$4,Data_Monthly!$C:$C,$A20)/1E9)</f>
        <v/>
      </c>
      <c r="G20" s="21">
        <f>IF($A20="","",SUMIFS(Data_Monthly!$F:$F,Data_Monthly!$A:$A,G$4,Data_Monthly!$C:$C,$A20)/1E9)</f>
        <v/>
      </c>
      <c r="H20" s="21">
        <f>IF($A20="","",SUMIFS(Data_Monthly!$F:$F,Data_Monthly!$A:$A,H$4,Data_Monthly!$C:$C,$A20)/1E9)</f>
        <v/>
      </c>
      <c r="I20" s="21">
        <f>IF($A20="","",SUMIFS(Data_Monthly!$F:$F,Data_Monthly!$A:$A,I$4,Data_Monthly!$C:$C,$A20)/1E9)</f>
        <v/>
      </c>
      <c r="J20" s="21">
        <f>IF($A20="","",SUMIFS(Data_Monthly!$F:$F,Data_Monthly!$A:$A,J$4,Data_Monthly!$C:$C,$A20)/1E9)</f>
        <v/>
      </c>
      <c r="K20" s="21">
        <f>IF($A20="","",SUMIFS(Data_Monthly!$F:$F,Data_Monthly!$A:$A,K$4,Data_Monthly!$C:$C,$A20)/1E9)</f>
        <v/>
      </c>
      <c r="L20" s="21">
        <f>IF($A20="","",SUMIFS(Data_Monthly!$F:$F,Data_Monthly!$A:$A,L$4,Data_Monthly!$C:$C,$A20)/1E9)</f>
        <v/>
      </c>
      <c r="M20" s="21">
        <f>IF($A20="","",SUMIFS(Data_Monthly!$F:$F,Data_Monthly!$A:$A,M$4,Data_Monthly!$C:$C,$A20)/1E9)</f>
        <v/>
      </c>
    </row>
    <row r="21">
      <c r="A21" s="3">
        <f>IF(INDEX(Data_Lists!$B:$B,3+1)="","",INDEX(Data_Lists!$B:$B,3+1))</f>
        <v/>
      </c>
      <c r="B21" s="21">
        <f>IF($A21="","",SUMIFS(Data_Monthly!$F:$F,Data_Monthly!$A:$A,B$4,Data_Monthly!$C:$C,$A21)/1E9)</f>
        <v/>
      </c>
      <c r="C21" s="21">
        <f>IF($A21="","",SUMIFS(Data_Monthly!$F:$F,Data_Monthly!$A:$A,C$4,Data_Monthly!$C:$C,$A21)/1E9)</f>
        <v/>
      </c>
      <c r="D21" s="21">
        <f>IF($A21="","",SUMIFS(Data_Monthly!$F:$F,Data_Monthly!$A:$A,D$4,Data_Monthly!$C:$C,$A21)/1E9)</f>
        <v/>
      </c>
      <c r="E21" s="21">
        <f>IF($A21="","",SUMIFS(Data_Monthly!$F:$F,Data_Monthly!$A:$A,E$4,Data_Monthly!$C:$C,$A21)/1E9)</f>
        <v/>
      </c>
      <c r="F21" s="21">
        <f>IF($A21="","",SUMIFS(Data_Monthly!$F:$F,Data_Monthly!$A:$A,F$4,Data_Monthly!$C:$C,$A21)/1E9)</f>
        <v/>
      </c>
      <c r="G21" s="21">
        <f>IF($A21="","",SUMIFS(Data_Monthly!$F:$F,Data_Monthly!$A:$A,G$4,Data_Monthly!$C:$C,$A21)/1E9)</f>
        <v/>
      </c>
      <c r="H21" s="21">
        <f>IF($A21="","",SUMIFS(Data_Monthly!$F:$F,Data_Monthly!$A:$A,H$4,Data_Monthly!$C:$C,$A21)/1E9)</f>
        <v/>
      </c>
      <c r="I21" s="21">
        <f>IF($A21="","",SUMIFS(Data_Monthly!$F:$F,Data_Monthly!$A:$A,I$4,Data_Monthly!$C:$C,$A21)/1E9)</f>
        <v/>
      </c>
      <c r="J21" s="21">
        <f>IF($A21="","",SUMIFS(Data_Monthly!$F:$F,Data_Monthly!$A:$A,J$4,Data_Monthly!$C:$C,$A21)/1E9)</f>
        <v/>
      </c>
      <c r="K21" s="21">
        <f>IF($A21="","",SUMIFS(Data_Monthly!$F:$F,Data_Monthly!$A:$A,K$4,Data_Monthly!$C:$C,$A21)/1E9)</f>
        <v/>
      </c>
      <c r="L21" s="21">
        <f>IF($A21="","",SUMIFS(Data_Monthly!$F:$F,Data_Monthly!$A:$A,L$4,Data_Monthly!$C:$C,$A21)/1E9)</f>
        <v/>
      </c>
      <c r="M21" s="21">
        <f>IF($A21="","",SUMIFS(Data_Monthly!$F:$F,Data_Monthly!$A:$A,M$4,Data_Monthly!$C:$C,$A21)/1E9)</f>
        <v/>
      </c>
    </row>
    <row r="22">
      <c r="A22" s="3">
        <f>IF(INDEX(Data_Lists!$B:$B,4+1)="","",INDEX(Data_Lists!$B:$B,4+1))</f>
        <v/>
      </c>
      <c r="B22" s="21">
        <f>IF($A22="","",SUMIFS(Data_Monthly!$F:$F,Data_Monthly!$A:$A,B$4,Data_Monthly!$C:$C,$A22)/1E9)</f>
        <v/>
      </c>
      <c r="C22" s="21">
        <f>IF($A22="","",SUMIFS(Data_Monthly!$F:$F,Data_Monthly!$A:$A,C$4,Data_Monthly!$C:$C,$A22)/1E9)</f>
        <v/>
      </c>
      <c r="D22" s="21">
        <f>IF($A22="","",SUMIFS(Data_Monthly!$F:$F,Data_Monthly!$A:$A,D$4,Data_Monthly!$C:$C,$A22)/1E9)</f>
        <v/>
      </c>
      <c r="E22" s="21">
        <f>IF($A22="","",SUMIFS(Data_Monthly!$F:$F,Data_Monthly!$A:$A,E$4,Data_Monthly!$C:$C,$A22)/1E9)</f>
        <v/>
      </c>
      <c r="F22" s="21">
        <f>IF($A22="","",SUMIFS(Data_Monthly!$F:$F,Data_Monthly!$A:$A,F$4,Data_Monthly!$C:$C,$A22)/1E9)</f>
        <v/>
      </c>
      <c r="G22" s="21">
        <f>IF($A22="","",SUMIFS(Data_Monthly!$F:$F,Data_Monthly!$A:$A,G$4,Data_Monthly!$C:$C,$A22)/1E9)</f>
        <v/>
      </c>
      <c r="H22" s="21">
        <f>IF($A22="","",SUMIFS(Data_Monthly!$F:$F,Data_Monthly!$A:$A,H$4,Data_Monthly!$C:$C,$A22)/1E9)</f>
        <v/>
      </c>
      <c r="I22" s="21">
        <f>IF($A22="","",SUMIFS(Data_Monthly!$F:$F,Data_Monthly!$A:$A,I$4,Data_Monthly!$C:$C,$A22)/1E9)</f>
        <v/>
      </c>
      <c r="J22" s="21">
        <f>IF($A22="","",SUMIFS(Data_Monthly!$F:$F,Data_Monthly!$A:$A,J$4,Data_Monthly!$C:$C,$A22)/1E9)</f>
        <v/>
      </c>
      <c r="K22" s="21">
        <f>IF($A22="","",SUMIFS(Data_Monthly!$F:$F,Data_Monthly!$A:$A,K$4,Data_Monthly!$C:$C,$A22)/1E9)</f>
        <v/>
      </c>
      <c r="L22" s="21">
        <f>IF($A22="","",SUMIFS(Data_Monthly!$F:$F,Data_Monthly!$A:$A,L$4,Data_Monthly!$C:$C,$A22)/1E9)</f>
        <v/>
      </c>
      <c r="M22" s="21">
        <f>IF($A22="","",SUMIFS(Data_Monthly!$F:$F,Data_Monthly!$A:$A,M$4,Data_Monthly!$C:$C,$A22)/1E9)</f>
        <v/>
      </c>
    </row>
    <row r="23">
      <c r="A23" s="3">
        <f>IF(INDEX(Data_Lists!$B:$B,5+1)="","",INDEX(Data_Lists!$B:$B,5+1))</f>
        <v/>
      </c>
      <c r="B23" s="21">
        <f>IF($A23="","",SUMIFS(Data_Monthly!$F:$F,Data_Monthly!$A:$A,B$4,Data_Monthly!$C:$C,$A23)/1E9)</f>
        <v/>
      </c>
      <c r="C23" s="21">
        <f>IF($A23="","",SUMIFS(Data_Monthly!$F:$F,Data_Monthly!$A:$A,C$4,Data_Monthly!$C:$C,$A23)/1E9)</f>
        <v/>
      </c>
      <c r="D23" s="21">
        <f>IF($A23="","",SUMIFS(Data_Monthly!$F:$F,Data_Monthly!$A:$A,D$4,Data_Monthly!$C:$C,$A23)/1E9)</f>
        <v/>
      </c>
      <c r="E23" s="21">
        <f>IF($A23="","",SUMIFS(Data_Monthly!$F:$F,Data_Monthly!$A:$A,E$4,Data_Monthly!$C:$C,$A23)/1E9)</f>
        <v/>
      </c>
      <c r="F23" s="21">
        <f>IF($A23="","",SUMIFS(Data_Monthly!$F:$F,Data_Monthly!$A:$A,F$4,Data_Monthly!$C:$C,$A23)/1E9)</f>
        <v/>
      </c>
      <c r="G23" s="21">
        <f>IF($A23="","",SUMIFS(Data_Monthly!$F:$F,Data_Monthly!$A:$A,G$4,Data_Monthly!$C:$C,$A23)/1E9)</f>
        <v/>
      </c>
      <c r="H23" s="21">
        <f>IF($A23="","",SUMIFS(Data_Monthly!$F:$F,Data_Monthly!$A:$A,H$4,Data_Monthly!$C:$C,$A23)/1E9)</f>
        <v/>
      </c>
      <c r="I23" s="21">
        <f>IF($A23="","",SUMIFS(Data_Monthly!$F:$F,Data_Monthly!$A:$A,I$4,Data_Monthly!$C:$C,$A23)/1E9)</f>
        <v/>
      </c>
      <c r="J23" s="21">
        <f>IF($A23="","",SUMIFS(Data_Monthly!$F:$F,Data_Monthly!$A:$A,J$4,Data_Monthly!$C:$C,$A23)/1E9)</f>
        <v/>
      </c>
      <c r="K23" s="21">
        <f>IF($A23="","",SUMIFS(Data_Monthly!$F:$F,Data_Monthly!$A:$A,K$4,Data_Monthly!$C:$C,$A23)/1E9)</f>
        <v/>
      </c>
      <c r="L23" s="21">
        <f>IF($A23="","",SUMIFS(Data_Monthly!$F:$F,Data_Monthly!$A:$A,L$4,Data_Monthly!$C:$C,$A23)/1E9)</f>
        <v/>
      </c>
      <c r="M23" s="21">
        <f>IF($A23="","",SUMIFS(Data_Monthly!$F:$F,Data_Monthly!$A:$A,M$4,Data_Monthly!$C:$C,$A23)/1E9)</f>
        <v/>
      </c>
    </row>
    <row r="24">
      <c r="A24" s="3">
        <f>IF(INDEX(Data_Lists!$B:$B,6+1)="","",INDEX(Data_Lists!$B:$B,6+1))</f>
        <v/>
      </c>
      <c r="B24" s="21">
        <f>IF($A24="","",SUMIFS(Data_Monthly!$F:$F,Data_Monthly!$A:$A,B$4,Data_Monthly!$C:$C,$A24)/1E9)</f>
        <v/>
      </c>
      <c r="C24" s="21">
        <f>IF($A24="","",SUMIFS(Data_Monthly!$F:$F,Data_Monthly!$A:$A,C$4,Data_Monthly!$C:$C,$A24)/1E9)</f>
        <v/>
      </c>
      <c r="D24" s="21">
        <f>IF($A24="","",SUMIFS(Data_Monthly!$F:$F,Data_Monthly!$A:$A,D$4,Data_Monthly!$C:$C,$A24)/1E9)</f>
        <v/>
      </c>
      <c r="E24" s="21">
        <f>IF($A24="","",SUMIFS(Data_Monthly!$F:$F,Data_Monthly!$A:$A,E$4,Data_Monthly!$C:$C,$A24)/1E9)</f>
        <v/>
      </c>
      <c r="F24" s="21">
        <f>IF($A24="","",SUMIFS(Data_Monthly!$F:$F,Data_Monthly!$A:$A,F$4,Data_Monthly!$C:$C,$A24)/1E9)</f>
        <v/>
      </c>
      <c r="G24" s="21">
        <f>IF($A24="","",SUMIFS(Data_Monthly!$F:$F,Data_Monthly!$A:$A,G$4,Data_Monthly!$C:$C,$A24)/1E9)</f>
        <v/>
      </c>
      <c r="H24" s="21">
        <f>IF($A24="","",SUMIFS(Data_Monthly!$F:$F,Data_Monthly!$A:$A,H$4,Data_Monthly!$C:$C,$A24)/1E9)</f>
        <v/>
      </c>
      <c r="I24" s="21">
        <f>IF($A24="","",SUMIFS(Data_Monthly!$F:$F,Data_Monthly!$A:$A,I$4,Data_Monthly!$C:$C,$A24)/1E9)</f>
        <v/>
      </c>
      <c r="J24" s="21">
        <f>IF($A24="","",SUMIFS(Data_Monthly!$F:$F,Data_Monthly!$A:$A,J$4,Data_Monthly!$C:$C,$A24)/1E9)</f>
        <v/>
      </c>
      <c r="K24" s="21">
        <f>IF($A24="","",SUMIFS(Data_Monthly!$F:$F,Data_Monthly!$A:$A,K$4,Data_Monthly!$C:$C,$A24)/1E9)</f>
        <v/>
      </c>
      <c r="L24" s="21">
        <f>IF($A24="","",SUMIFS(Data_Monthly!$F:$F,Data_Monthly!$A:$A,L$4,Data_Monthly!$C:$C,$A24)/1E9)</f>
        <v/>
      </c>
      <c r="M24" s="21">
        <f>IF($A24="","",SUMIFS(Data_Monthly!$F:$F,Data_Monthly!$A:$A,M$4,Data_Monthly!$C:$C,$A24)/1E9)</f>
        <v/>
      </c>
    </row>
    <row r="25">
      <c r="A25" s="3">
        <f>IF(INDEX(Data_Lists!$B:$B,7+1)="","",INDEX(Data_Lists!$B:$B,7+1))</f>
        <v/>
      </c>
      <c r="B25" s="21">
        <f>IF($A25="","",SUMIFS(Data_Monthly!$F:$F,Data_Monthly!$A:$A,B$4,Data_Monthly!$C:$C,$A25)/1E9)</f>
        <v/>
      </c>
      <c r="C25" s="21">
        <f>IF($A25="","",SUMIFS(Data_Monthly!$F:$F,Data_Monthly!$A:$A,C$4,Data_Monthly!$C:$C,$A25)/1E9)</f>
        <v/>
      </c>
      <c r="D25" s="21">
        <f>IF($A25="","",SUMIFS(Data_Monthly!$F:$F,Data_Monthly!$A:$A,D$4,Data_Monthly!$C:$C,$A25)/1E9)</f>
        <v/>
      </c>
      <c r="E25" s="21">
        <f>IF($A25="","",SUMIFS(Data_Monthly!$F:$F,Data_Monthly!$A:$A,E$4,Data_Monthly!$C:$C,$A25)/1E9)</f>
        <v/>
      </c>
      <c r="F25" s="21">
        <f>IF($A25="","",SUMIFS(Data_Monthly!$F:$F,Data_Monthly!$A:$A,F$4,Data_Monthly!$C:$C,$A25)/1E9)</f>
        <v/>
      </c>
      <c r="G25" s="21">
        <f>IF($A25="","",SUMIFS(Data_Monthly!$F:$F,Data_Monthly!$A:$A,G$4,Data_Monthly!$C:$C,$A25)/1E9)</f>
        <v/>
      </c>
      <c r="H25" s="21">
        <f>IF($A25="","",SUMIFS(Data_Monthly!$F:$F,Data_Monthly!$A:$A,H$4,Data_Monthly!$C:$C,$A25)/1E9)</f>
        <v/>
      </c>
      <c r="I25" s="21">
        <f>IF($A25="","",SUMIFS(Data_Monthly!$F:$F,Data_Monthly!$A:$A,I$4,Data_Monthly!$C:$C,$A25)/1E9)</f>
        <v/>
      </c>
      <c r="J25" s="21">
        <f>IF($A25="","",SUMIFS(Data_Monthly!$F:$F,Data_Monthly!$A:$A,J$4,Data_Monthly!$C:$C,$A25)/1E9)</f>
        <v/>
      </c>
      <c r="K25" s="21">
        <f>IF($A25="","",SUMIFS(Data_Monthly!$F:$F,Data_Monthly!$A:$A,K$4,Data_Monthly!$C:$C,$A25)/1E9)</f>
        <v/>
      </c>
      <c r="L25" s="21">
        <f>IF($A25="","",SUMIFS(Data_Monthly!$F:$F,Data_Monthly!$A:$A,L$4,Data_Monthly!$C:$C,$A25)/1E9)</f>
        <v/>
      </c>
      <c r="M25" s="21">
        <f>IF($A25="","",SUMIFS(Data_Monthly!$F:$F,Data_Monthly!$A:$A,M$4,Data_Monthly!$C:$C,$A25)/1E9)</f>
        <v/>
      </c>
    </row>
    <row r="26">
      <c r="A26" s="3">
        <f>IF(INDEX(Data_Lists!$B:$B,8+1)="","",INDEX(Data_Lists!$B:$B,8+1))</f>
        <v/>
      </c>
      <c r="B26" s="21">
        <f>IF($A26="","",SUMIFS(Data_Monthly!$F:$F,Data_Monthly!$A:$A,B$4,Data_Monthly!$C:$C,$A26)/1E9)</f>
        <v/>
      </c>
      <c r="C26" s="21">
        <f>IF($A26="","",SUMIFS(Data_Monthly!$F:$F,Data_Monthly!$A:$A,C$4,Data_Monthly!$C:$C,$A26)/1E9)</f>
        <v/>
      </c>
      <c r="D26" s="21">
        <f>IF($A26="","",SUMIFS(Data_Monthly!$F:$F,Data_Monthly!$A:$A,D$4,Data_Monthly!$C:$C,$A26)/1E9)</f>
        <v/>
      </c>
      <c r="E26" s="21">
        <f>IF($A26="","",SUMIFS(Data_Monthly!$F:$F,Data_Monthly!$A:$A,E$4,Data_Monthly!$C:$C,$A26)/1E9)</f>
        <v/>
      </c>
      <c r="F26" s="21">
        <f>IF($A26="","",SUMIFS(Data_Monthly!$F:$F,Data_Monthly!$A:$A,F$4,Data_Monthly!$C:$C,$A26)/1E9)</f>
        <v/>
      </c>
      <c r="G26" s="21">
        <f>IF($A26="","",SUMIFS(Data_Monthly!$F:$F,Data_Monthly!$A:$A,G$4,Data_Monthly!$C:$C,$A26)/1E9)</f>
        <v/>
      </c>
      <c r="H26" s="21">
        <f>IF($A26="","",SUMIFS(Data_Monthly!$F:$F,Data_Monthly!$A:$A,H$4,Data_Monthly!$C:$C,$A26)/1E9)</f>
        <v/>
      </c>
      <c r="I26" s="21">
        <f>IF($A26="","",SUMIFS(Data_Monthly!$F:$F,Data_Monthly!$A:$A,I$4,Data_Monthly!$C:$C,$A26)/1E9)</f>
        <v/>
      </c>
      <c r="J26" s="21">
        <f>IF($A26="","",SUMIFS(Data_Monthly!$F:$F,Data_Monthly!$A:$A,J$4,Data_Monthly!$C:$C,$A26)/1E9)</f>
        <v/>
      </c>
      <c r="K26" s="21">
        <f>IF($A26="","",SUMIFS(Data_Monthly!$F:$F,Data_Monthly!$A:$A,K$4,Data_Monthly!$C:$C,$A26)/1E9)</f>
        <v/>
      </c>
      <c r="L26" s="21">
        <f>IF($A26="","",SUMIFS(Data_Monthly!$F:$F,Data_Monthly!$A:$A,L$4,Data_Monthly!$C:$C,$A26)/1E9)</f>
        <v/>
      </c>
      <c r="M26" s="21">
        <f>IF($A26="","",SUMIFS(Data_Monthly!$F:$F,Data_Monthly!$A:$A,M$4,Data_Monthly!$C:$C,$A26)/1E9)</f>
        <v/>
      </c>
    </row>
    <row r="28">
      <c r="A28" s="19" t="inlineStr">
        <is>
          <t>Net revenue ($k)</t>
        </is>
      </c>
      <c r="B28" s="20" t="n"/>
      <c r="C28" s="20" t="n"/>
      <c r="D28" s="20" t="n"/>
      <c r="E28" s="20" t="n"/>
      <c r="F28" s="20" t="n"/>
      <c r="G28" s="20" t="n"/>
      <c r="H28" s="20" t="n"/>
      <c r="I28" s="20" t="n"/>
      <c r="J28" s="20" t="n"/>
      <c r="K28" s="20" t="n"/>
      <c r="L28" s="20" t="n"/>
      <c r="M28" s="20" t="n"/>
    </row>
    <row r="29">
      <c r="A29" s="3" t="inlineStr">
        <is>
          <t>Enterprise</t>
        </is>
      </c>
      <c r="B29" s="21">
        <f>SUMIFS(Data_Monthly!$L:$L,Data_Monthly!$A:$A,B$4,Data_Monthly!$B:$B,"enterprise")/1E3</f>
        <v/>
      </c>
      <c r="C29" s="21">
        <f>SUMIFS(Data_Monthly!$L:$L,Data_Monthly!$A:$A,C$4,Data_Monthly!$B:$B,"enterprise")/1E3</f>
        <v/>
      </c>
      <c r="D29" s="21">
        <f>SUMIFS(Data_Monthly!$L:$L,Data_Monthly!$A:$A,D$4,Data_Monthly!$B:$B,"enterprise")/1E3</f>
        <v/>
      </c>
      <c r="E29" s="21">
        <f>SUMIFS(Data_Monthly!$L:$L,Data_Monthly!$A:$A,E$4,Data_Monthly!$B:$B,"enterprise")/1E3</f>
        <v/>
      </c>
      <c r="F29" s="21">
        <f>SUMIFS(Data_Monthly!$L:$L,Data_Monthly!$A:$A,F$4,Data_Monthly!$B:$B,"enterprise")/1E3</f>
        <v/>
      </c>
      <c r="G29" s="21">
        <f>SUMIFS(Data_Monthly!$L:$L,Data_Monthly!$A:$A,G$4,Data_Monthly!$B:$B,"enterprise")/1E3</f>
        <v/>
      </c>
      <c r="H29" s="21">
        <f>SUMIFS(Data_Monthly!$L:$L,Data_Monthly!$A:$A,H$4,Data_Monthly!$B:$B,"enterprise")/1E3</f>
        <v/>
      </c>
      <c r="I29" s="21">
        <f>SUMIFS(Data_Monthly!$L:$L,Data_Monthly!$A:$A,I$4,Data_Monthly!$B:$B,"enterprise")/1E3</f>
        <v/>
      </c>
      <c r="J29" s="21">
        <f>SUMIFS(Data_Monthly!$L:$L,Data_Monthly!$A:$A,J$4,Data_Monthly!$B:$B,"enterprise")/1E3</f>
        <v/>
      </c>
      <c r="K29" s="21">
        <f>SUMIFS(Data_Monthly!$L:$L,Data_Monthly!$A:$A,K$4,Data_Monthly!$B:$B,"enterprise")/1E3</f>
        <v/>
      </c>
      <c r="L29" s="21">
        <f>SUMIFS(Data_Monthly!$L:$L,Data_Monthly!$A:$A,L$4,Data_Monthly!$B:$B,"enterprise")/1E3</f>
        <v/>
      </c>
      <c r="M29" s="21">
        <f>SUMIFS(Data_Monthly!$L:$L,Data_Monthly!$A:$A,M$4,Data_Monthly!$B:$B,"enterprise")/1E3</f>
        <v/>
      </c>
    </row>
    <row r="30">
      <c r="A30" s="3" t="inlineStr">
        <is>
          <t>Self-serve</t>
        </is>
      </c>
      <c r="B30" s="21">
        <f>SUMIFS(Data_Monthly!$L:$L,Data_Monthly!$A:$A,B$4,Data_Monthly!$B:$B,"self_serve")/1E3</f>
        <v/>
      </c>
      <c r="C30" s="21">
        <f>SUMIFS(Data_Monthly!$L:$L,Data_Monthly!$A:$A,C$4,Data_Monthly!$B:$B,"self_serve")/1E3</f>
        <v/>
      </c>
      <c r="D30" s="21">
        <f>SUMIFS(Data_Monthly!$L:$L,Data_Monthly!$A:$A,D$4,Data_Monthly!$B:$B,"self_serve")/1E3</f>
        <v/>
      </c>
      <c r="E30" s="21">
        <f>SUMIFS(Data_Monthly!$L:$L,Data_Monthly!$A:$A,E$4,Data_Monthly!$B:$B,"self_serve")/1E3</f>
        <v/>
      </c>
      <c r="F30" s="21">
        <f>SUMIFS(Data_Monthly!$L:$L,Data_Monthly!$A:$A,F$4,Data_Monthly!$B:$B,"self_serve")/1E3</f>
        <v/>
      </c>
      <c r="G30" s="21">
        <f>SUMIFS(Data_Monthly!$L:$L,Data_Monthly!$A:$A,G$4,Data_Monthly!$B:$B,"self_serve")/1E3</f>
        <v/>
      </c>
      <c r="H30" s="21">
        <f>SUMIFS(Data_Monthly!$L:$L,Data_Monthly!$A:$A,H$4,Data_Monthly!$B:$B,"self_serve")/1E3</f>
        <v/>
      </c>
      <c r="I30" s="21">
        <f>SUMIFS(Data_Monthly!$L:$L,Data_Monthly!$A:$A,I$4,Data_Monthly!$B:$B,"self_serve")/1E3</f>
        <v/>
      </c>
      <c r="J30" s="21">
        <f>SUMIFS(Data_Monthly!$L:$L,Data_Monthly!$A:$A,J$4,Data_Monthly!$B:$B,"self_serve")/1E3</f>
        <v/>
      </c>
      <c r="K30" s="21">
        <f>SUMIFS(Data_Monthly!$L:$L,Data_Monthly!$A:$A,K$4,Data_Monthly!$B:$B,"self_serve")/1E3</f>
        <v/>
      </c>
      <c r="L30" s="21">
        <f>SUMIFS(Data_Monthly!$L:$L,Data_Monthly!$A:$A,L$4,Data_Monthly!$B:$B,"self_serve")/1E3</f>
        <v/>
      </c>
      <c r="M30" s="21">
        <f>SUMIFS(Data_Monthly!$L:$L,Data_Monthly!$A:$A,M$4,Data_Monthly!$B:$B,"self_serve")/1E3</f>
        <v/>
      </c>
    </row>
    <row r="31">
      <c r="A31" s="3" t="inlineStr">
        <is>
          <t>Gateways that don't pass customer IDs</t>
        </is>
      </c>
      <c r="B31" s="21">
        <f>SUMIFS(Data_Monthly!$L:$L,Data_Monthly!$A:$A,B$4,Data_Monthly!$B:$B,"gateway_aggregate")/1E3</f>
        <v/>
      </c>
      <c r="C31" s="21">
        <f>SUMIFS(Data_Monthly!$L:$L,Data_Monthly!$A:$A,C$4,Data_Monthly!$B:$B,"gateway_aggregate")/1E3</f>
        <v/>
      </c>
      <c r="D31" s="21">
        <f>SUMIFS(Data_Monthly!$L:$L,Data_Monthly!$A:$A,D$4,Data_Monthly!$B:$B,"gateway_aggregate")/1E3</f>
        <v/>
      </c>
      <c r="E31" s="21">
        <f>SUMIFS(Data_Monthly!$L:$L,Data_Monthly!$A:$A,E$4,Data_Monthly!$B:$B,"gateway_aggregate")/1E3</f>
        <v/>
      </c>
      <c r="F31" s="21">
        <f>SUMIFS(Data_Monthly!$L:$L,Data_Monthly!$A:$A,F$4,Data_Monthly!$B:$B,"gateway_aggregate")/1E3</f>
        <v/>
      </c>
      <c r="G31" s="21">
        <f>SUMIFS(Data_Monthly!$L:$L,Data_Monthly!$A:$A,G$4,Data_Monthly!$B:$B,"gateway_aggregate")/1E3</f>
        <v/>
      </c>
      <c r="H31" s="21">
        <f>SUMIFS(Data_Monthly!$L:$L,Data_Monthly!$A:$A,H$4,Data_Monthly!$B:$B,"gateway_aggregate")/1E3</f>
        <v/>
      </c>
      <c r="I31" s="21">
        <f>SUMIFS(Data_Monthly!$L:$L,Data_Monthly!$A:$A,I$4,Data_Monthly!$B:$B,"gateway_aggregate")/1E3</f>
        <v/>
      </c>
      <c r="J31" s="21">
        <f>SUMIFS(Data_Monthly!$L:$L,Data_Monthly!$A:$A,J$4,Data_Monthly!$B:$B,"gateway_aggregate")/1E3</f>
        <v/>
      </c>
      <c r="K31" s="21">
        <f>SUMIFS(Data_Monthly!$L:$L,Data_Monthly!$A:$A,K$4,Data_Monthly!$B:$B,"gateway_aggregate")/1E3</f>
        <v/>
      </c>
      <c r="L31" s="21">
        <f>SUMIFS(Data_Monthly!$L:$L,Data_Monthly!$A:$A,L$4,Data_Monthly!$B:$B,"gateway_aggregate")/1E3</f>
        <v/>
      </c>
      <c r="M31" s="21">
        <f>SUMIFS(Data_Monthly!$L:$L,Data_Monthly!$A:$A,M$4,Data_Monthly!$B:$B,"gateway_aggregate")/1E3</f>
        <v/>
      </c>
    </row>
    <row r="32">
      <c r="A32" s="3" t="inlineStr">
        <is>
          <t>Unmatched accounts (fix the accounts source)</t>
        </is>
      </c>
      <c r="B32" s="21">
        <f>SUMIFS(Data_Monthly!$L:$L,Data_Monthly!$A:$A,B$4,Data_Monthly!$B:$B,"unmatched")/1E3</f>
        <v/>
      </c>
      <c r="C32" s="21">
        <f>SUMIFS(Data_Monthly!$L:$L,Data_Monthly!$A:$A,C$4,Data_Monthly!$B:$B,"unmatched")/1E3</f>
        <v/>
      </c>
      <c r="D32" s="21">
        <f>SUMIFS(Data_Monthly!$L:$L,Data_Monthly!$A:$A,D$4,Data_Monthly!$B:$B,"unmatched")/1E3</f>
        <v/>
      </c>
      <c r="E32" s="21">
        <f>SUMIFS(Data_Monthly!$L:$L,Data_Monthly!$A:$A,E$4,Data_Monthly!$B:$B,"unmatched")/1E3</f>
        <v/>
      </c>
      <c r="F32" s="21">
        <f>SUMIFS(Data_Monthly!$L:$L,Data_Monthly!$A:$A,F$4,Data_Monthly!$B:$B,"unmatched")/1E3</f>
        <v/>
      </c>
      <c r="G32" s="21">
        <f>SUMIFS(Data_Monthly!$L:$L,Data_Monthly!$A:$A,G$4,Data_Monthly!$B:$B,"unmatched")/1E3</f>
        <v/>
      </c>
      <c r="H32" s="21">
        <f>SUMIFS(Data_Monthly!$L:$L,Data_Monthly!$A:$A,H$4,Data_Monthly!$B:$B,"unmatched")/1E3</f>
        <v/>
      </c>
      <c r="I32" s="21">
        <f>SUMIFS(Data_Monthly!$L:$L,Data_Monthly!$A:$A,I$4,Data_Monthly!$B:$B,"unmatched")/1E3</f>
        <v/>
      </c>
      <c r="J32" s="21">
        <f>SUMIFS(Data_Monthly!$L:$L,Data_Monthly!$A:$A,J$4,Data_Monthly!$B:$B,"unmatched")/1E3</f>
        <v/>
      </c>
      <c r="K32" s="21">
        <f>SUMIFS(Data_Monthly!$L:$L,Data_Monthly!$A:$A,K$4,Data_Monthly!$B:$B,"unmatched")/1E3</f>
        <v/>
      </c>
      <c r="L32" s="21">
        <f>SUMIFS(Data_Monthly!$L:$L,Data_Monthly!$A:$A,L$4,Data_Monthly!$B:$B,"unmatched")/1E3</f>
        <v/>
      </c>
      <c r="M32" s="21">
        <f>SUMIFS(Data_Monthly!$L:$L,Data_Monthly!$A:$A,M$4,Data_Monthly!$B:$B,"unmatched")/1E3</f>
        <v/>
      </c>
    </row>
    <row r="33">
      <c r="A33" s="3" t="inlineStr">
        <is>
          <t>Manual adjustments (Overrides tab)</t>
        </is>
      </c>
      <c r="B33" s="10">
        <f>SUMIFS(Overrides!$G$46:$G$75,Overrides!$F$46:$F$75,B$4)/1E3</f>
        <v/>
      </c>
      <c r="C33" s="10">
        <f>SUMIFS(Overrides!$G$46:$G$75,Overrides!$F$46:$F$75,C$4)/1E3</f>
        <v/>
      </c>
      <c r="D33" s="10">
        <f>SUMIFS(Overrides!$G$46:$G$75,Overrides!$F$46:$F$75,D$4)/1E3</f>
        <v/>
      </c>
      <c r="E33" s="10">
        <f>SUMIFS(Overrides!$G$46:$G$75,Overrides!$F$46:$F$75,E$4)/1E3</f>
        <v/>
      </c>
      <c r="F33" s="10">
        <f>SUMIFS(Overrides!$G$46:$G$75,Overrides!$F$46:$F$75,F$4)/1E3</f>
        <v/>
      </c>
      <c r="G33" s="10">
        <f>SUMIFS(Overrides!$G$46:$G$75,Overrides!$F$46:$F$75,G$4)/1E3</f>
        <v/>
      </c>
      <c r="H33" s="10">
        <f>SUMIFS(Overrides!$G$46:$G$75,Overrides!$F$46:$F$75,H$4)/1E3</f>
        <v/>
      </c>
      <c r="I33" s="10">
        <f>SUMIFS(Overrides!$G$46:$G$75,Overrides!$F$46:$F$75,I$4)/1E3</f>
        <v/>
      </c>
      <c r="J33" s="10">
        <f>SUMIFS(Overrides!$G$46:$G$75,Overrides!$F$46:$F$75,J$4)/1E3</f>
        <v/>
      </c>
      <c r="K33" s="10">
        <f>SUMIFS(Overrides!$G$46:$G$75,Overrides!$F$46:$F$75,K$4)/1E3</f>
        <v/>
      </c>
      <c r="L33" s="10">
        <f>SUMIFS(Overrides!$G$46:$G$75,Overrides!$F$46:$F$75,L$4)/1E3</f>
        <v/>
      </c>
      <c r="M33" s="10">
        <f>SUMIFS(Overrides!$G$46:$G$75,Overrides!$F$46:$F$75,M$4)/1E3</f>
        <v/>
      </c>
    </row>
    <row r="34">
      <c r="A34" s="2" t="inlineStr">
        <is>
          <t>Total net revenue</t>
        </is>
      </c>
      <c r="B34" s="22">
        <f>SUM(B29:B33)</f>
        <v/>
      </c>
      <c r="C34" s="22">
        <f>SUM(C29:C33)</f>
        <v/>
      </c>
      <c r="D34" s="22">
        <f>SUM(D29:D33)</f>
        <v/>
      </c>
      <c r="E34" s="22">
        <f>SUM(E29:E33)</f>
        <v/>
      </c>
      <c r="F34" s="22">
        <f>SUM(F29:F33)</f>
        <v/>
      </c>
      <c r="G34" s="22">
        <f>SUM(G29:G33)</f>
        <v/>
      </c>
      <c r="H34" s="22">
        <f>SUM(H29:H33)</f>
        <v/>
      </c>
      <c r="I34" s="22">
        <f>SUM(I29:I33)</f>
        <v/>
      </c>
      <c r="J34" s="22">
        <f>SUM(J29:J33)</f>
        <v/>
      </c>
      <c r="K34" s="22">
        <f>SUM(K29:K33)</f>
        <v/>
      </c>
      <c r="L34" s="22">
        <f>SUM(L29:L33)</f>
        <v/>
      </c>
      <c r="M34" s="22">
        <f>SUM(M29:M33)</f>
        <v/>
      </c>
    </row>
    <row r="35">
      <c r="A35" s="3" t="inlineStr">
        <is>
          <t xml:space="preserve">  of which enterprise true-ups</t>
        </is>
      </c>
      <c r="B35" s="21">
        <f>SUMIFS(Data_Monthly!$K:$K,Data_Monthly!$A:$A,B$4)/1E3</f>
        <v/>
      </c>
      <c r="C35" s="21">
        <f>SUMIFS(Data_Monthly!$K:$K,Data_Monthly!$A:$A,C$4)/1E3</f>
        <v/>
      </c>
      <c r="D35" s="21">
        <f>SUMIFS(Data_Monthly!$K:$K,Data_Monthly!$A:$A,D$4)/1E3</f>
        <v/>
      </c>
      <c r="E35" s="21">
        <f>SUMIFS(Data_Monthly!$K:$K,Data_Monthly!$A:$A,E$4)/1E3</f>
        <v/>
      </c>
      <c r="F35" s="21">
        <f>SUMIFS(Data_Monthly!$K:$K,Data_Monthly!$A:$A,F$4)/1E3</f>
        <v/>
      </c>
      <c r="G35" s="21">
        <f>SUMIFS(Data_Monthly!$K:$K,Data_Monthly!$A:$A,G$4)/1E3</f>
        <v/>
      </c>
      <c r="H35" s="21">
        <f>SUMIFS(Data_Monthly!$K:$K,Data_Monthly!$A:$A,H$4)/1E3</f>
        <v/>
      </c>
      <c r="I35" s="21">
        <f>SUMIFS(Data_Monthly!$K:$K,Data_Monthly!$A:$A,I$4)/1E3</f>
        <v/>
      </c>
      <c r="J35" s="21">
        <f>SUMIFS(Data_Monthly!$K:$K,Data_Monthly!$A:$A,J$4)/1E3</f>
        <v/>
      </c>
      <c r="K35" s="21">
        <f>SUMIFS(Data_Monthly!$K:$K,Data_Monthly!$A:$A,K$4)/1E3</f>
        <v/>
      </c>
      <c r="L35" s="21">
        <f>SUMIFS(Data_Monthly!$K:$K,Data_Monthly!$A:$A,L$4)/1E3</f>
        <v/>
      </c>
      <c r="M35" s="21">
        <f>SUMIFS(Data_Monthly!$K:$K,Data_Monthly!$A:$A,M$4)/1E3</f>
        <v/>
      </c>
    </row>
    <row r="36">
      <c r="A36" s="3" t="inlineStr">
        <is>
          <t>Annualized run-rate ($k)</t>
        </is>
      </c>
      <c r="B36" s="23">
        <f>IF(B11=0,0,B34/B11*365)</f>
        <v/>
      </c>
      <c r="C36" s="23">
        <f>IF(C11=0,0,C34/C11*365)</f>
        <v/>
      </c>
      <c r="D36" s="23">
        <f>IF(D11=0,0,D34/D11*365)</f>
        <v/>
      </c>
      <c r="E36" s="23">
        <f>IF(E11=0,0,E34/E11*365)</f>
        <v/>
      </c>
      <c r="F36" s="23">
        <f>IF(F11=0,0,F34/F11*365)</f>
        <v/>
      </c>
      <c r="G36" s="23">
        <f>IF(G11=0,0,G34/G11*365)</f>
        <v/>
      </c>
      <c r="H36" s="23">
        <f>IF(H11=0,0,H34/H11*365)</f>
        <v/>
      </c>
      <c r="I36" s="23">
        <f>IF(I11=0,0,I34/I11*365)</f>
        <v/>
      </c>
      <c r="J36" s="23">
        <f>IF(J11=0,0,J34/J11*365)</f>
        <v/>
      </c>
      <c r="K36" s="23">
        <f>IF(K11=0,0,K34/K11*365)</f>
        <v/>
      </c>
      <c r="L36" s="23">
        <f>IF(L11=0,0,L34/L11*365)</f>
        <v/>
      </c>
      <c r="M36" s="23">
        <f>IF(M11=0,0,M34/M11*365)</f>
        <v/>
      </c>
    </row>
    <row r="37">
      <c r="A37" s="3" t="inlineStr">
        <is>
          <t>Enterprise share of net revenue</t>
        </is>
      </c>
      <c r="B37" s="25">
        <f>IF(B34=0,0,B29/B34)</f>
        <v/>
      </c>
      <c r="C37" s="25">
        <f>IF(C34=0,0,C29/C34)</f>
        <v/>
      </c>
      <c r="D37" s="25">
        <f>IF(D34=0,0,D29/D34)</f>
        <v/>
      </c>
      <c r="E37" s="25">
        <f>IF(E34=0,0,E29/E34)</f>
        <v/>
      </c>
      <c r="F37" s="25">
        <f>IF(F34=0,0,F29/F34)</f>
        <v/>
      </c>
      <c r="G37" s="25">
        <f>IF(G34=0,0,G29/G34)</f>
        <v/>
      </c>
      <c r="H37" s="25">
        <f>IF(H34=0,0,H29/H34)</f>
        <v/>
      </c>
      <c r="I37" s="25">
        <f>IF(I34=0,0,I29/I34)</f>
        <v/>
      </c>
      <c r="J37" s="25">
        <f>IF(J34=0,0,J29/J34)</f>
        <v/>
      </c>
      <c r="K37" s="25">
        <f>IF(K34=0,0,K29/K34)</f>
        <v/>
      </c>
      <c r="L37" s="25">
        <f>IF(L34=0,0,L29/L34)</f>
        <v/>
      </c>
      <c r="M37" s="25">
        <f>IF(M34=0,0,M29/M34)</f>
        <v/>
      </c>
    </row>
    <row r="38">
      <c r="A38" s="3" t="inlineStr">
        <is>
          <t>Realized net price per M tokens ($)</t>
        </is>
      </c>
      <c r="B38" s="26">
        <f>IF(B10=0,0,B34/B10)</f>
        <v/>
      </c>
      <c r="C38" s="26">
        <f>IF(C10=0,0,C34/C10)</f>
        <v/>
      </c>
      <c r="D38" s="26">
        <f>IF(D10=0,0,D34/D10)</f>
        <v/>
      </c>
      <c r="E38" s="26">
        <f>IF(E10=0,0,E34/E10)</f>
        <v/>
      </c>
      <c r="F38" s="26">
        <f>IF(F10=0,0,F34/F10)</f>
        <v/>
      </c>
      <c r="G38" s="26">
        <f>IF(G10=0,0,G34/G10)</f>
        <v/>
      </c>
      <c r="H38" s="26">
        <f>IF(H10=0,0,H34/H10)</f>
        <v/>
      </c>
      <c r="I38" s="26">
        <f>IF(I10=0,0,I34/I10)</f>
        <v/>
      </c>
      <c r="J38" s="26">
        <f>IF(J10=0,0,J34/J10)</f>
        <v/>
      </c>
      <c r="K38" s="26">
        <f>IF(K10=0,0,K34/K10)</f>
        <v/>
      </c>
      <c r="L38" s="26">
        <f>IF(L10=0,0,L34/L10)</f>
        <v/>
      </c>
      <c r="M38" s="26">
        <f>IF(M10=0,0,M34/M10)</f>
        <v/>
      </c>
    </row>
    <row r="40">
      <c r="A40" s="19" t="inlineStr">
        <is>
          <t>Other lines</t>
        </is>
      </c>
      <c r="B40" s="20" t="n"/>
      <c r="C40" s="20" t="n"/>
      <c r="D40" s="20" t="n"/>
      <c r="E40" s="20" t="n"/>
      <c r="F40" s="20" t="n"/>
      <c r="G40" s="20" t="n"/>
      <c r="H40" s="20" t="n"/>
      <c r="I40" s="20" t="n"/>
      <c r="J40" s="20" t="n"/>
      <c r="K40" s="20" t="n"/>
      <c r="L40" s="20" t="n"/>
      <c r="M40" s="20" t="n"/>
    </row>
    <row r="41">
      <c r="A41" s="3" t="inlineStr">
        <is>
          <t>List value of tokens ($k)</t>
        </is>
      </c>
      <c r="B41" s="21">
        <f>SUMIFS(Data_Monthly!$I:$I,Data_Monthly!$A:$A,B$4)/1000</f>
        <v/>
      </c>
      <c r="C41" s="21">
        <f>SUMIFS(Data_Monthly!$I:$I,Data_Monthly!$A:$A,C$4)/1000</f>
        <v/>
      </c>
      <c r="D41" s="21">
        <f>SUMIFS(Data_Monthly!$I:$I,Data_Monthly!$A:$A,D$4)/1000</f>
        <v/>
      </c>
      <c r="E41" s="21">
        <f>SUMIFS(Data_Monthly!$I:$I,Data_Monthly!$A:$A,E$4)/1000</f>
        <v/>
      </c>
      <c r="F41" s="21">
        <f>SUMIFS(Data_Monthly!$I:$I,Data_Monthly!$A:$A,F$4)/1000</f>
        <v/>
      </c>
      <c r="G41" s="21">
        <f>SUMIFS(Data_Monthly!$I:$I,Data_Monthly!$A:$A,G$4)/1000</f>
        <v/>
      </c>
      <c r="H41" s="21">
        <f>SUMIFS(Data_Monthly!$I:$I,Data_Monthly!$A:$A,H$4)/1000</f>
        <v/>
      </c>
      <c r="I41" s="21">
        <f>SUMIFS(Data_Monthly!$I:$I,Data_Monthly!$A:$A,I$4)/1000</f>
        <v/>
      </c>
      <c r="J41" s="21">
        <f>SUMIFS(Data_Monthly!$I:$I,Data_Monthly!$A:$A,J$4)/1000</f>
        <v/>
      </c>
      <c r="K41" s="21">
        <f>SUMIFS(Data_Monthly!$I:$I,Data_Monthly!$A:$A,K$4)/1000</f>
        <v/>
      </c>
      <c r="L41" s="21">
        <f>SUMIFS(Data_Monthly!$I:$I,Data_Monthly!$A:$A,L$4)/1000</f>
        <v/>
      </c>
      <c r="M41" s="21">
        <f>SUMIFS(Data_Monthly!$I:$I,Data_Monthly!$A:$A,M$4)/1000</f>
        <v/>
      </c>
    </row>
    <row r="42">
      <c r="A42" s="3" t="inlineStr">
        <is>
          <t>Free credit used ($k)</t>
        </is>
      </c>
      <c r="B42" s="24">
        <f>SUMIFS(Data_Monthly!$H:$H,Data_Monthly!$A:$A,B$4)/1000</f>
        <v/>
      </c>
      <c r="C42" s="24">
        <f>SUMIFS(Data_Monthly!$H:$H,Data_Monthly!$A:$A,C$4)/1000</f>
        <v/>
      </c>
      <c r="D42" s="24">
        <f>SUMIFS(Data_Monthly!$H:$H,Data_Monthly!$A:$A,D$4)/1000</f>
        <v/>
      </c>
      <c r="E42" s="24">
        <f>SUMIFS(Data_Monthly!$H:$H,Data_Monthly!$A:$A,E$4)/1000</f>
        <v/>
      </c>
      <c r="F42" s="24">
        <f>SUMIFS(Data_Monthly!$H:$H,Data_Monthly!$A:$A,F$4)/1000</f>
        <v/>
      </c>
      <c r="G42" s="24">
        <f>SUMIFS(Data_Monthly!$H:$H,Data_Monthly!$A:$A,G$4)/1000</f>
        <v/>
      </c>
      <c r="H42" s="24">
        <f>SUMIFS(Data_Monthly!$H:$H,Data_Monthly!$A:$A,H$4)/1000</f>
        <v/>
      </c>
      <c r="I42" s="24">
        <f>SUMIFS(Data_Monthly!$H:$H,Data_Monthly!$A:$A,I$4)/1000</f>
        <v/>
      </c>
      <c r="J42" s="24">
        <f>SUMIFS(Data_Monthly!$H:$H,Data_Monthly!$A:$A,J$4)/1000</f>
        <v/>
      </c>
      <c r="K42" s="24">
        <f>SUMIFS(Data_Monthly!$H:$H,Data_Monthly!$A:$A,K$4)/1000</f>
        <v/>
      </c>
      <c r="L42" s="24">
        <f>SUMIFS(Data_Monthly!$H:$H,Data_Monthly!$A:$A,L$4)/1000</f>
        <v/>
      </c>
      <c r="M42" s="24">
        <f>SUMIFS(Data_Monthly!$H:$H,Data_Monthly!$A:$A,M$4)/1000</f>
        <v/>
      </c>
    </row>
    <row r="43">
      <c r="A43" s="3" t="inlineStr">
        <is>
          <t>Gateway fees ($k)</t>
        </is>
      </c>
      <c r="B43" s="21">
        <f>SUMIFS(Data_Monthly!$M:$M,Data_Monthly!$A:$A,B$4)/1000</f>
        <v/>
      </c>
      <c r="C43" s="21">
        <f>SUMIFS(Data_Monthly!$M:$M,Data_Monthly!$A:$A,C$4)/1000</f>
        <v/>
      </c>
      <c r="D43" s="21">
        <f>SUMIFS(Data_Monthly!$M:$M,Data_Monthly!$A:$A,D$4)/1000</f>
        <v/>
      </c>
      <c r="E43" s="21">
        <f>SUMIFS(Data_Monthly!$M:$M,Data_Monthly!$A:$A,E$4)/1000</f>
        <v/>
      </c>
      <c r="F43" s="21">
        <f>SUMIFS(Data_Monthly!$M:$M,Data_Monthly!$A:$A,F$4)/1000</f>
        <v/>
      </c>
      <c r="G43" s="21">
        <f>SUMIFS(Data_Monthly!$M:$M,Data_Monthly!$A:$A,G$4)/1000</f>
        <v/>
      </c>
      <c r="H43" s="21">
        <f>SUMIFS(Data_Monthly!$M:$M,Data_Monthly!$A:$A,H$4)/1000</f>
        <v/>
      </c>
      <c r="I43" s="21">
        <f>SUMIFS(Data_Monthly!$M:$M,Data_Monthly!$A:$A,I$4)/1000</f>
        <v/>
      </c>
      <c r="J43" s="21">
        <f>SUMIFS(Data_Monthly!$M:$M,Data_Monthly!$A:$A,J$4)/1000</f>
        <v/>
      </c>
      <c r="K43" s="21">
        <f>SUMIFS(Data_Monthly!$M:$M,Data_Monthly!$A:$A,K$4)/1000</f>
        <v/>
      </c>
      <c r="L43" s="21">
        <f>SUMIFS(Data_Monthly!$M:$M,Data_Monthly!$A:$A,L$4)/1000</f>
        <v/>
      </c>
      <c r="M43" s="21">
        <f>SUMIFS(Data_Monthly!$M:$M,Data_Monthly!$A:$A,M$4)/1000</f>
        <v/>
      </c>
    </row>
    <row r="44">
      <c r="A44" s="3" t="inlineStr">
        <is>
          <t>Active accounts (gateways counted once)</t>
        </is>
      </c>
      <c r="B44" s="23">
        <f>SUMIFS(Data_Monthly!$D:$D,Data_Monthly!$A:$A,B$4)</f>
        <v/>
      </c>
      <c r="C44" s="23">
        <f>SUMIFS(Data_Monthly!$D:$D,Data_Monthly!$A:$A,C$4)</f>
        <v/>
      </c>
      <c r="D44" s="23">
        <f>SUMIFS(Data_Monthly!$D:$D,Data_Monthly!$A:$A,D$4)</f>
        <v/>
      </c>
      <c r="E44" s="23">
        <f>SUMIFS(Data_Monthly!$D:$D,Data_Monthly!$A:$A,E$4)</f>
        <v/>
      </c>
      <c r="F44" s="23">
        <f>SUMIFS(Data_Monthly!$D:$D,Data_Monthly!$A:$A,F$4)</f>
        <v/>
      </c>
      <c r="G44" s="23">
        <f>SUMIFS(Data_Monthly!$D:$D,Data_Monthly!$A:$A,G$4)</f>
        <v/>
      </c>
      <c r="H44" s="23">
        <f>SUMIFS(Data_Monthly!$D:$D,Data_Monthly!$A:$A,H$4)</f>
        <v/>
      </c>
      <c r="I44" s="23">
        <f>SUMIFS(Data_Monthly!$D:$D,Data_Monthly!$A:$A,I$4)</f>
        <v/>
      </c>
      <c r="J44" s="23">
        <f>SUMIFS(Data_Monthly!$D:$D,Data_Monthly!$A:$A,J$4)</f>
        <v/>
      </c>
      <c r="K44" s="23">
        <f>SUMIFS(Data_Monthly!$D:$D,Data_Monthly!$A:$A,K$4)</f>
        <v/>
      </c>
      <c r="L44" s="23">
        <f>SUMIFS(Data_Monthly!$D:$D,Data_Monthly!$A:$A,L$4)</f>
        <v/>
      </c>
      <c r="M44" s="23">
        <f>SUMIFS(Data_Monthly!$D:$D,Data_Monthly!$A:$A,M$4)</f>
        <v/>
      </c>
    </row>
    <row r="45">
      <c r="A45" s="3" t="inlineStr">
        <is>
          <t>Paying accounts</t>
        </is>
      </c>
      <c r="B45" s="23">
        <f>SUMIFS(Data_Monthly!$E:$E,Data_Monthly!$A:$A,B$4)</f>
        <v/>
      </c>
      <c r="C45" s="23">
        <f>SUMIFS(Data_Monthly!$E:$E,Data_Monthly!$A:$A,C$4)</f>
        <v/>
      </c>
      <c r="D45" s="23">
        <f>SUMIFS(Data_Monthly!$E:$E,Data_Monthly!$A:$A,D$4)</f>
        <v/>
      </c>
      <c r="E45" s="23">
        <f>SUMIFS(Data_Monthly!$E:$E,Data_Monthly!$A:$A,E$4)</f>
        <v/>
      </c>
      <c r="F45" s="23">
        <f>SUMIFS(Data_Monthly!$E:$E,Data_Monthly!$A:$A,F$4)</f>
        <v/>
      </c>
      <c r="G45" s="23">
        <f>SUMIFS(Data_Monthly!$E:$E,Data_Monthly!$A:$A,G$4)</f>
        <v/>
      </c>
      <c r="H45" s="23">
        <f>SUMIFS(Data_Monthly!$E:$E,Data_Monthly!$A:$A,H$4)</f>
        <v/>
      </c>
      <c r="I45" s="23">
        <f>SUMIFS(Data_Monthly!$E:$E,Data_Monthly!$A:$A,I$4)</f>
        <v/>
      </c>
      <c r="J45" s="23">
        <f>SUMIFS(Data_Monthly!$E:$E,Data_Monthly!$A:$A,J$4)</f>
        <v/>
      </c>
      <c r="K45" s="23">
        <f>SUMIFS(Data_Monthly!$E:$E,Data_Monthly!$A:$A,K$4)</f>
        <v/>
      </c>
      <c r="L45" s="23">
        <f>SUMIFS(Data_Monthly!$E:$E,Data_Monthly!$A:$A,L$4)</f>
        <v/>
      </c>
      <c r="M45" s="23">
        <f>SUMIFS(Data_Monthly!$E:$E,Data_Monthly!$A:$A,M$4)</f>
        <v/>
      </c>
    </row>
    <row r="46">
      <c r="A46" s="3" t="inlineStr">
        <is>
          <t>Failed calls as % of all calls (not billed)</t>
        </is>
      </c>
      <c r="B46" s="25">
        <f>IF(SUMIFS(Data_Reliability!$B:$B,Data_Reliability!$A:$A,B$4)+SUMIFS(Data_Reliability!$C:$C,Data_Reliability!$A:$A,B$4)=0,0,SUMIFS(Data_Reliability!$C:$C,Data_Reliability!$A:$A,B$4)/(SUMIFS(Data_Reliability!$B:$B,Data_Reliability!$A:$A,B$4)+SUMIFS(Data_Reliability!$C:$C,Data_Reliability!$A:$A,B$4)))</f>
        <v/>
      </c>
      <c r="C46" s="25">
        <f>IF(SUMIFS(Data_Reliability!$B:$B,Data_Reliability!$A:$A,C$4)+SUMIFS(Data_Reliability!$C:$C,Data_Reliability!$A:$A,C$4)=0,0,SUMIFS(Data_Reliability!$C:$C,Data_Reliability!$A:$A,C$4)/(SUMIFS(Data_Reliability!$B:$B,Data_Reliability!$A:$A,C$4)+SUMIFS(Data_Reliability!$C:$C,Data_Reliability!$A:$A,C$4)))</f>
        <v/>
      </c>
      <c r="D46" s="25">
        <f>IF(SUMIFS(Data_Reliability!$B:$B,Data_Reliability!$A:$A,D$4)+SUMIFS(Data_Reliability!$C:$C,Data_Reliability!$A:$A,D$4)=0,0,SUMIFS(Data_Reliability!$C:$C,Data_Reliability!$A:$A,D$4)/(SUMIFS(Data_Reliability!$B:$B,Data_Reliability!$A:$A,D$4)+SUMIFS(Data_Reliability!$C:$C,Data_Reliability!$A:$A,D$4)))</f>
        <v/>
      </c>
      <c r="E46" s="25">
        <f>IF(SUMIFS(Data_Reliability!$B:$B,Data_Reliability!$A:$A,E$4)+SUMIFS(Data_Reliability!$C:$C,Data_Reliability!$A:$A,E$4)=0,0,SUMIFS(Data_Reliability!$C:$C,Data_Reliability!$A:$A,E$4)/(SUMIFS(Data_Reliability!$B:$B,Data_Reliability!$A:$A,E$4)+SUMIFS(Data_Reliability!$C:$C,Data_Reliability!$A:$A,E$4)))</f>
        <v/>
      </c>
      <c r="F46" s="25">
        <f>IF(SUMIFS(Data_Reliability!$B:$B,Data_Reliability!$A:$A,F$4)+SUMIFS(Data_Reliability!$C:$C,Data_Reliability!$A:$A,F$4)=0,0,SUMIFS(Data_Reliability!$C:$C,Data_Reliability!$A:$A,F$4)/(SUMIFS(Data_Reliability!$B:$B,Data_Reliability!$A:$A,F$4)+SUMIFS(Data_Reliability!$C:$C,Data_Reliability!$A:$A,F$4)))</f>
        <v/>
      </c>
      <c r="G46" s="25">
        <f>IF(SUMIFS(Data_Reliability!$B:$B,Data_Reliability!$A:$A,G$4)+SUMIFS(Data_Reliability!$C:$C,Data_Reliability!$A:$A,G$4)=0,0,SUMIFS(Data_Reliability!$C:$C,Data_Reliability!$A:$A,G$4)/(SUMIFS(Data_Reliability!$B:$B,Data_Reliability!$A:$A,G$4)+SUMIFS(Data_Reliability!$C:$C,Data_Reliability!$A:$A,G$4)))</f>
        <v/>
      </c>
      <c r="H46" s="25">
        <f>IF(SUMIFS(Data_Reliability!$B:$B,Data_Reliability!$A:$A,H$4)+SUMIFS(Data_Reliability!$C:$C,Data_Reliability!$A:$A,H$4)=0,0,SUMIFS(Data_Reliability!$C:$C,Data_Reliability!$A:$A,H$4)/(SUMIFS(Data_Reliability!$B:$B,Data_Reliability!$A:$A,H$4)+SUMIFS(Data_Reliability!$C:$C,Data_Reliability!$A:$A,H$4)))</f>
        <v/>
      </c>
      <c r="I46" s="25">
        <f>IF(SUMIFS(Data_Reliability!$B:$B,Data_Reliability!$A:$A,I$4)+SUMIFS(Data_Reliability!$C:$C,Data_Reliability!$A:$A,I$4)=0,0,SUMIFS(Data_Reliability!$C:$C,Data_Reliability!$A:$A,I$4)/(SUMIFS(Data_Reliability!$B:$B,Data_Reliability!$A:$A,I$4)+SUMIFS(Data_Reliability!$C:$C,Data_Reliability!$A:$A,I$4)))</f>
        <v/>
      </c>
      <c r="J46" s="25">
        <f>IF(SUMIFS(Data_Reliability!$B:$B,Data_Reliability!$A:$A,J$4)+SUMIFS(Data_Reliability!$C:$C,Data_Reliability!$A:$A,J$4)=0,0,SUMIFS(Data_Reliability!$C:$C,Data_Reliability!$A:$A,J$4)/(SUMIFS(Data_Reliability!$B:$B,Data_Reliability!$A:$A,J$4)+SUMIFS(Data_Reliability!$C:$C,Data_Reliability!$A:$A,J$4)))</f>
        <v/>
      </c>
      <c r="K46" s="25">
        <f>IF(SUMIFS(Data_Reliability!$B:$B,Data_Reliability!$A:$A,K$4)+SUMIFS(Data_Reliability!$C:$C,Data_Reliability!$A:$A,K$4)=0,0,SUMIFS(Data_Reliability!$C:$C,Data_Reliability!$A:$A,K$4)/(SUMIFS(Data_Reliability!$B:$B,Data_Reliability!$A:$A,K$4)+SUMIFS(Data_Reliability!$C:$C,Data_Reliability!$A:$A,K$4)))</f>
        <v/>
      </c>
      <c r="L46" s="25">
        <f>IF(SUMIFS(Data_Reliability!$B:$B,Data_Reliability!$A:$A,L$4)+SUMIFS(Data_Reliability!$C:$C,Data_Reliability!$A:$A,L$4)=0,0,SUMIFS(Data_Reliability!$C:$C,Data_Reliability!$A:$A,L$4)/(SUMIFS(Data_Reliability!$B:$B,Data_Reliability!$A:$A,L$4)+SUMIFS(Data_Reliability!$C:$C,Data_Reliability!$A:$A,L$4)))</f>
        <v/>
      </c>
      <c r="M46" s="25">
        <f>IF(SUMIFS(Data_Reliability!$B:$B,Data_Reliability!$A:$A,M$4)+SUMIFS(Data_Reliability!$C:$C,Data_Reliability!$A:$A,M$4)=0,0,SUMIFS(Data_Reliability!$C:$C,Data_Reliability!$A:$A,M$4)/(SUMIFS(Data_Reliability!$B:$B,Data_Reliability!$A:$A,M$4)+SUMIFS(Data_Reliability!$C:$C,Data_Reliability!$A:$A,M$4)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1"/>
  <sheetViews>
    <sheetView showGridLines="0" workbookViewId="0">
      <selection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4" customWidth="1" min="14" max="14"/>
    <col width="14" customWidth="1" min="15" max="15"/>
  </cols>
  <sheetData>
    <row r="1">
      <c r="A1" s="1">
        <f>Data_Params!$B$14&amp;" | Where usage comes from"</f>
        <v/>
      </c>
    </row>
    <row r="2">
      <c r="A2" s="7" t="inlineStr">
        <is>
          <t>Use case from the customer's project label when mapped (label_map), otherwise inferred from traffic shape (sql/20_use_case_rules.sql).</t>
        </is>
      </c>
    </row>
    <row r="4">
      <c r="A4" s="8" t="inlineStr">
        <is>
          <t>Use case (B tokens)</t>
        </is>
      </c>
      <c r="B4" s="9">
        <f>EDATE(Data_Params!$B$3,0)</f>
        <v/>
      </c>
      <c r="C4" s="9">
        <f>EDATE(Data_Params!$B$3,1)</f>
        <v/>
      </c>
      <c r="D4" s="9">
        <f>EDATE(Data_Params!$B$3,2)</f>
        <v/>
      </c>
      <c r="E4" s="9">
        <f>EDATE(Data_Params!$B$3,3)</f>
        <v/>
      </c>
      <c r="F4" s="9">
        <f>EDATE(Data_Params!$B$3,4)</f>
        <v/>
      </c>
      <c r="G4" s="9">
        <f>EDATE(Data_Params!$B$3,5)</f>
        <v/>
      </c>
      <c r="H4" s="9">
        <f>EDATE(Data_Params!$B$3,6)</f>
        <v/>
      </c>
      <c r="I4" s="9">
        <f>EDATE(Data_Params!$B$3,7)</f>
        <v/>
      </c>
      <c r="J4" s="9">
        <f>EDATE(Data_Params!$B$3,8)</f>
        <v/>
      </c>
      <c r="K4" s="9">
        <f>EDATE(Data_Params!$B$3,9)</f>
        <v/>
      </c>
      <c r="L4" s="9">
        <f>EDATE(Data_Params!$B$3,10)</f>
        <v/>
      </c>
      <c r="M4" s="9">
        <f>EDATE(Data_Params!$B$3,11)</f>
        <v/>
      </c>
      <c r="N4" s="8" t="inlineStr">
        <is>
          <t>Share of latest month</t>
        </is>
      </c>
      <c r="O4" s="8" t="inlineStr">
        <is>
          <t>From label, latest month</t>
        </is>
      </c>
    </row>
    <row r="5">
      <c r="A5" s="3">
        <f>IF(INDEX(Data_Lists!$C:$C,1+1)="","",INDEX(Data_Lists!$C:$C,1+1))</f>
        <v/>
      </c>
      <c r="B5" s="21">
        <f>IF($A5="","",SUMIFS(Data_UseCase!$C:$C,Data_UseCase!$A:$A,B$4,Data_UseCase!$B:$B,$A5)/1E9)</f>
        <v/>
      </c>
      <c r="C5" s="21">
        <f>IF($A5="","",SUMIFS(Data_UseCase!$C:$C,Data_UseCase!$A:$A,C$4,Data_UseCase!$B:$B,$A5)/1E9)</f>
        <v/>
      </c>
      <c r="D5" s="21">
        <f>IF($A5="","",SUMIFS(Data_UseCase!$C:$C,Data_UseCase!$A:$A,D$4,Data_UseCase!$B:$B,$A5)/1E9)</f>
        <v/>
      </c>
      <c r="E5" s="21">
        <f>IF($A5="","",SUMIFS(Data_UseCase!$C:$C,Data_UseCase!$A:$A,E$4,Data_UseCase!$B:$B,$A5)/1E9)</f>
        <v/>
      </c>
      <c r="F5" s="21">
        <f>IF($A5="","",SUMIFS(Data_UseCase!$C:$C,Data_UseCase!$A:$A,F$4,Data_UseCase!$B:$B,$A5)/1E9)</f>
        <v/>
      </c>
      <c r="G5" s="21">
        <f>IF($A5="","",SUMIFS(Data_UseCase!$C:$C,Data_UseCase!$A:$A,G$4,Data_UseCase!$B:$B,$A5)/1E9)</f>
        <v/>
      </c>
      <c r="H5" s="21">
        <f>IF($A5="","",SUMIFS(Data_UseCase!$C:$C,Data_UseCase!$A:$A,H$4,Data_UseCase!$B:$B,$A5)/1E9)</f>
        <v/>
      </c>
      <c r="I5" s="21">
        <f>IF($A5="","",SUMIFS(Data_UseCase!$C:$C,Data_UseCase!$A:$A,I$4,Data_UseCase!$B:$B,$A5)/1E9)</f>
        <v/>
      </c>
      <c r="J5" s="21">
        <f>IF($A5="","",SUMIFS(Data_UseCase!$C:$C,Data_UseCase!$A:$A,J$4,Data_UseCase!$B:$B,$A5)/1E9)</f>
        <v/>
      </c>
      <c r="K5" s="21">
        <f>IF($A5="","",SUMIFS(Data_UseCase!$C:$C,Data_UseCase!$A:$A,K$4,Data_UseCase!$B:$B,$A5)/1E9)</f>
        <v/>
      </c>
      <c r="L5" s="21">
        <f>IF($A5="","",SUMIFS(Data_UseCase!$C:$C,Data_UseCase!$A:$A,L$4,Data_UseCase!$B:$B,$A5)/1E9)</f>
        <v/>
      </c>
      <c r="M5" s="21">
        <f>IF($A5="","",SUMIFS(Data_UseCase!$C:$C,Data_UseCase!$A:$A,M$4,Data_UseCase!$B:$B,$A5)/1E9)</f>
        <v/>
      </c>
      <c r="N5" s="25">
        <f>IF($A5="","",IF(M$20=0,0,M5/M$20))</f>
        <v/>
      </c>
      <c r="O5" s="25">
        <f>IF(OR($A5="",N(M5)=0),"",SUMIFS(Data_UseCase!$D:$D,Data_UseCase!$A:$A,M$4,Data_UseCase!$B:$B,$A5)/1E9/M5)</f>
        <v/>
      </c>
    </row>
    <row r="6">
      <c r="A6" s="3">
        <f>IF(INDEX(Data_Lists!$C:$C,2+1)="","",INDEX(Data_Lists!$C:$C,2+1))</f>
        <v/>
      </c>
      <c r="B6" s="21">
        <f>IF($A6="","",SUMIFS(Data_UseCase!$C:$C,Data_UseCase!$A:$A,B$4,Data_UseCase!$B:$B,$A6)/1E9)</f>
        <v/>
      </c>
      <c r="C6" s="21">
        <f>IF($A6="","",SUMIFS(Data_UseCase!$C:$C,Data_UseCase!$A:$A,C$4,Data_UseCase!$B:$B,$A6)/1E9)</f>
        <v/>
      </c>
      <c r="D6" s="21">
        <f>IF($A6="","",SUMIFS(Data_UseCase!$C:$C,Data_UseCase!$A:$A,D$4,Data_UseCase!$B:$B,$A6)/1E9)</f>
        <v/>
      </c>
      <c r="E6" s="21">
        <f>IF($A6="","",SUMIFS(Data_UseCase!$C:$C,Data_UseCase!$A:$A,E$4,Data_UseCase!$B:$B,$A6)/1E9)</f>
        <v/>
      </c>
      <c r="F6" s="21">
        <f>IF($A6="","",SUMIFS(Data_UseCase!$C:$C,Data_UseCase!$A:$A,F$4,Data_UseCase!$B:$B,$A6)/1E9)</f>
        <v/>
      </c>
      <c r="G6" s="21">
        <f>IF($A6="","",SUMIFS(Data_UseCase!$C:$C,Data_UseCase!$A:$A,G$4,Data_UseCase!$B:$B,$A6)/1E9)</f>
        <v/>
      </c>
      <c r="H6" s="21">
        <f>IF($A6="","",SUMIFS(Data_UseCase!$C:$C,Data_UseCase!$A:$A,H$4,Data_UseCase!$B:$B,$A6)/1E9)</f>
        <v/>
      </c>
      <c r="I6" s="21">
        <f>IF($A6="","",SUMIFS(Data_UseCase!$C:$C,Data_UseCase!$A:$A,I$4,Data_UseCase!$B:$B,$A6)/1E9)</f>
        <v/>
      </c>
      <c r="J6" s="21">
        <f>IF($A6="","",SUMIFS(Data_UseCase!$C:$C,Data_UseCase!$A:$A,J$4,Data_UseCase!$B:$B,$A6)/1E9)</f>
        <v/>
      </c>
      <c r="K6" s="21">
        <f>IF($A6="","",SUMIFS(Data_UseCase!$C:$C,Data_UseCase!$A:$A,K$4,Data_UseCase!$B:$B,$A6)/1E9)</f>
        <v/>
      </c>
      <c r="L6" s="21">
        <f>IF($A6="","",SUMIFS(Data_UseCase!$C:$C,Data_UseCase!$A:$A,L$4,Data_UseCase!$B:$B,$A6)/1E9)</f>
        <v/>
      </c>
      <c r="M6" s="21">
        <f>IF($A6="","",SUMIFS(Data_UseCase!$C:$C,Data_UseCase!$A:$A,M$4,Data_UseCase!$B:$B,$A6)/1E9)</f>
        <v/>
      </c>
      <c r="N6" s="25">
        <f>IF($A6="","",IF(M$20=0,0,M6/M$20))</f>
        <v/>
      </c>
      <c r="O6" s="25">
        <f>IF(OR($A6="",N(M6)=0),"",SUMIFS(Data_UseCase!$D:$D,Data_UseCase!$A:$A,M$4,Data_UseCase!$B:$B,$A6)/1E9/M6)</f>
        <v/>
      </c>
    </row>
    <row r="7">
      <c r="A7" s="3">
        <f>IF(INDEX(Data_Lists!$C:$C,3+1)="","",INDEX(Data_Lists!$C:$C,3+1))</f>
        <v/>
      </c>
      <c r="B7" s="21">
        <f>IF($A7="","",SUMIFS(Data_UseCase!$C:$C,Data_UseCase!$A:$A,B$4,Data_UseCase!$B:$B,$A7)/1E9)</f>
        <v/>
      </c>
      <c r="C7" s="21">
        <f>IF($A7="","",SUMIFS(Data_UseCase!$C:$C,Data_UseCase!$A:$A,C$4,Data_UseCase!$B:$B,$A7)/1E9)</f>
        <v/>
      </c>
      <c r="D7" s="21">
        <f>IF($A7="","",SUMIFS(Data_UseCase!$C:$C,Data_UseCase!$A:$A,D$4,Data_UseCase!$B:$B,$A7)/1E9)</f>
        <v/>
      </c>
      <c r="E7" s="21">
        <f>IF($A7="","",SUMIFS(Data_UseCase!$C:$C,Data_UseCase!$A:$A,E$4,Data_UseCase!$B:$B,$A7)/1E9)</f>
        <v/>
      </c>
      <c r="F7" s="21">
        <f>IF($A7="","",SUMIFS(Data_UseCase!$C:$C,Data_UseCase!$A:$A,F$4,Data_UseCase!$B:$B,$A7)/1E9)</f>
        <v/>
      </c>
      <c r="G7" s="21">
        <f>IF($A7="","",SUMIFS(Data_UseCase!$C:$C,Data_UseCase!$A:$A,G$4,Data_UseCase!$B:$B,$A7)/1E9)</f>
        <v/>
      </c>
      <c r="H7" s="21">
        <f>IF($A7="","",SUMIFS(Data_UseCase!$C:$C,Data_UseCase!$A:$A,H$4,Data_UseCase!$B:$B,$A7)/1E9)</f>
        <v/>
      </c>
      <c r="I7" s="21">
        <f>IF($A7="","",SUMIFS(Data_UseCase!$C:$C,Data_UseCase!$A:$A,I$4,Data_UseCase!$B:$B,$A7)/1E9)</f>
        <v/>
      </c>
      <c r="J7" s="21">
        <f>IF($A7="","",SUMIFS(Data_UseCase!$C:$C,Data_UseCase!$A:$A,J$4,Data_UseCase!$B:$B,$A7)/1E9)</f>
        <v/>
      </c>
      <c r="K7" s="21">
        <f>IF($A7="","",SUMIFS(Data_UseCase!$C:$C,Data_UseCase!$A:$A,K$4,Data_UseCase!$B:$B,$A7)/1E9)</f>
        <v/>
      </c>
      <c r="L7" s="21">
        <f>IF($A7="","",SUMIFS(Data_UseCase!$C:$C,Data_UseCase!$A:$A,L$4,Data_UseCase!$B:$B,$A7)/1E9)</f>
        <v/>
      </c>
      <c r="M7" s="21">
        <f>IF($A7="","",SUMIFS(Data_UseCase!$C:$C,Data_UseCase!$A:$A,M$4,Data_UseCase!$B:$B,$A7)/1E9)</f>
        <v/>
      </c>
      <c r="N7" s="25">
        <f>IF($A7="","",IF(M$20=0,0,M7/M$20))</f>
        <v/>
      </c>
      <c r="O7" s="25">
        <f>IF(OR($A7="",N(M7)=0),"",SUMIFS(Data_UseCase!$D:$D,Data_UseCase!$A:$A,M$4,Data_UseCase!$B:$B,$A7)/1E9/M7)</f>
        <v/>
      </c>
    </row>
    <row r="8">
      <c r="A8" s="3">
        <f>IF(INDEX(Data_Lists!$C:$C,4+1)="","",INDEX(Data_Lists!$C:$C,4+1))</f>
        <v/>
      </c>
      <c r="B8" s="21">
        <f>IF($A8="","",SUMIFS(Data_UseCase!$C:$C,Data_UseCase!$A:$A,B$4,Data_UseCase!$B:$B,$A8)/1E9)</f>
        <v/>
      </c>
      <c r="C8" s="21">
        <f>IF($A8="","",SUMIFS(Data_UseCase!$C:$C,Data_UseCase!$A:$A,C$4,Data_UseCase!$B:$B,$A8)/1E9)</f>
        <v/>
      </c>
      <c r="D8" s="21">
        <f>IF($A8="","",SUMIFS(Data_UseCase!$C:$C,Data_UseCase!$A:$A,D$4,Data_UseCase!$B:$B,$A8)/1E9)</f>
        <v/>
      </c>
      <c r="E8" s="21">
        <f>IF($A8="","",SUMIFS(Data_UseCase!$C:$C,Data_UseCase!$A:$A,E$4,Data_UseCase!$B:$B,$A8)/1E9)</f>
        <v/>
      </c>
      <c r="F8" s="21">
        <f>IF($A8="","",SUMIFS(Data_UseCase!$C:$C,Data_UseCase!$A:$A,F$4,Data_UseCase!$B:$B,$A8)/1E9)</f>
        <v/>
      </c>
      <c r="G8" s="21">
        <f>IF($A8="","",SUMIFS(Data_UseCase!$C:$C,Data_UseCase!$A:$A,G$4,Data_UseCase!$B:$B,$A8)/1E9)</f>
        <v/>
      </c>
      <c r="H8" s="21">
        <f>IF($A8="","",SUMIFS(Data_UseCase!$C:$C,Data_UseCase!$A:$A,H$4,Data_UseCase!$B:$B,$A8)/1E9)</f>
        <v/>
      </c>
      <c r="I8" s="21">
        <f>IF($A8="","",SUMIFS(Data_UseCase!$C:$C,Data_UseCase!$A:$A,I$4,Data_UseCase!$B:$B,$A8)/1E9)</f>
        <v/>
      </c>
      <c r="J8" s="21">
        <f>IF($A8="","",SUMIFS(Data_UseCase!$C:$C,Data_UseCase!$A:$A,J$4,Data_UseCase!$B:$B,$A8)/1E9)</f>
        <v/>
      </c>
      <c r="K8" s="21">
        <f>IF($A8="","",SUMIFS(Data_UseCase!$C:$C,Data_UseCase!$A:$A,K$4,Data_UseCase!$B:$B,$A8)/1E9)</f>
        <v/>
      </c>
      <c r="L8" s="21">
        <f>IF($A8="","",SUMIFS(Data_UseCase!$C:$C,Data_UseCase!$A:$A,L$4,Data_UseCase!$B:$B,$A8)/1E9)</f>
        <v/>
      </c>
      <c r="M8" s="21">
        <f>IF($A8="","",SUMIFS(Data_UseCase!$C:$C,Data_UseCase!$A:$A,M$4,Data_UseCase!$B:$B,$A8)/1E9)</f>
        <v/>
      </c>
      <c r="N8" s="25">
        <f>IF($A8="","",IF(M$20=0,0,M8/M$20))</f>
        <v/>
      </c>
      <c r="O8" s="25">
        <f>IF(OR($A8="",N(M8)=0),"",SUMIFS(Data_UseCase!$D:$D,Data_UseCase!$A:$A,M$4,Data_UseCase!$B:$B,$A8)/1E9/M8)</f>
        <v/>
      </c>
    </row>
    <row r="9">
      <c r="A9" s="3">
        <f>IF(INDEX(Data_Lists!$C:$C,5+1)="","",INDEX(Data_Lists!$C:$C,5+1))</f>
        <v/>
      </c>
      <c r="B9" s="21">
        <f>IF($A9="","",SUMIFS(Data_UseCase!$C:$C,Data_UseCase!$A:$A,B$4,Data_UseCase!$B:$B,$A9)/1E9)</f>
        <v/>
      </c>
      <c r="C9" s="21">
        <f>IF($A9="","",SUMIFS(Data_UseCase!$C:$C,Data_UseCase!$A:$A,C$4,Data_UseCase!$B:$B,$A9)/1E9)</f>
        <v/>
      </c>
      <c r="D9" s="21">
        <f>IF($A9="","",SUMIFS(Data_UseCase!$C:$C,Data_UseCase!$A:$A,D$4,Data_UseCase!$B:$B,$A9)/1E9)</f>
        <v/>
      </c>
      <c r="E9" s="21">
        <f>IF($A9="","",SUMIFS(Data_UseCase!$C:$C,Data_UseCase!$A:$A,E$4,Data_UseCase!$B:$B,$A9)/1E9)</f>
        <v/>
      </c>
      <c r="F9" s="21">
        <f>IF($A9="","",SUMIFS(Data_UseCase!$C:$C,Data_UseCase!$A:$A,F$4,Data_UseCase!$B:$B,$A9)/1E9)</f>
        <v/>
      </c>
      <c r="G9" s="21">
        <f>IF($A9="","",SUMIFS(Data_UseCase!$C:$C,Data_UseCase!$A:$A,G$4,Data_UseCase!$B:$B,$A9)/1E9)</f>
        <v/>
      </c>
      <c r="H9" s="21">
        <f>IF($A9="","",SUMIFS(Data_UseCase!$C:$C,Data_UseCase!$A:$A,H$4,Data_UseCase!$B:$B,$A9)/1E9)</f>
        <v/>
      </c>
      <c r="I9" s="21">
        <f>IF($A9="","",SUMIFS(Data_UseCase!$C:$C,Data_UseCase!$A:$A,I$4,Data_UseCase!$B:$B,$A9)/1E9)</f>
        <v/>
      </c>
      <c r="J9" s="21">
        <f>IF($A9="","",SUMIFS(Data_UseCase!$C:$C,Data_UseCase!$A:$A,J$4,Data_UseCase!$B:$B,$A9)/1E9)</f>
        <v/>
      </c>
      <c r="K9" s="21">
        <f>IF($A9="","",SUMIFS(Data_UseCase!$C:$C,Data_UseCase!$A:$A,K$4,Data_UseCase!$B:$B,$A9)/1E9)</f>
        <v/>
      </c>
      <c r="L9" s="21">
        <f>IF($A9="","",SUMIFS(Data_UseCase!$C:$C,Data_UseCase!$A:$A,L$4,Data_UseCase!$B:$B,$A9)/1E9)</f>
        <v/>
      </c>
      <c r="M9" s="21">
        <f>IF($A9="","",SUMIFS(Data_UseCase!$C:$C,Data_UseCase!$A:$A,M$4,Data_UseCase!$B:$B,$A9)/1E9)</f>
        <v/>
      </c>
      <c r="N9" s="25">
        <f>IF($A9="","",IF(M$20=0,0,M9/M$20))</f>
        <v/>
      </c>
      <c r="O9" s="25">
        <f>IF(OR($A9="",N(M9)=0),"",SUMIFS(Data_UseCase!$D:$D,Data_UseCase!$A:$A,M$4,Data_UseCase!$B:$B,$A9)/1E9/M9)</f>
        <v/>
      </c>
    </row>
    <row r="10">
      <c r="A10" s="3">
        <f>IF(INDEX(Data_Lists!$C:$C,6+1)="","",INDEX(Data_Lists!$C:$C,6+1))</f>
        <v/>
      </c>
      <c r="B10" s="21">
        <f>IF($A10="","",SUMIFS(Data_UseCase!$C:$C,Data_UseCase!$A:$A,B$4,Data_UseCase!$B:$B,$A10)/1E9)</f>
        <v/>
      </c>
      <c r="C10" s="21">
        <f>IF($A10="","",SUMIFS(Data_UseCase!$C:$C,Data_UseCase!$A:$A,C$4,Data_UseCase!$B:$B,$A10)/1E9)</f>
        <v/>
      </c>
      <c r="D10" s="21">
        <f>IF($A10="","",SUMIFS(Data_UseCase!$C:$C,Data_UseCase!$A:$A,D$4,Data_UseCase!$B:$B,$A10)/1E9)</f>
        <v/>
      </c>
      <c r="E10" s="21">
        <f>IF($A10="","",SUMIFS(Data_UseCase!$C:$C,Data_UseCase!$A:$A,E$4,Data_UseCase!$B:$B,$A10)/1E9)</f>
        <v/>
      </c>
      <c r="F10" s="21">
        <f>IF($A10="","",SUMIFS(Data_UseCase!$C:$C,Data_UseCase!$A:$A,F$4,Data_UseCase!$B:$B,$A10)/1E9)</f>
        <v/>
      </c>
      <c r="G10" s="21">
        <f>IF($A10="","",SUMIFS(Data_UseCase!$C:$C,Data_UseCase!$A:$A,G$4,Data_UseCase!$B:$B,$A10)/1E9)</f>
        <v/>
      </c>
      <c r="H10" s="21">
        <f>IF($A10="","",SUMIFS(Data_UseCase!$C:$C,Data_UseCase!$A:$A,H$4,Data_UseCase!$B:$B,$A10)/1E9)</f>
        <v/>
      </c>
      <c r="I10" s="21">
        <f>IF($A10="","",SUMIFS(Data_UseCase!$C:$C,Data_UseCase!$A:$A,I$4,Data_UseCase!$B:$B,$A10)/1E9)</f>
        <v/>
      </c>
      <c r="J10" s="21">
        <f>IF($A10="","",SUMIFS(Data_UseCase!$C:$C,Data_UseCase!$A:$A,J$4,Data_UseCase!$B:$B,$A10)/1E9)</f>
        <v/>
      </c>
      <c r="K10" s="21">
        <f>IF($A10="","",SUMIFS(Data_UseCase!$C:$C,Data_UseCase!$A:$A,K$4,Data_UseCase!$B:$B,$A10)/1E9)</f>
        <v/>
      </c>
      <c r="L10" s="21">
        <f>IF($A10="","",SUMIFS(Data_UseCase!$C:$C,Data_UseCase!$A:$A,L$4,Data_UseCase!$B:$B,$A10)/1E9)</f>
        <v/>
      </c>
      <c r="M10" s="21">
        <f>IF($A10="","",SUMIFS(Data_UseCase!$C:$C,Data_UseCase!$A:$A,M$4,Data_UseCase!$B:$B,$A10)/1E9)</f>
        <v/>
      </c>
      <c r="N10" s="25">
        <f>IF($A10="","",IF(M$20=0,0,M10/M$20))</f>
        <v/>
      </c>
      <c r="O10" s="25">
        <f>IF(OR($A10="",N(M10)=0),"",SUMIFS(Data_UseCase!$D:$D,Data_UseCase!$A:$A,M$4,Data_UseCase!$B:$B,$A10)/1E9/M10)</f>
        <v/>
      </c>
    </row>
    <row r="11">
      <c r="A11" s="3">
        <f>IF(INDEX(Data_Lists!$C:$C,7+1)="","",INDEX(Data_Lists!$C:$C,7+1))</f>
        <v/>
      </c>
      <c r="B11" s="21">
        <f>IF($A11="","",SUMIFS(Data_UseCase!$C:$C,Data_UseCase!$A:$A,B$4,Data_UseCase!$B:$B,$A11)/1E9)</f>
        <v/>
      </c>
      <c r="C11" s="21">
        <f>IF($A11="","",SUMIFS(Data_UseCase!$C:$C,Data_UseCase!$A:$A,C$4,Data_UseCase!$B:$B,$A11)/1E9)</f>
        <v/>
      </c>
      <c r="D11" s="21">
        <f>IF($A11="","",SUMIFS(Data_UseCase!$C:$C,Data_UseCase!$A:$A,D$4,Data_UseCase!$B:$B,$A11)/1E9)</f>
        <v/>
      </c>
      <c r="E11" s="21">
        <f>IF($A11="","",SUMIFS(Data_UseCase!$C:$C,Data_UseCase!$A:$A,E$4,Data_UseCase!$B:$B,$A11)/1E9)</f>
        <v/>
      </c>
      <c r="F11" s="21">
        <f>IF($A11="","",SUMIFS(Data_UseCase!$C:$C,Data_UseCase!$A:$A,F$4,Data_UseCase!$B:$B,$A11)/1E9)</f>
        <v/>
      </c>
      <c r="G11" s="21">
        <f>IF($A11="","",SUMIFS(Data_UseCase!$C:$C,Data_UseCase!$A:$A,G$4,Data_UseCase!$B:$B,$A11)/1E9)</f>
        <v/>
      </c>
      <c r="H11" s="21">
        <f>IF($A11="","",SUMIFS(Data_UseCase!$C:$C,Data_UseCase!$A:$A,H$4,Data_UseCase!$B:$B,$A11)/1E9)</f>
        <v/>
      </c>
      <c r="I11" s="21">
        <f>IF($A11="","",SUMIFS(Data_UseCase!$C:$C,Data_UseCase!$A:$A,I$4,Data_UseCase!$B:$B,$A11)/1E9)</f>
        <v/>
      </c>
      <c r="J11" s="21">
        <f>IF($A11="","",SUMIFS(Data_UseCase!$C:$C,Data_UseCase!$A:$A,J$4,Data_UseCase!$B:$B,$A11)/1E9)</f>
        <v/>
      </c>
      <c r="K11" s="21">
        <f>IF($A11="","",SUMIFS(Data_UseCase!$C:$C,Data_UseCase!$A:$A,K$4,Data_UseCase!$B:$B,$A11)/1E9)</f>
        <v/>
      </c>
      <c r="L11" s="21">
        <f>IF($A11="","",SUMIFS(Data_UseCase!$C:$C,Data_UseCase!$A:$A,L$4,Data_UseCase!$B:$B,$A11)/1E9)</f>
        <v/>
      </c>
      <c r="M11" s="21">
        <f>IF($A11="","",SUMIFS(Data_UseCase!$C:$C,Data_UseCase!$A:$A,M$4,Data_UseCase!$B:$B,$A11)/1E9)</f>
        <v/>
      </c>
      <c r="N11" s="25">
        <f>IF($A11="","",IF(M$20=0,0,M11/M$20))</f>
        <v/>
      </c>
      <c r="O11" s="25">
        <f>IF(OR($A11="",N(M11)=0),"",SUMIFS(Data_UseCase!$D:$D,Data_UseCase!$A:$A,M$4,Data_UseCase!$B:$B,$A11)/1E9/M11)</f>
        <v/>
      </c>
    </row>
    <row r="12">
      <c r="A12" s="3">
        <f>IF(INDEX(Data_Lists!$C:$C,8+1)="","",INDEX(Data_Lists!$C:$C,8+1))</f>
        <v/>
      </c>
      <c r="B12" s="21">
        <f>IF($A12="","",SUMIFS(Data_UseCase!$C:$C,Data_UseCase!$A:$A,B$4,Data_UseCase!$B:$B,$A12)/1E9)</f>
        <v/>
      </c>
      <c r="C12" s="21">
        <f>IF($A12="","",SUMIFS(Data_UseCase!$C:$C,Data_UseCase!$A:$A,C$4,Data_UseCase!$B:$B,$A12)/1E9)</f>
        <v/>
      </c>
      <c r="D12" s="21">
        <f>IF($A12="","",SUMIFS(Data_UseCase!$C:$C,Data_UseCase!$A:$A,D$4,Data_UseCase!$B:$B,$A12)/1E9)</f>
        <v/>
      </c>
      <c r="E12" s="21">
        <f>IF($A12="","",SUMIFS(Data_UseCase!$C:$C,Data_UseCase!$A:$A,E$4,Data_UseCase!$B:$B,$A12)/1E9)</f>
        <v/>
      </c>
      <c r="F12" s="21">
        <f>IF($A12="","",SUMIFS(Data_UseCase!$C:$C,Data_UseCase!$A:$A,F$4,Data_UseCase!$B:$B,$A12)/1E9)</f>
        <v/>
      </c>
      <c r="G12" s="21">
        <f>IF($A12="","",SUMIFS(Data_UseCase!$C:$C,Data_UseCase!$A:$A,G$4,Data_UseCase!$B:$B,$A12)/1E9)</f>
        <v/>
      </c>
      <c r="H12" s="21">
        <f>IF($A12="","",SUMIFS(Data_UseCase!$C:$C,Data_UseCase!$A:$A,H$4,Data_UseCase!$B:$B,$A12)/1E9)</f>
        <v/>
      </c>
      <c r="I12" s="21">
        <f>IF($A12="","",SUMIFS(Data_UseCase!$C:$C,Data_UseCase!$A:$A,I$4,Data_UseCase!$B:$B,$A12)/1E9)</f>
        <v/>
      </c>
      <c r="J12" s="21">
        <f>IF($A12="","",SUMIFS(Data_UseCase!$C:$C,Data_UseCase!$A:$A,J$4,Data_UseCase!$B:$B,$A12)/1E9)</f>
        <v/>
      </c>
      <c r="K12" s="21">
        <f>IF($A12="","",SUMIFS(Data_UseCase!$C:$C,Data_UseCase!$A:$A,K$4,Data_UseCase!$B:$B,$A12)/1E9)</f>
        <v/>
      </c>
      <c r="L12" s="21">
        <f>IF($A12="","",SUMIFS(Data_UseCase!$C:$C,Data_UseCase!$A:$A,L$4,Data_UseCase!$B:$B,$A12)/1E9)</f>
        <v/>
      </c>
      <c r="M12" s="21">
        <f>IF($A12="","",SUMIFS(Data_UseCase!$C:$C,Data_UseCase!$A:$A,M$4,Data_UseCase!$B:$B,$A12)/1E9)</f>
        <v/>
      </c>
      <c r="N12" s="25">
        <f>IF($A12="","",IF(M$20=0,0,M12/M$20))</f>
        <v/>
      </c>
      <c r="O12" s="25">
        <f>IF(OR($A12="",N(M12)=0),"",SUMIFS(Data_UseCase!$D:$D,Data_UseCase!$A:$A,M$4,Data_UseCase!$B:$B,$A12)/1E9/M12)</f>
        <v/>
      </c>
    </row>
    <row r="13">
      <c r="A13" s="3">
        <f>IF(INDEX(Data_Lists!$C:$C,9+1)="","",INDEX(Data_Lists!$C:$C,9+1))</f>
        <v/>
      </c>
      <c r="B13" s="21">
        <f>IF($A13="","",SUMIFS(Data_UseCase!$C:$C,Data_UseCase!$A:$A,B$4,Data_UseCase!$B:$B,$A13)/1E9)</f>
        <v/>
      </c>
      <c r="C13" s="21">
        <f>IF($A13="","",SUMIFS(Data_UseCase!$C:$C,Data_UseCase!$A:$A,C$4,Data_UseCase!$B:$B,$A13)/1E9)</f>
        <v/>
      </c>
      <c r="D13" s="21">
        <f>IF($A13="","",SUMIFS(Data_UseCase!$C:$C,Data_UseCase!$A:$A,D$4,Data_UseCase!$B:$B,$A13)/1E9)</f>
        <v/>
      </c>
      <c r="E13" s="21">
        <f>IF($A13="","",SUMIFS(Data_UseCase!$C:$C,Data_UseCase!$A:$A,E$4,Data_UseCase!$B:$B,$A13)/1E9)</f>
        <v/>
      </c>
      <c r="F13" s="21">
        <f>IF($A13="","",SUMIFS(Data_UseCase!$C:$C,Data_UseCase!$A:$A,F$4,Data_UseCase!$B:$B,$A13)/1E9)</f>
        <v/>
      </c>
      <c r="G13" s="21">
        <f>IF($A13="","",SUMIFS(Data_UseCase!$C:$C,Data_UseCase!$A:$A,G$4,Data_UseCase!$B:$B,$A13)/1E9)</f>
        <v/>
      </c>
      <c r="H13" s="21">
        <f>IF($A13="","",SUMIFS(Data_UseCase!$C:$C,Data_UseCase!$A:$A,H$4,Data_UseCase!$B:$B,$A13)/1E9)</f>
        <v/>
      </c>
      <c r="I13" s="21">
        <f>IF($A13="","",SUMIFS(Data_UseCase!$C:$C,Data_UseCase!$A:$A,I$4,Data_UseCase!$B:$B,$A13)/1E9)</f>
        <v/>
      </c>
      <c r="J13" s="21">
        <f>IF($A13="","",SUMIFS(Data_UseCase!$C:$C,Data_UseCase!$A:$A,J$4,Data_UseCase!$B:$B,$A13)/1E9)</f>
        <v/>
      </c>
      <c r="K13" s="21">
        <f>IF($A13="","",SUMIFS(Data_UseCase!$C:$C,Data_UseCase!$A:$A,K$4,Data_UseCase!$B:$B,$A13)/1E9)</f>
        <v/>
      </c>
      <c r="L13" s="21">
        <f>IF($A13="","",SUMIFS(Data_UseCase!$C:$C,Data_UseCase!$A:$A,L$4,Data_UseCase!$B:$B,$A13)/1E9)</f>
        <v/>
      </c>
      <c r="M13" s="21">
        <f>IF($A13="","",SUMIFS(Data_UseCase!$C:$C,Data_UseCase!$A:$A,M$4,Data_UseCase!$B:$B,$A13)/1E9)</f>
        <v/>
      </c>
      <c r="N13" s="25">
        <f>IF($A13="","",IF(M$20=0,0,M13/M$20))</f>
        <v/>
      </c>
      <c r="O13" s="25">
        <f>IF(OR($A13="",N(M13)=0),"",SUMIFS(Data_UseCase!$D:$D,Data_UseCase!$A:$A,M$4,Data_UseCase!$B:$B,$A13)/1E9/M13)</f>
        <v/>
      </c>
    </row>
    <row r="14">
      <c r="A14" s="3">
        <f>IF(INDEX(Data_Lists!$C:$C,10+1)="","",INDEX(Data_Lists!$C:$C,10+1))</f>
        <v/>
      </c>
      <c r="B14" s="21">
        <f>IF($A14="","",SUMIFS(Data_UseCase!$C:$C,Data_UseCase!$A:$A,B$4,Data_UseCase!$B:$B,$A14)/1E9)</f>
        <v/>
      </c>
      <c r="C14" s="21">
        <f>IF($A14="","",SUMIFS(Data_UseCase!$C:$C,Data_UseCase!$A:$A,C$4,Data_UseCase!$B:$B,$A14)/1E9)</f>
        <v/>
      </c>
      <c r="D14" s="21">
        <f>IF($A14="","",SUMIFS(Data_UseCase!$C:$C,Data_UseCase!$A:$A,D$4,Data_UseCase!$B:$B,$A14)/1E9)</f>
        <v/>
      </c>
      <c r="E14" s="21">
        <f>IF($A14="","",SUMIFS(Data_UseCase!$C:$C,Data_UseCase!$A:$A,E$4,Data_UseCase!$B:$B,$A14)/1E9)</f>
        <v/>
      </c>
      <c r="F14" s="21">
        <f>IF($A14="","",SUMIFS(Data_UseCase!$C:$C,Data_UseCase!$A:$A,F$4,Data_UseCase!$B:$B,$A14)/1E9)</f>
        <v/>
      </c>
      <c r="G14" s="21">
        <f>IF($A14="","",SUMIFS(Data_UseCase!$C:$C,Data_UseCase!$A:$A,G$4,Data_UseCase!$B:$B,$A14)/1E9)</f>
        <v/>
      </c>
      <c r="H14" s="21">
        <f>IF($A14="","",SUMIFS(Data_UseCase!$C:$C,Data_UseCase!$A:$A,H$4,Data_UseCase!$B:$B,$A14)/1E9)</f>
        <v/>
      </c>
      <c r="I14" s="21">
        <f>IF($A14="","",SUMIFS(Data_UseCase!$C:$C,Data_UseCase!$A:$A,I$4,Data_UseCase!$B:$B,$A14)/1E9)</f>
        <v/>
      </c>
      <c r="J14" s="21">
        <f>IF($A14="","",SUMIFS(Data_UseCase!$C:$C,Data_UseCase!$A:$A,J$4,Data_UseCase!$B:$B,$A14)/1E9)</f>
        <v/>
      </c>
      <c r="K14" s="21">
        <f>IF($A14="","",SUMIFS(Data_UseCase!$C:$C,Data_UseCase!$A:$A,K$4,Data_UseCase!$B:$B,$A14)/1E9)</f>
        <v/>
      </c>
      <c r="L14" s="21">
        <f>IF($A14="","",SUMIFS(Data_UseCase!$C:$C,Data_UseCase!$A:$A,L$4,Data_UseCase!$B:$B,$A14)/1E9)</f>
        <v/>
      </c>
      <c r="M14" s="21">
        <f>IF($A14="","",SUMIFS(Data_UseCase!$C:$C,Data_UseCase!$A:$A,M$4,Data_UseCase!$B:$B,$A14)/1E9)</f>
        <v/>
      </c>
      <c r="N14" s="25">
        <f>IF($A14="","",IF(M$20=0,0,M14/M$20))</f>
        <v/>
      </c>
      <c r="O14" s="25">
        <f>IF(OR($A14="",N(M14)=0),"",SUMIFS(Data_UseCase!$D:$D,Data_UseCase!$A:$A,M$4,Data_UseCase!$B:$B,$A14)/1E9/M14)</f>
        <v/>
      </c>
    </row>
    <row r="15">
      <c r="A15" s="3">
        <f>IF(INDEX(Data_Lists!$C:$C,11+1)="","",INDEX(Data_Lists!$C:$C,11+1))</f>
        <v/>
      </c>
      <c r="B15" s="21">
        <f>IF($A15="","",SUMIFS(Data_UseCase!$C:$C,Data_UseCase!$A:$A,B$4,Data_UseCase!$B:$B,$A15)/1E9)</f>
        <v/>
      </c>
      <c r="C15" s="21">
        <f>IF($A15="","",SUMIFS(Data_UseCase!$C:$C,Data_UseCase!$A:$A,C$4,Data_UseCase!$B:$B,$A15)/1E9)</f>
        <v/>
      </c>
      <c r="D15" s="21">
        <f>IF($A15="","",SUMIFS(Data_UseCase!$C:$C,Data_UseCase!$A:$A,D$4,Data_UseCase!$B:$B,$A15)/1E9)</f>
        <v/>
      </c>
      <c r="E15" s="21">
        <f>IF($A15="","",SUMIFS(Data_UseCase!$C:$C,Data_UseCase!$A:$A,E$4,Data_UseCase!$B:$B,$A15)/1E9)</f>
        <v/>
      </c>
      <c r="F15" s="21">
        <f>IF($A15="","",SUMIFS(Data_UseCase!$C:$C,Data_UseCase!$A:$A,F$4,Data_UseCase!$B:$B,$A15)/1E9)</f>
        <v/>
      </c>
      <c r="G15" s="21">
        <f>IF($A15="","",SUMIFS(Data_UseCase!$C:$C,Data_UseCase!$A:$A,G$4,Data_UseCase!$B:$B,$A15)/1E9)</f>
        <v/>
      </c>
      <c r="H15" s="21">
        <f>IF($A15="","",SUMIFS(Data_UseCase!$C:$C,Data_UseCase!$A:$A,H$4,Data_UseCase!$B:$B,$A15)/1E9)</f>
        <v/>
      </c>
      <c r="I15" s="21">
        <f>IF($A15="","",SUMIFS(Data_UseCase!$C:$C,Data_UseCase!$A:$A,I$4,Data_UseCase!$B:$B,$A15)/1E9)</f>
        <v/>
      </c>
      <c r="J15" s="21">
        <f>IF($A15="","",SUMIFS(Data_UseCase!$C:$C,Data_UseCase!$A:$A,J$4,Data_UseCase!$B:$B,$A15)/1E9)</f>
        <v/>
      </c>
      <c r="K15" s="21">
        <f>IF($A15="","",SUMIFS(Data_UseCase!$C:$C,Data_UseCase!$A:$A,K$4,Data_UseCase!$B:$B,$A15)/1E9)</f>
        <v/>
      </c>
      <c r="L15" s="21">
        <f>IF($A15="","",SUMIFS(Data_UseCase!$C:$C,Data_UseCase!$A:$A,L$4,Data_UseCase!$B:$B,$A15)/1E9)</f>
        <v/>
      </c>
      <c r="M15" s="21">
        <f>IF($A15="","",SUMIFS(Data_UseCase!$C:$C,Data_UseCase!$A:$A,M$4,Data_UseCase!$B:$B,$A15)/1E9)</f>
        <v/>
      </c>
      <c r="N15" s="25">
        <f>IF($A15="","",IF(M$20=0,0,M15/M$20))</f>
        <v/>
      </c>
      <c r="O15" s="25">
        <f>IF(OR($A15="",N(M15)=0),"",SUMIFS(Data_UseCase!$D:$D,Data_UseCase!$A:$A,M$4,Data_UseCase!$B:$B,$A15)/1E9/M15)</f>
        <v/>
      </c>
    </row>
    <row r="16">
      <c r="A16" s="3">
        <f>IF(INDEX(Data_Lists!$C:$C,12+1)="","",INDEX(Data_Lists!$C:$C,12+1))</f>
        <v/>
      </c>
      <c r="B16" s="21">
        <f>IF($A16="","",SUMIFS(Data_UseCase!$C:$C,Data_UseCase!$A:$A,B$4,Data_UseCase!$B:$B,$A16)/1E9)</f>
        <v/>
      </c>
      <c r="C16" s="21">
        <f>IF($A16="","",SUMIFS(Data_UseCase!$C:$C,Data_UseCase!$A:$A,C$4,Data_UseCase!$B:$B,$A16)/1E9)</f>
        <v/>
      </c>
      <c r="D16" s="21">
        <f>IF($A16="","",SUMIFS(Data_UseCase!$C:$C,Data_UseCase!$A:$A,D$4,Data_UseCase!$B:$B,$A16)/1E9)</f>
        <v/>
      </c>
      <c r="E16" s="21">
        <f>IF($A16="","",SUMIFS(Data_UseCase!$C:$C,Data_UseCase!$A:$A,E$4,Data_UseCase!$B:$B,$A16)/1E9)</f>
        <v/>
      </c>
      <c r="F16" s="21">
        <f>IF($A16="","",SUMIFS(Data_UseCase!$C:$C,Data_UseCase!$A:$A,F$4,Data_UseCase!$B:$B,$A16)/1E9)</f>
        <v/>
      </c>
      <c r="G16" s="21">
        <f>IF($A16="","",SUMIFS(Data_UseCase!$C:$C,Data_UseCase!$A:$A,G$4,Data_UseCase!$B:$B,$A16)/1E9)</f>
        <v/>
      </c>
      <c r="H16" s="21">
        <f>IF($A16="","",SUMIFS(Data_UseCase!$C:$C,Data_UseCase!$A:$A,H$4,Data_UseCase!$B:$B,$A16)/1E9)</f>
        <v/>
      </c>
      <c r="I16" s="21">
        <f>IF($A16="","",SUMIFS(Data_UseCase!$C:$C,Data_UseCase!$A:$A,I$4,Data_UseCase!$B:$B,$A16)/1E9)</f>
        <v/>
      </c>
      <c r="J16" s="21">
        <f>IF($A16="","",SUMIFS(Data_UseCase!$C:$C,Data_UseCase!$A:$A,J$4,Data_UseCase!$B:$B,$A16)/1E9)</f>
        <v/>
      </c>
      <c r="K16" s="21">
        <f>IF($A16="","",SUMIFS(Data_UseCase!$C:$C,Data_UseCase!$A:$A,K$4,Data_UseCase!$B:$B,$A16)/1E9)</f>
        <v/>
      </c>
      <c r="L16" s="21">
        <f>IF($A16="","",SUMIFS(Data_UseCase!$C:$C,Data_UseCase!$A:$A,L$4,Data_UseCase!$B:$B,$A16)/1E9)</f>
        <v/>
      </c>
      <c r="M16" s="21">
        <f>IF($A16="","",SUMIFS(Data_UseCase!$C:$C,Data_UseCase!$A:$A,M$4,Data_UseCase!$B:$B,$A16)/1E9)</f>
        <v/>
      </c>
      <c r="N16" s="25">
        <f>IF($A16="","",IF(M$20=0,0,M16/M$20))</f>
        <v/>
      </c>
      <c r="O16" s="25">
        <f>IF(OR($A16="",N(M16)=0),"",SUMIFS(Data_UseCase!$D:$D,Data_UseCase!$A:$A,M$4,Data_UseCase!$B:$B,$A16)/1E9/M16)</f>
        <v/>
      </c>
    </row>
    <row r="17">
      <c r="A17" s="3">
        <f>IF(INDEX(Data_Lists!$C:$C,13+1)="","",INDEX(Data_Lists!$C:$C,13+1))</f>
        <v/>
      </c>
      <c r="B17" s="21">
        <f>IF($A17="","",SUMIFS(Data_UseCase!$C:$C,Data_UseCase!$A:$A,B$4,Data_UseCase!$B:$B,$A17)/1E9)</f>
        <v/>
      </c>
      <c r="C17" s="21">
        <f>IF($A17="","",SUMIFS(Data_UseCase!$C:$C,Data_UseCase!$A:$A,C$4,Data_UseCase!$B:$B,$A17)/1E9)</f>
        <v/>
      </c>
      <c r="D17" s="21">
        <f>IF($A17="","",SUMIFS(Data_UseCase!$C:$C,Data_UseCase!$A:$A,D$4,Data_UseCase!$B:$B,$A17)/1E9)</f>
        <v/>
      </c>
      <c r="E17" s="21">
        <f>IF($A17="","",SUMIFS(Data_UseCase!$C:$C,Data_UseCase!$A:$A,E$4,Data_UseCase!$B:$B,$A17)/1E9)</f>
        <v/>
      </c>
      <c r="F17" s="21">
        <f>IF($A17="","",SUMIFS(Data_UseCase!$C:$C,Data_UseCase!$A:$A,F$4,Data_UseCase!$B:$B,$A17)/1E9)</f>
        <v/>
      </c>
      <c r="G17" s="21">
        <f>IF($A17="","",SUMIFS(Data_UseCase!$C:$C,Data_UseCase!$A:$A,G$4,Data_UseCase!$B:$B,$A17)/1E9)</f>
        <v/>
      </c>
      <c r="H17" s="21">
        <f>IF($A17="","",SUMIFS(Data_UseCase!$C:$C,Data_UseCase!$A:$A,H$4,Data_UseCase!$B:$B,$A17)/1E9)</f>
        <v/>
      </c>
      <c r="I17" s="21">
        <f>IF($A17="","",SUMIFS(Data_UseCase!$C:$C,Data_UseCase!$A:$A,I$4,Data_UseCase!$B:$B,$A17)/1E9)</f>
        <v/>
      </c>
      <c r="J17" s="21">
        <f>IF($A17="","",SUMIFS(Data_UseCase!$C:$C,Data_UseCase!$A:$A,J$4,Data_UseCase!$B:$B,$A17)/1E9)</f>
        <v/>
      </c>
      <c r="K17" s="21">
        <f>IF($A17="","",SUMIFS(Data_UseCase!$C:$C,Data_UseCase!$A:$A,K$4,Data_UseCase!$B:$B,$A17)/1E9)</f>
        <v/>
      </c>
      <c r="L17" s="21">
        <f>IF($A17="","",SUMIFS(Data_UseCase!$C:$C,Data_UseCase!$A:$A,L$4,Data_UseCase!$B:$B,$A17)/1E9)</f>
        <v/>
      </c>
      <c r="M17" s="21">
        <f>IF($A17="","",SUMIFS(Data_UseCase!$C:$C,Data_UseCase!$A:$A,M$4,Data_UseCase!$B:$B,$A17)/1E9)</f>
        <v/>
      </c>
      <c r="N17" s="25">
        <f>IF($A17="","",IF(M$20=0,0,M17/M$20))</f>
        <v/>
      </c>
      <c r="O17" s="25">
        <f>IF(OR($A17="",N(M17)=0),"",SUMIFS(Data_UseCase!$D:$D,Data_UseCase!$A:$A,M$4,Data_UseCase!$B:$B,$A17)/1E9/M17)</f>
        <v/>
      </c>
    </row>
    <row r="18">
      <c r="A18" s="3">
        <f>IF(INDEX(Data_Lists!$C:$C,14+1)="","",INDEX(Data_Lists!$C:$C,14+1))</f>
        <v/>
      </c>
      <c r="B18" s="21">
        <f>IF($A18="","",SUMIFS(Data_UseCase!$C:$C,Data_UseCase!$A:$A,B$4,Data_UseCase!$B:$B,$A18)/1E9)</f>
        <v/>
      </c>
      <c r="C18" s="21">
        <f>IF($A18="","",SUMIFS(Data_UseCase!$C:$C,Data_UseCase!$A:$A,C$4,Data_UseCase!$B:$B,$A18)/1E9)</f>
        <v/>
      </c>
      <c r="D18" s="21">
        <f>IF($A18="","",SUMIFS(Data_UseCase!$C:$C,Data_UseCase!$A:$A,D$4,Data_UseCase!$B:$B,$A18)/1E9)</f>
        <v/>
      </c>
      <c r="E18" s="21">
        <f>IF($A18="","",SUMIFS(Data_UseCase!$C:$C,Data_UseCase!$A:$A,E$4,Data_UseCase!$B:$B,$A18)/1E9)</f>
        <v/>
      </c>
      <c r="F18" s="21">
        <f>IF($A18="","",SUMIFS(Data_UseCase!$C:$C,Data_UseCase!$A:$A,F$4,Data_UseCase!$B:$B,$A18)/1E9)</f>
        <v/>
      </c>
      <c r="G18" s="21">
        <f>IF($A18="","",SUMIFS(Data_UseCase!$C:$C,Data_UseCase!$A:$A,G$4,Data_UseCase!$B:$B,$A18)/1E9)</f>
        <v/>
      </c>
      <c r="H18" s="21">
        <f>IF($A18="","",SUMIFS(Data_UseCase!$C:$C,Data_UseCase!$A:$A,H$4,Data_UseCase!$B:$B,$A18)/1E9)</f>
        <v/>
      </c>
      <c r="I18" s="21">
        <f>IF($A18="","",SUMIFS(Data_UseCase!$C:$C,Data_UseCase!$A:$A,I$4,Data_UseCase!$B:$B,$A18)/1E9)</f>
        <v/>
      </c>
      <c r="J18" s="21">
        <f>IF($A18="","",SUMIFS(Data_UseCase!$C:$C,Data_UseCase!$A:$A,J$4,Data_UseCase!$B:$B,$A18)/1E9)</f>
        <v/>
      </c>
      <c r="K18" s="21">
        <f>IF($A18="","",SUMIFS(Data_UseCase!$C:$C,Data_UseCase!$A:$A,K$4,Data_UseCase!$B:$B,$A18)/1E9)</f>
        <v/>
      </c>
      <c r="L18" s="21">
        <f>IF($A18="","",SUMIFS(Data_UseCase!$C:$C,Data_UseCase!$A:$A,L$4,Data_UseCase!$B:$B,$A18)/1E9)</f>
        <v/>
      </c>
      <c r="M18" s="21">
        <f>IF($A18="","",SUMIFS(Data_UseCase!$C:$C,Data_UseCase!$A:$A,M$4,Data_UseCase!$B:$B,$A18)/1E9)</f>
        <v/>
      </c>
      <c r="N18" s="25">
        <f>IF($A18="","",IF(M$20=0,0,M18/M$20))</f>
        <v/>
      </c>
      <c r="O18" s="25">
        <f>IF(OR($A18="",N(M18)=0),"",SUMIFS(Data_UseCase!$D:$D,Data_UseCase!$A:$A,M$4,Data_UseCase!$B:$B,$A18)/1E9/M18)</f>
        <v/>
      </c>
    </row>
    <row r="19">
      <c r="A19" s="3">
        <f>IF(INDEX(Data_Lists!$C:$C,15+1)="","",INDEX(Data_Lists!$C:$C,15+1))</f>
        <v/>
      </c>
      <c r="B19" s="21">
        <f>IF($A19="","",SUMIFS(Data_UseCase!$C:$C,Data_UseCase!$A:$A,B$4,Data_UseCase!$B:$B,$A19)/1E9)</f>
        <v/>
      </c>
      <c r="C19" s="21">
        <f>IF($A19="","",SUMIFS(Data_UseCase!$C:$C,Data_UseCase!$A:$A,C$4,Data_UseCase!$B:$B,$A19)/1E9)</f>
        <v/>
      </c>
      <c r="D19" s="21">
        <f>IF($A19="","",SUMIFS(Data_UseCase!$C:$C,Data_UseCase!$A:$A,D$4,Data_UseCase!$B:$B,$A19)/1E9)</f>
        <v/>
      </c>
      <c r="E19" s="21">
        <f>IF($A19="","",SUMIFS(Data_UseCase!$C:$C,Data_UseCase!$A:$A,E$4,Data_UseCase!$B:$B,$A19)/1E9)</f>
        <v/>
      </c>
      <c r="F19" s="21">
        <f>IF($A19="","",SUMIFS(Data_UseCase!$C:$C,Data_UseCase!$A:$A,F$4,Data_UseCase!$B:$B,$A19)/1E9)</f>
        <v/>
      </c>
      <c r="G19" s="21">
        <f>IF($A19="","",SUMIFS(Data_UseCase!$C:$C,Data_UseCase!$A:$A,G$4,Data_UseCase!$B:$B,$A19)/1E9)</f>
        <v/>
      </c>
      <c r="H19" s="21">
        <f>IF($A19="","",SUMIFS(Data_UseCase!$C:$C,Data_UseCase!$A:$A,H$4,Data_UseCase!$B:$B,$A19)/1E9)</f>
        <v/>
      </c>
      <c r="I19" s="21">
        <f>IF($A19="","",SUMIFS(Data_UseCase!$C:$C,Data_UseCase!$A:$A,I$4,Data_UseCase!$B:$B,$A19)/1E9)</f>
        <v/>
      </c>
      <c r="J19" s="21">
        <f>IF($A19="","",SUMIFS(Data_UseCase!$C:$C,Data_UseCase!$A:$A,J$4,Data_UseCase!$B:$B,$A19)/1E9)</f>
        <v/>
      </c>
      <c r="K19" s="21">
        <f>IF($A19="","",SUMIFS(Data_UseCase!$C:$C,Data_UseCase!$A:$A,K$4,Data_UseCase!$B:$B,$A19)/1E9)</f>
        <v/>
      </c>
      <c r="L19" s="21">
        <f>IF($A19="","",SUMIFS(Data_UseCase!$C:$C,Data_UseCase!$A:$A,L$4,Data_UseCase!$B:$B,$A19)/1E9)</f>
        <v/>
      </c>
      <c r="M19" s="21">
        <f>IF($A19="","",SUMIFS(Data_UseCase!$C:$C,Data_UseCase!$A:$A,M$4,Data_UseCase!$B:$B,$A19)/1E9)</f>
        <v/>
      </c>
      <c r="N19" s="25">
        <f>IF($A19="","",IF(M$20=0,0,M19/M$20))</f>
        <v/>
      </c>
      <c r="O19" s="25">
        <f>IF(OR($A19="",N(M19)=0),"",SUMIFS(Data_UseCase!$D:$D,Data_UseCase!$A:$A,M$4,Data_UseCase!$B:$B,$A19)/1E9/M19)</f>
        <v/>
      </c>
    </row>
    <row r="20">
      <c r="A20" s="2" t="inlineStr">
        <is>
          <t>Total</t>
        </is>
      </c>
      <c r="B20" s="22">
        <f>SUM(B5:B19)</f>
        <v/>
      </c>
      <c r="C20" s="22">
        <f>SUM(C5:C19)</f>
        <v/>
      </c>
      <c r="D20" s="22">
        <f>SUM(D5:D19)</f>
        <v/>
      </c>
      <c r="E20" s="22">
        <f>SUM(E5:E19)</f>
        <v/>
      </c>
      <c r="F20" s="22">
        <f>SUM(F5:F19)</f>
        <v/>
      </c>
      <c r="G20" s="22">
        <f>SUM(G5:G19)</f>
        <v/>
      </c>
      <c r="H20" s="22">
        <f>SUM(H5:H19)</f>
        <v/>
      </c>
      <c r="I20" s="22">
        <f>SUM(I5:I19)</f>
        <v/>
      </c>
      <c r="J20" s="22">
        <f>SUM(J5:J19)</f>
        <v/>
      </c>
      <c r="K20" s="22">
        <f>SUM(K5:K19)</f>
        <v/>
      </c>
      <c r="L20" s="22">
        <f>SUM(L5:L19)</f>
        <v/>
      </c>
      <c r="M20" s="22">
        <f>SUM(M5:M19)</f>
        <v/>
      </c>
    </row>
    <row r="22">
      <c r="A22" s="19" t="inlineStr">
        <is>
          <t>How reliable is the inferred use case? Rules scored on traffic whose label we know</t>
        </is>
      </c>
      <c r="B22" s="20" t="n"/>
      <c r="C22" s="20" t="n"/>
      <c r="D22" s="20" t="n"/>
      <c r="E22" s="20" t="n"/>
      <c r="F22" s="20" t="n"/>
    </row>
    <row r="23">
      <c r="A23" s="8" t="inlineStr">
        <is>
          <t>Use case</t>
        </is>
      </c>
      <c r="B23" s="8" t="inlineStr">
        <is>
          <t>Labelled tokens (B)</t>
        </is>
      </c>
      <c r="C23" s="8" t="inlineStr">
        <is>
          <t>Inferred correctly (B)</t>
        </is>
      </c>
      <c r="D23" s="8" t="inlineStr">
        <is>
          <t>Accuracy</t>
        </is>
      </c>
    </row>
    <row r="24">
      <c r="A24" s="3">
        <f>IF(INDEX(Data_InferenceAcc!$A:$A,1+1)="","",INDEX(Data_InferenceAcc!$A:$A,1+1))</f>
        <v/>
      </c>
      <c r="B24" s="21">
        <f>IF($A24="","",INDEX(Data_InferenceAcc!$B:$B,1+1)/1E9)</f>
        <v/>
      </c>
      <c r="C24" s="21">
        <f>IF($A24="","",INDEX(Data_InferenceAcc!$C:$C,1+1)/1E9)</f>
        <v/>
      </c>
      <c r="D24" s="25">
        <f>IF(OR($A24="",N(B24)=0),"",C24/B24)</f>
        <v/>
      </c>
    </row>
    <row r="25">
      <c r="A25" s="3">
        <f>IF(INDEX(Data_InferenceAcc!$A:$A,2+1)="","",INDEX(Data_InferenceAcc!$A:$A,2+1))</f>
        <v/>
      </c>
      <c r="B25" s="21">
        <f>IF($A25="","",INDEX(Data_InferenceAcc!$B:$B,2+1)/1E9)</f>
        <v/>
      </c>
      <c r="C25" s="21">
        <f>IF($A25="","",INDEX(Data_InferenceAcc!$C:$C,2+1)/1E9)</f>
        <v/>
      </c>
      <c r="D25" s="25">
        <f>IF(OR($A25="",N(B25)=0),"",C25/B25)</f>
        <v/>
      </c>
    </row>
    <row r="26">
      <c r="A26" s="3">
        <f>IF(INDEX(Data_InferenceAcc!$A:$A,3+1)="","",INDEX(Data_InferenceAcc!$A:$A,3+1))</f>
        <v/>
      </c>
      <c r="B26" s="21">
        <f>IF($A26="","",INDEX(Data_InferenceAcc!$B:$B,3+1)/1E9)</f>
        <v/>
      </c>
      <c r="C26" s="21">
        <f>IF($A26="","",INDEX(Data_InferenceAcc!$C:$C,3+1)/1E9)</f>
        <v/>
      </c>
      <c r="D26" s="25">
        <f>IF(OR($A26="",N(B26)=0),"",C26/B26)</f>
        <v/>
      </c>
    </row>
    <row r="27">
      <c r="A27" s="3">
        <f>IF(INDEX(Data_InferenceAcc!$A:$A,4+1)="","",INDEX(Data_InferenceAcc!$A:$A,4+1))</f>
        <v/>
      </c>
      <c r="B27" s="21">
        <f>IF($A27="","",INDEX(Data_InferenceAcc!$B:$B,4+1)/1E9)</f>
        <v/>
      </c>
      <c r="C27" s="21">
        <f>IF($A27="","",INDEX(Data_InferenceAcc!$C:$C,4+1)/1E9)</f>
        <v/>
      </c>
      <c r="D27" s="25">
        <f>IF(OR($A27="",N(B27)=0),"",C27/B27)</f>
        <v/>
      </c>
    </row>
    <row r="28">
      <c r="A28" s="3">
        <f>IF(INDEX(Data_InferenceAcc!$A:$A,5+1)="","",INDEX(Data_InferenceAcc!$A:$A,5+1))</f>
        <v/>
      </c>
      <c r="B28" s="21">
        <f>IF($A28="","",INDEX(Data_InferenceAcc!$B:$B,5+1)/1E9)</f>
        <v/>
      </c>
      <c r="C28" s="21">
        <f>IF($A28="","",INDEX(Data_InferenceAcc!$C:$C,5+1)/1E9)</f>
        <v/>
      </c>
      <c r="D28" s="25">
        <f>IF(OR($A28="",N(B28)=0),"",C28/B28)</f>
        <v/>
      </c>
    </row>
    <row r="29">
      <c r="A29" s="3">
        <f>IF(INDEX(Data_InferenceAcc!$A:$A,6+1)="","",INDEX(Data_InferenceAcc!$A:$A,6+1))</f>
        <v/>
      </c>
      <c r="B29" s="21">
        <f>IF($A29="","",INDEX(Data_InferenceAcc!$B:$B,6+1)/1E9)</f>
        <v/>
      </c>
      <c r="C29" s="21">
        <f>IF($A29="","",INDEX(Data_InferenceAcc!$C:$C,6+1)/1E9)</f>
        <v/>
      </c>
      <c r="D29" s="25">
        <f>IF(OR($A29="",N(B29)=0),"",C29/B29)</f>
        <v/>
      </c>
    </row>
    <row r="30">
      <c r="A30" s="3">
        <f>IF(INDEX(Data_InferenceAcc!$A:$A,7+1)="","",INDEX(Data_InferenceAcc!$A:$A,7+1))</f>
        <v/>
      </c>
      <c r="B30" s="21">
        <f>IF($A30="","",INDEX(Data_InferenceAcc!$B:$B,7+1)/1E9)</f>
        <v/>
      </c>
      <c r="C30" s="21">
        <f>IF($A30="","",INDEX(Data_InferenceAcc!$C:$C,7+1)/1E9)</f>
        <v/>
      </c>
      <c r="D30" s="25">
        <f>IF(OR($A30="",N(B30)=0),"",C30/B30)</f>
        <v/>
      </c>
    </row>
    <row r="31">
      <c r="A31" s="3">
        <f>IF(INDEX(Data_InferenceAcc!$A:$A,8+1)="","",INDEX(Data_InferenceAcc!$A:$A,8+1))</f>
        <v/>
      </c>
      <c r="B31" s="21">
        <f>IF($A31="","",INDEX(Data_InferenceAcc!$B:$B,8+1)/1E9)</f>
        <v/>
      </c>
      <c r="C31" s="21">
        <f>IF($A31="","",INDEX(Data_InferenceAcc!$C:$C,8+1)/1E9)</f>
        <v/>
      </c>
      <c r="D31" s="25">
        <f>IF(OR($A31="",N(B31)=0),"",C31/B31)</f>
        <v/>
      </c>
    </row>
    <row r="32">
      <c r="A32" s="3">
        <f>IF(INDEX(Data_InferenceAcc!$A:$A,9+1)="","",INDEX(Data_InferenceAcc!$A:$A,9+1))</f>
        <v/>
      </c>
      <c r="B32" s="21">
        <f>IF($A32="","",INDEX(Data_InferenceAcc!$B:$B,9+1)/1E9)</f>
        <v/>
      </c>
      <c r="C32" s="21">
        <f>IF($A32="","",INDEX(Data_InferenceAcc!$C:$C,9+1)/1E9)</f>
        <v/>
      </c>
      <c r="D32" s="25">
        <f>IF(OR($A32="",N(B32)=0),"",C32/B32)</f>
        <v/>
      </c>
    </row>
    <row r="33">
      <c r="A33" s="3">
        <f>IF(INDEX(Data_InferenceAcc!$A:$A,10+1)="","",INDEX(Data_InferenceAcc!$A:$A,10+1))</f>
        <v/>
      </c>
      <c r="B33" s="21">
        <f>IF($A33="","",INDEX(Data_InferenceAcc!$B:$B,10+1)/1E9)</f>
        <v/>
      </c>
      <c r="C33" s="21">
        <f>IF($A33="","",INDEX(Data_InferenceAcc!$C:$C,10+1)/1E9)</f>
        <v/>
      </c>
      <c r="D33" s="25">
        <f>IF(OR($A33="",N(B33)=0),"",C33/B33)</f>
        <v/>
      </c>
    </row>
    <row r="34">
      <c r="A34" s="3">
        <f>IF(INDEX(Data_InferenceAcc!$A:$A,11+1)="","",INDEX(Data_InferenceAcc!$A:$A,11+1))</f>
        <v/>
      </c>
      <c r="B34" s="21">
        <f>IF($A34="","",INDEX(Data_InferenceAcc!$B:$B,11+1)/1E9)</f>
        <v/>
      </c>
      <c r="C34" s="21">
        <f>IF($A34="","",INDEX(Data_InferenceAcc!$C:$C,11+1)/1E9)</f>
        <v/>
      </c>
      <c r="D34" s="25">
        <f>IF(OR($A34="",N(B34)=0),"",C34/B34)</f>
        <v/>
      </c>
    </row>
    <row r="35">
      <c r="A35" s="3">
        <f>IF(INDEX(Data_InferenceAcc!$A:$A,12+1)="","",INDEX(Data_InferenceAcc!$A:$A,12+1))</f>
        <v/>
      </c>
      <c r="B35" s="21">
        <f>IF($A35="","",INDEX(Data_InferenceAcc!$B:$B,12+1)/1E9)</f>
        <v/>
      </c>
      <c r="C35" s="21">
        <f>IF($A35="","",INDEX(Data_InferenceAcc!$C:$C,12+1)/1E9)</f>
        <v/>
      </c>
      <c r="D35" s="25">
        <f>IF(OR($A35="",N(B35)=0),"",C35/B35)</f>
        <v/>
      </c>
    </row>
    <row r="36">
      <c r="A36" s="3">
        <f>IF(INDEX(Data_InferenceAcc!$A:$A,13+1)="","",INDEX(Data_InferenceAcc!$A:$A,13+1))</f>
        <v/>
      </c>
      <c r="B36" s="21">
        <f>IF($A36="","",INDEX(Data_InferenceAcc!$B:$B,13+1)/1E9)</f>
        <v/>
      </c>
      <c r="C36" s="21">
        <f>IF($A36="","",INDEX(Data_InferenceAcc!$C:$C,13+1)/1E9)</f>
        <v/>
      </c>
      <c r="D36" s="25">
        <f>IF(OR($A36="",N(B36)=0),"",C36/B36)</f>
        <v/>
      </c>
    </row>
    <row r="37">
      <c r="A37" s="3">
        <f>IF(INDEX(Data_InferenceAcc!$A:$A,14+1)="","",INDEX(Data_InferenceAcc!$A:$A,14+1))</f>
        <v/>
      </c>
      <c r="B37" s="21">
        <f>IF($A37="","",INDEX(Data_InferenceAcc!$B:$B,14+1)/1E9)</f>
        <v/>
      </c>
      <c r="C37" s="21">
        <f>IF($A37="","",INDEX(Data_InferenceAcc!$C:$C,14+1)/1E9)</f>
        <v/>
      </c>
      <c r="D37" s="25">
        <f>IF(OR($A37="",N(B37)=0),"",C37/B37)</f>
        <v/>
      </c>
    </row>
    <row r="38">
      <c r="A38" s="3">
        <f>IF(INDEX(Data_InferenceAcc!$A:$A,15+1)="","",INDEX(Data_InferenceAcc!$A:$A,15+1))</f>
        <v/>
      </c>
      <c r="B38" s="21">
        <f>IF($A38="","",INDEX(Data_InferenceAcc!$B:$B,15+1)/1E9)</f>
        <v/>
      </c>
      <c r="C38" s="21">
        <f>IF($A38="","",INDEX(Data_InferenceAcc!$C:$C,15+1)/1E9)</f>
        <v/>
      </c>
      <c r="D38" s="25">
        <f>IF(OR($A38="",N(B38)=0),"",C38/B38)</f>
        <v/>
      </c>
    </row>
    <row r="39">
      <c r="A39" s="2" t="inlineStr">
        <is>
          <t>All labelled traffic</t>
        </is>
      </c>
      <c r="B39" s="22">
        <f>SUM(B24:B38)</f>
        <v/>
      </c>
      <c r="C39" s="22">
        <f>SUM(C24:C38)</f>
        <v/>
      </c>
      <c r="D39" s="27">
        <f>IF(B39=0,"no labelled traffic",C39/B39)</f>
        <v/>
      </c>
    </row>
    <row r="41">
      <c r="A41" s="7" t="inlineStr">
        <is>
          <t>Low accuracy means the rules in sql/20_use_case_rules.sql don't fit your traffic yet. Recalibrate them, or map more labels.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3"/>
  <sheetViews>
    <sheetView showGridLines="0" workbookViewId="0">
      <selection activeCell="A1" sqref="A1"/>
    </sheetView>
  </sheetViews>
  <sheetFormatPr baseColWidth="8" defaultRowHeight="15"/>
  <cols>
    <col width="14" customWidth="1" min="1" max="1"/>
    <col width="10" customWidth="1" min="2" max="2"/>
    <col width="14"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c r="A1" s="1">
        <f>Data_Params!$B$14&amp;" | Self-serve cohorts"</f>
        <v/>
      </c>
    </row>
    <row r="2">
      <c r="A2" s="7" t="inlineStr">
        <is>
          <t>Accounts grouped by signup month. Tokens per day (B) so partial months compare fairly. Older cohorts are combined on the Forecast tab.</t>
        </is>
      </c>
    </row>
    <row r="4">
      <c r="A4" s="8" t="inlineStr">
        <is>
          <t>Signup cohort</t>
        </is>
      </c>
      <c r="B4" s="8" t="inlineStr">
        <is>
          <t>Signups</t>
        </is>
      </c>
      <c r="C4" s="8" t="inlineStr">
        <is>
          <t>Added payment method</t>
        </is>
      </c>
      <c r="D4" s="8" t="inlineStr">
        <is>
          <t>Month 0</t>
        </is>
      </c>
      <c r="E4" s="8" t="inlineStr">
        <is>
          <t>Month 1</t>
        </is>
      </c>
      <c r="F4" s="8" t="inlineStr">
        <is>
          <t>Month 2</t>
        </is>
      </c>
      <c r="G4" s="8" t="inlineStr">
        <is>
          <t>Month 3</t>
        </is>
      </c>
      <c r="H4" s="8" t="inlineStr">
        <is>
          <t>Month 4</t>
        </is>
      </c>
      <c r="I4" s="8" t="inlineStr">
        <is>
          <t>Month 5</t>
        </is>
      </c>
      <c r="J4" s="8" t="inlineStr">
        <is>
          <t>Month 6</t>
        </is>
      </c>
      <c r="K4" s="8" t="inlineStr">
        <is>
          <t>Month 7</t>
        </is>
      </c>
      <c r="L4" s="8" t="inlineStr">
        <is>
          <t>Month 8</t>
        </is>
      </c>
      <c r="M4" s="8" t="inlineStr">
        <is>
          <t>Month 9</t>
        </is>
      </c>
      <c r="N4" s="8" t="inlineStr">
        <is>
          <t>Month 10</t>
        </is>
      </c>
      <c r="O4" s="8" t="inlineStr">
        <is>
          <t>Month 11</t>
        </is>
      </c>
    </row>
    <row r="5">
      <c r="A5" s="28">
        <f>EDATE(Data_Params!$B$3,0)</f>
        <v/>
      </c>
      <c r="B5" s="23">
        <f>SUMIFS(Data_Signups!$B:$B,Data_Signups!$A:$A,$A5)</f>
        <v/>
      </c>
      <c r="C5" s="23">
        <f>IF(SUMIFS(Data_Signups!$D:$D,Data_Signups!$A:$A,$A5)=0,"n/a",SUMIFS(Data_Signups!$C:$C,Data_Signups!$A:$A,$A5))</f>
        <v/>
      </c>
      <c r="D5" s="29">
        <f>SUMIFS(Data_Cohort!$C:$C,Data_Cohort!$A:$A,$A5,Data_Cohort!$B:$B,0)/MAX(1,SUMIFS(Data_Months!$B:$B,Data_Months!$A:$A,EDATE($A5,0)))/1E9</f>
        <v/>
      </c>
      <c r="E5" s="29">
        <f>SUMIFS(Data_Cohort!$C:$C,Data_Cohort!$A:$A,$A5,Data_Cohort!$B:$B,1)/MAX(1,SUMIFS(Data_Months!$B:$B,Data_Months!$A:$A,EDATE($A5,1)))/1E9</f>
        <v/>
      </c>
      <c r="F5" s="29">
        <f>SUMIFS(Data_Cohort!$C:$C,Data_Cohort!$A:$A,$A5,Data_Cohort!$B:$B,2)/MAX(1,SUMIFS(Data_Months!$B:$B,Data_Months!$A:$A,EDATE($A5,2)))/1E9</f>
        <v/>
      </c>
      <c r="G5" s="29">
        <f>SUMIFS(Data_Cohort!$C:$C,Data_Cohort!$A:$A,$A5,Data_Cohort!$B:$B,3)/MAX(1,SUMIFS(Data_Months!$B:$B,Data_Months!$A:$A,EDATE($A5,3)))/1E9</f>
        <v/>
      </c>
      <c r="H5" s="29">
        <f>SUMIFS(Data_Cohort!$C:$C,Data_Cohort!$A:$A,$A5,Data_Cohort!$B:$B,4)/MAX(1,SUMIFS(Data_Months!$B:$B,Data_Months!$A:$A,EDATE($A5,4)))/1E9</f>
        <v/>
      </c>
      <c r="I5" s="29">
        <f>SUMIFS(Data_Cohort!$C:$C,Data_Cohort!$A:$A,$A5,Data_Cohort!$B:$B,5)/MAX(1,SUMIFS(Data_Months!$B:$B,Data_Months!$A:$A,EDATE($A5,5)))/1E9</f>
        <v/>
      </c>
      <c r="J5" s="29">
        <f>SUMIFS(Data_Cohort!$C:$C,Data_Cohort!$A:$A,$A5,Data_Cohort!$B:$B,6)/MAX(1,SUMIFS(Data_Months!$B:$B,Data_Months!$A:$A,EDATE($A5,6)))/1E9</f>
        <v/>
      </c>
      <c r="K5" s="29">
        <f>SUMIFS(Data_Cohort!$C:$C,Data_Cohort!$A:$A,$A5,Data_Cohort!$B:$B,7)/MAX(1,SUMIFS(Data_Months!$B:$B,Data_Months!$A:$A,EDATE($A5,7)))/1E9</f>
        <v/>
      </c>
      <c r="L5" s="29">
        <f>SUMIFS(Data_Cohort!$C:$C,Data_Cohort!$A:$A,$A5,Data_Cohort!$B:$B,8)/MAX(1,SUMIFS(Data_Months!$B:$B,Data_Months!$A:$A,EDATE($A5,8)))/1E9</f>
        <v/>
      </c>
      <c r="M5" s="29">
        <f>SUMIFS(Data_Cohort!$C:$C,Data_Cohort!$A:$A,$A5,Data_Cohort!$B:$B,9)/MAX(1,SUMIFS(Data_Months!$B:$B,Data_Months!$A:$A,EDATE($A5,9)))/1E9</f>
        <v/>
      </c>
      <c r="N5" s="29">
        <f>SUMIFS(Data_Cohort!$C:$C,Data_Cohort!$A:$A,$A5,Data_Cohort!$B:$B,10)/MAX(1,SUMIFS(Data_Months!$B:$B,Data_Months!$A:$A,EDATE($A5,10)))/1E9</f>
        <v/>
      </c>
      <c r="O5" s="29">
        <f>SUMIFS(Data_Cohort!$C:$C,Data_Cohort!$A:$A,$A5,Data_Cohort!$B:$B,11)/MAX(1,SUMIFS(Data_Months!$B:$B,Data_Months!$A:$A,EDATE($A5,11)))/1E9</f>
        <v/>
      </c>
    </row>
    <row r="6">
      <c r="A6" s="28">
        <f>EDATE(Data_Params!$B$3,1)</f>
        <v/>
      </c>
      <c r="B6" s="23">
        <f>SUMIFS(Data_Signups!$B:$B,Data_Signups!$A:$A,$A6)</f>
        <v/>
      </c>
      <c r="C6" s="23">
        <f>IF(SUMIFS(Data_Signups!$D:$D,Data_Signups!$A:$A,$A6)=0,"n/a",SUMIFS(Data_Signups!$C:$C,Data_Signups!$A:$A,$A6))</f>
        <v/>
      </c>
      <c r="D6" s="29">
        <f>SUMIFS(Data_Cohort!$C:$C,Data_Cohort!$A:$A,$A6,Data_Cohort!$B:$B,0)/MAX(1,SUMIFS(Data_Months!$B:$B,Data_Months!$A:$A,EDATE($A6,0)))/1E9</f>
        <v/>
      </c>
      <c r="E6" s="29">
        <f>SUMIFS(Data_Cohort!$C:$C,Data_Cohort!$A:$A,$A6,Data_Cohort!$B:$B,1)/MAX(1,SUMIFS(Data_Months!$B:$B,Data_Months!$A:$A,EDATE($A6,1)))/1E9</f>
        <v/>
      </c>
      <c r="F6" s="29">
        <f>SUMIFS(Data_Cohort!$C:$C,Data_Cohort!$A:$A,$A6,Data_Cohort!$B:$B,2)/MAX(1,SUMIFS(Data_Months!$B:$B,Data_Months!$A:$A,EDATE($A6,2)))/1E9</f>
        <v/>
      </c>
      <c r="G6" s="29">
        <f>SUMIFS(Data_Cohort!$C:$C,Data_Cohort!$A:$A,$A6,Data_Cohort!$B:$B,3)/MAX(1,SUMIFS(Data_Months!$B:$B,Data_Months!$A:$A,EDATE($A6,3)))/1E9</f>
        <v/>
      </c>
      <c r="H6" s="29">
        <f>SUMIFS(Data_Cohort!$C:$C,Data_Cohort!$A:$A,$A6,Data_Cohort!$B:$B,4)/MAX(1,SUMIFS(Data_Months!$B:$B,Data_Months!$A:$A,EDATE($A6,4)))/1E9</f>
        <v/>
      </c>
      <c r="I6" s="29">
        <f>SUMIFS(Data_Cohort!$C:$C,Data_Cohort!$A:$A,$A6,Data_Cohort!$B:$B,5)/MAX(1,SUMIFS(Data_Months!$B:$B,Data_Months!$A:$A,EDATE($A6,5)))/1E9</f>
        <v/>
      </c>
      <c r="J6" s="29">
        <f>SUMIFS(Data_Cohort!$C:$C,Data_Cohort!$A:$A,$A6,Data_Cohort!$B:$B,6)/MAX(1,SUMIFS(Data_Months!$B:$B,Data_Months!$A:$A,EDATE($A6,6)))/1E9</f>
        <v/>
      </c>
      <c r="K6" s="29">
        <f>SUMIFS(Data_Cohort!$C:$C,Data_Cohort!$A:$A,$A6,Data_Cohort!$B:$B,7)/MAX(1,SUMIFS(Data_Months!$B:$B,Data_Months!$A:$A,EDATE($A6,7)))/1E9</f>
        <v/>
      </c>
      <c r="L6" s="29">
        <f>SUMIFS(Data_Cohort!$C:$C,Data_Cohort!$A:$A,$A6,Data_Cohort!$B:$B,8)/MAX(1,SUMIFS(Data_Months!$B:$B,Data_Months!$A:$A,EDATE($A6,8)))/1E9</f>
        <v/>
      </c>
      <c r="M6" s="29">
        <f>SUMIFS(Data_Cohort!$C:$C,Data_Cohort!$A:$A,$A6,Data_Cohort!$B:$B,9)/MAX(1,SUMIFS(Data_Months!$B:$B,Data_Months!$A:$A,EDATE($A6,9)))/1E9</f>
        <v/>
      </c>
      <c r="N6" s="29">
        <f>SUMIFS(Data_Cohort!$C:$C,Data_Cohort!$A:$A,$A6,Data_Cohort!$B:$B,10)/MAX(1,SUMIFS(Data_Months!$B:$B,Data_Months!$A:$A,EDATE($A6,10)))/1E9</f>
        <v/>
      </c>
    </row>
    <row r="7">
      <c r="A7" s="28">
        <f>EDATE(Data_Params!$B$3,2)</f>
        <v/>
      </c>
      <c r="B7" s="23">
        <f>SUMIFS(Data_Signups!$B:$B,Data_Signups!$A:$A,$A7)</f>
        <v/>
      </c>
      <c r="C7" s="23">
        <f>IF(SUMIFS(Data_Signups!$D:$D,Data_Signups!$A:$A,$A7)=0,"n/a",SUMIFS(Data_Signups!$C:$C,Data_Signups!$A:$A,$A7))</f>
        <v/>
      </c>
      <c r="D7" s="29">
        <f>SUMIFS(Data_Cohort!$C:$C,Data_Cohort!$A:$A,$A7,Data_Cohort!$B:$B,0)/MAX(1,SUMIFS(Data_Months!$B:$B,Data_Months!$A:$A,EDATE($A7,0)))/1E9</f>
        <v/>
      </c>
      <c r="E7" s="29">
        <f>SUMIFS(Data_Cohort!$C:$C,Data_Cohort!$A:$A,$A7,Data_Cohort!$B:$B,1)/MAX(1,SUMIFS(Data_Months!$B:$B,Data_Months!$A:$A,EDATE($A7,1)))/1E9</f>
        <v/>
      </c>
      <c r="F7" s="29">
        <f>SUMIFS(Data_Cohort!$C:$C,Data_Cohort!$A:$A,$A7,Data_Cohort!$B:$B,2)/MAX(1,SUMIFS(Data_Months!$B:$B,Data_Months!$A:$A,EDATE($A7,2)))/1E9</f>
        <v/>
      </c>
      <c r="G7" s="29">
        <f>SUMIFS(Data_Cohort!$C:$C,Data_Cohort!$A:$A,$A7,Data_Cohort!$B:$B,3)/MAX(1,SUMIFS(Data_Months!$B:$B,Data_Months!$A:$A,EDATE($A7,3)))/1E9</f>
        <v/>
      </c>
      <c r="H7" s="29">
        <f>SUMIFS(Data_Cohort!$C:$C,Data_Cohort!$A:$A,$A7,Data_Cohort!$B:$B,4)/MAX(1,SUMIFS(Data_Months!$B:$B,Data_Months!$A:$A,EDATE($A7,4)))/1E9</f>
        <v/>
      </c>
      <c r="I7" s="29">
        <f>SUMIFS(Data_Cohort!$C:$C,Data_Cohort!$A:$A,$A7,Data_Cohort!$B:$B,5)/MAX(1,SUMIFS(Data_Months!$B:$B,Data_Months!$A:$A,EDATE($A7,5)))/1E9</f>
        <v/>
      </c>
      <c r="J7" s="29">
        <f>SUMIFS(Data_Cohort!$C:$C,Data_Cohort!$A:$A,$A7,Data_Cohort!$B:$B,6)/MAX(1,SUMIFS(Data_Months!$B:$B,Data_Months!$A:$A,EDATE($A7,6)))/1E9</f>
        <v/>
      </c>
      <c r="K7" s="29">
        <f>SUMIFS(Data_Cohort!$C:$C,Data_Cohort!$A:$A,$A7,Data_Cohort!$B:$B,7)/MAX(1,SUMIFS(Data_Months!$B:$B,Data_Months!$A:$A,EDATE($A7,7)))/1E9</f>
        <v/>
      </c>
      <c r="L7" s="29">
        <f>SUMIFS(Data_Cohort!$C:$C,Data_Cohort!$A:$A,$A7,Data_Cohort!$B:$B,8)/MAX(1,SUMIFS(Data_Months!$B:$B,Data_Months!$A:$A,EDATE($A7,8)))/1E9</f>
        <v/>
      </c>
      <c r="M7" s="29">
        <f>SUMIFS(Data_Cohort!$C:$C,Data_Cohort!$A:$A,$A7,Data_Cohort!$B:$B,9)/MAX(1,SUMIFS(Data_Months!$B:$B,Data_Months!$A:$A,EDATE($A7,9)))/1E9</f>
        <v/>
      </c>
    </row>
    <row r="8">
      <c r="A8" s="28">
        <f>EDATE(Data_Params!$B$3,3)</f>
        <v/>
      </c>
      <c r="B8" s="23">
        <f>SUMIFS(Data_Signups!$B:$B,Data_Signups!$A:$A,$A8)</f>
        <v/>
      </c>
      <c r="C8" s="23">
        <f>IF(SUMIFS(Data_Signups!$D:$D,Data_Signups!$A:$A,$A8)=0,"n/a",SUMIFS(Data_Signups!$C:$C,Data_Signups!$A:$A,$A8))</f>
        <v/>
      </c>
      <c r="D8" s="29">
        <f>SUMIFS(Data_Cohort!$C:$C,Data_Cohort!$A:$A,$A8,Data_Cohort!$B:$B,0)/MAX(1,SUMIFS(Data_Months!$B:$B,Data_Months!$A:$A,EDATE($A8,0)))/1E9</f>
        <v/>
      </c>
      <c r="E8" s="29">
        <f>SUMIFS(Data_Cohort!$C:$C,Data_Cohort!$A:$A,$A8,Data_Cohort!$B:$B,1)/MAX(1,SUMIFS(Data_Months!$B:$B,Data_Months!$A:$A,EDATE($A8,1)))/1E9</f>
        <v/>
      </c>
      <c r="F8" s="29">
        <f>SUMIFS(Data_Cohort!$C:$C,Data_Cohort!$A:$A,$A8,Data_Cohort!$B:$B,2)/MAX(1,SUMIFS(Data_Months!$B:$B,Data_Months!$A:$A,EDATE($A8,2)))/1E9</f>
        <v/>
      </c>
      <c r="G8" s="29">
        <f>SUMIFS(Data_Cohort!$C:$C,Data_Cohort!$A:$A,$A8,Data_Cohort!$B:$B,3)/MAX(1,SUMIFS(Data_Months!$B:$B,Data_Months!$A:$A,EDATE($A8,3)))/1E9</f>
        <v/>
      </c>
      <c r="H8" s="29">
        <f>SUMIFS(Data_Cohort!$C:$C,Data_Cohort!$A:$A,$A8,Data_Cohort!$B:$B,4)/MAX(1,SUMIFS(Data_Months!$B:$B,Data_Months!$A:$A,EDATE($A8,4)))/1E9</f>
        <v/>
      </c>
      <c r="I8" s="29">
        <f>SUMIFS(Data_Cohort!$C:$C,Data_Cohort!$A:$A,$A8,Data_Cohort!$B:$B,5)/MAX(1,SUMIFS(Data_Months!$B:$B,Data_Months!$A:$A,EDATE($A8,5)))/1E9</f>
        <v/>
      </c>
      <c r="J8" s="29">
        <f>SUMIFS(Data_Cohort!$C:$C,Data_Cohort!$A:$A,$A8,Data_Cohort!$B:$B,6)/MAX(1,SUMIFS(Data_Months!$B:$B,Data_Months!$A:$A,EDATE($A8,6)))/1E9</f>
        <v/>
      </c>
      <c r="K8" s="29">
        <f>SUMIFS(Data_Cohort!$C:$C,Data_Cohort!$A:$A,$A8,Data_Cohort!$B:$B,7)/MAX(1,SUMIFS(Data_Months!$B:$B,Data_Months!$A:$A,EDATE($A8,7)))/1E9</f>
        <v/>
      </c>
      <c r="L8" s="29">
        <f>SUMIFS(Data_Cohort!$C:$C,Data_Cohort!$A:$A,$A8,Data_Cohort!$B:$B,8)/MAX(1,SUMIFS(Data_Months!$B:$B,Data_Months!$A:$A,EDATE($A8,8)))/1E9</f>
        <v/>
      </c>
    </row>
    <row r="9">
      <c r="A9" s="28">
        <f>EDATE(Data_Params!$B$3,4)</f>
        <v/>
      </c>
      <c r="B9" s="23">
        <f>SUMIFS(Data_Signups!$B:$B,Data_Signups!$A:$A,$A9)</f>
        <v/>
      </c>
      <c r="C9" s="23">
        <f>IF(SUMIFS(Data_Signups!$D:$D,Data_Signups!$A:$A,$A9)=0,"n/a",SUMIFS(Data_Signups!$C:$C,Data_Signups!$A:$A,$A9))</f>
        <v/>
      </c>
      <c r="D9" s="29">
        <f>SUMIFS(Data_Cohort!$C:$C,Data_Cohort!$A:$A,$A9,Data_Cohort!$B:$B,0)/MAX(1,SUMIFS(Data_Months!$B:$B,Data_Months!$A:$A,EDATE($A9,0)))/1E9</f>
        <v/>
      </c>
      <c r="E9" s="29">
        <f>SUMIFS(Data_Cohort!$C:$C,Data_Cohort!$A:$A,$A9,Data_Cohort!$B:$B,1)/MAX(1,SUMIFS(Data_Months!$B:$B,Data_Months!$A:$A,EDATE($A9,1)))/1E9</f>
        <v/>
      </c>
      <c r="F9" s="29">
        <f>SUMIFS(Data_Cohort!$C:$C,Data_Cohort!$A:$A,$A9,Data_Cohort!$B:$B,2)/MAX(1,SUMIFS(Data_Months!$B:$B,Data_Months!$A:$A,EDATE($A9,2)))/1E9</f>
        <v/>
      </c>
      <c r="G9" s="29">
        <f>SUMIFS(Data_Cohort!$C:$C,Data_Cohort!$A:$A,$A9,Data_Cohort!$B:$B,3)/MAX(1,SUMIFS(Data_Months!$B:$B,Data_Months!$A:$A,EDATE($A9,3)))/1E9</f>
        <v/>
      </c>
      <c r="H9" s="29">
        <f>SUMIFS(Data_Cohort!$C:$C,Data_Cohort!$A:$A,$A9,Data_Cohort!$B:$B,4)/MAX(1,SUMIFS(Data_Months!$B:$B,Data_Months!$A:$A,EDATE($A9,4)))/1E9</f>
        <v/>
      </c>
      <c r="I9" s="29">
        <f>SUMIFS(Data_Cohort!$C:$C,Data_Cohort!$A:$A,$A9,Data_Cohort!$B:$B,5)/MAX(1,SUMIFS(Data_Months!$B:$B,Data_Months!$A:$A,EDATE($A9,5)))/1E9</f>
        <v/>
      </c>
      <c r="J9" s="29">
        <f>SUMIFS(Data_Cohort!$C:$C,Data_Cohort!$A:$A,$A9,Data_Cohort!$B:$B,6)/MAX(1,SUMIFS(Data_Months!$B:$B,Data_Months!$A:$A,EDATE($A9,6)))/1E9</f>
        <v/>
      </c>
      <c r="K9" s="29">
        <f>SUMIFS(Data_Cohort!$C:$C,Data_Cohort!$A:$A,$A9,Data_Cohort!$B:$B,7)/MAX(1,SUMIFS(Data_Months!$B:$B,Data_Months!$A:$A,EDATE($A9,7)))/1E9</f>
        <v/>
      </c>
    </row>
    <row r="10">
      <c r="A10" s="28">
        <f>EDATE(Data_Params!$B$3,5)</f>
        <v/>
      </c>
      <c r="B10" s="23">
        <f>SUMIFS(Data_Signups!$B:$B,Data_Signups!$A:$A,$A10)</f>
        <v/>
      </c>
      <c r="C10" s="23">
        <f>IF(SUMIFS(Data_Signups!$D:$D,Data_Signups!$A:$A,$A10)=0,"n/a",SUMIFS(Data_Signups!$C:$C,Data_Signups!$A:$A,$A10))</f>
        <v/>
      </c>
      <c r="D10" s="29">
        <f>SUMIFS(Data_Cohort!$C:$C,Data_Cohort!$A:$A,$A10,Data_Cohort!$B:$B,0)/MAX(1,SUMIFS(Data_Months!$B:$B,Data_Months!$A:$A,EDATE($A10,0)))/1E9</f>
        <v/>
      </c>
      <c r="E10" s="29">
        <f>SUMIFS(Data_Cohort!$C:$C,Data_Cohort!$A:$A,$A10,Data_Cohort!$B:$B,1)/MAX(1,SUMIFS(Data_Months!$B:$B,Data_Months!$A:$A,EDATE($A10,1)))/1E9</f>
        <v/>
      </c>
      <c r="F10" s="29">
        <f>SUMIFS(Data_Cohort!$C:$C,Data_Cohort!$A:$A,$A10,Data_Cohort!$B:$B,2)/MAX(1,SUMIFS(Data_Months!$B:$B,Data_Months!$A:$A,EDATE($A10,2)))/1E9</f>
        <v/>
      </c>
      <c r="G10" s="29">
        <f>SUMIFS(Data_Cohort!$C:$C,Data_Cohort!$A:$A,$A10,Data_Cohort!$B:$B,3)/MAX(1,SUMIFS(Data_Months!$B:$B,Data_Months!$A:$A,EDATE($A10,3)))/1E9</f>
        <v/>
      </c>
      <c r="H10" s="29">
        <f>SUMIFS(Data_Cohort!$C:$C,Data_Cohort!$A:$A,$A10,Data_Cohort!$B:$B,4)/MAX(1,SUMIFS(Data_Months!$B:$B,Data_Months!$A:$A,EDATE($A10,4)))/1E9</f>
        <v/>
      </c>
      <c r="I10" s="29">
        <f>SUMIFS(Data_Cohort!$C:$C,Data_Cohort!$A:$A,$A10,Data_Cohort!$B:$B,5)/MAX(1,SUMIFS(Data_Months!$B:$B,Data_Months!$A:$A,EDATE($A10,5)))/1E9</f>
        <v/>
      </c>
      <c r="J10" s="29">
        <f>SUMIFS(Data_Cohort!$C:$C,Data_Cohort!$A:$A,$A10,Data_Cohort!$B:$B,6)/MAX(1,SUMIFS(Data_Months!$B:$B,Data_Months!$A:$A,EDATE($A10,6)))/1E9</f>
        <v/>
      </c>
    </row>
    <row r="11">
      <c r="A11" s="28">
        <f>EDATE(Data_Params!$B$3,6)</f>
        <v/>
      </c>
      <c r="B11" s="23">
        <f>SUMIFS(Data_Signups!$B:$B,Data_Signups!$A:$A,$A11)</f>
        <v/>
      </c>
      <c r="C11" s="23">
        <f>IF(SUMIFS(Data_Signups!$D:$D,Data_Signups!$A:$A,$A11)=0,"n/a",SUMIFS(Data_Signups!$C:$C,Data_Signups!$A:$A,$A11))</f>
        <v/>
      </c>
      <c r="D11" s="29">
        <f>SUMIFS(Data_Cohort!$C:$C,Data_Cohort!$A:$A,$A11,Data_Cohort!$B:$B,0)/MAX(1,SUMIFS(Data_Months!$B:$B,Data_Months!$A:$A,EDATE($A11,0)))/1E9</f>
        <v/>
      </c>
      <c r="E11" s="29">
        <f>SUMIFS(Data_Cohort!$C:$C,Data_Cohort!$A:$A,$A11,Data_Cohort!$B:$B,1)/MAX(1,SUMIFS(Data_Months!$B:$B,Data_Months!$A:$A,EDATE($A11,1)))/1E9</f>
        <v/>
      </c>
      <c r="F11" s="29">
        <f>SUMIFS(Data_Cohort!$C:$C,Data_Cohort!$A:$A,$A11,Data_Cohort!$B:$B,2)/MAX(1,SUMIFS(Data_Months!$B:$B,Data_Months!$A:$A,EDATE($A11,2)))/1E9</f>
        <v/>
      </c>
      <c r="G11" s="29">
        <f>SUMIFS(Data_Cohort!$C:$C,Data_Cohort!$A:$A,$A11,Data_Cohort!$B:$B,3)/MAX(1,SUMIFS(Data_Months!$B:$B,Data_Months!$A:$A,EDATE($A11,3)))/1E9</f>
        <v/>
      </c>
      <c r="H11" s="29">
        <f>SUMIFS(Data_Cohort!$C:$C,Data_Cohort!$A:$A,$A11,Data_Cohort!$B:$B,4)/MAX(1,SUMIFS(Data_Months!$B:$B,Data_Months!$A:$A,EDATE($A11,4)))/1E9</f>
        <v/>
      </c>
      <c r="I11" s="29">
        <f>SUMIFS(Data_Cohort!$C:$C,Data_Cohort!$A:$A,$A11,Data_Cohort!$B:$B,5)/MAX(1,SUMIFS(Data_Months!$B:$B,Data_Months!$A:$A,EDATE($A11,5)))/1E9</f>
        <v/>
      </c>
    </row>
    <row r="12">
      <c r="A12" s="28">
        <f>EDATE(Data_Params!$B$3,7)</f>
        <v/>
      </c>
      <c r="B12" s="23">
        <f>SUMIFS(Data_Signups!$B:$B,Data_Signups!$A:$A,$A12)</f>
        <v/>
      </c>
      <c r="C12" s="23">
        <f>IF(SUMIFS(Data_Signups!$D:$D,Data_Signups!$A:$A,$A12)=0,"n/a",SUMIFS(Data_Signups!$C:$C,Data_Signups!$A:$A,$A12))</f>
        <v/>
      </c>
      <c r="D12" s="29">
        <f>SUMIFS(Data_Cohort!$C:$C,Data_Cohort!$A:$A,$A12,Data_Cohort!$B:$B,0)/MAX(1,SUMIFS(Data_Months!$B:$B,Data_Months!$A:$A,EDATE($A12,0)))/1E9</f>
        <v/>
      </c>
      <c r="E12" s="29">
        <f>SUMIFS(Data_Cohort!$C:$C,Data_Cohort!$A:$A,$A12,Data_Cohort!$B:$B,1)/MAX(1,SUMIFS(Data_Months!$B:$B,Data_Months!$A:$A,EDATE($A12,1)))/1E9</f>
        <v/>
      </c>
      <c r="F12" s="29">
        <f>SUMIFS(Data_Cohort!$C:$C,Data_Cohort!$A:$A,$A12,Data_Cohort!$B:$B,2)/MAX(1,SUMIFS(Data_Months!$B:$B,Data_Months!$A:$A,EDATE($A12,2)))/1E9</f>
        <v/>
      </c>
      <c r="G12" s="29">
        <f>SUMIFS(Data_Cohort!$C:$C,Data_Cohort!$A:$A,$A12,Data_Cohort!$B:$B,3)/MAX(1,SUMIFS(Data_Months!$B:$B,Data_Months!$A:$A,EDATE($A12,3)))/1E9</f>
        <v/>
      </c>
      <c r="H12" s="29">
        <f>SUMIFS(Data_Cohort!$C:$C,Data_Cohort!$A:$A,$A12,Data_Cohort!$B:$B,4)/MAX(1,SUMIFS(Data_Months!$B:$B,Data_Months!$A:$A,EDATE($A12,4)))/1E9</f>
        <v/>
      </c>
    </row>
    <row r="13">
      <c r="A13" s="28">
        <f>EDATE(Data_Params!$B$3,8)</f>
        <v/>
      </c>
      <c r="B13" s="23">
        <f>SUMIFS(Data_Signups!$B:$B,Data_Signups!$A:$A,$A13)</f>
        <v/>
      </c>
      <c r="C13" s="23">
        <f>IF(SUMIFS(Data_Signups!$D:$D,Data_Signups!$A:$A,$A13)=0,"n/a",SUMIFS(Data_Signups!$C:$C,Data_Signups!$A:$A,$A13))</f>
        <v/>
      </c>
      <c r="D13" s="29">
        <f>SUMIFS(Data_Cohort!$C:$C,Data_Cohort!$A:$A,$A13,Data_Cohort!$B:$B,0)/MAX(1,SUMIFS(Data_Months!$B:$B,Data_Months!$A:$A,EDATE($A13,0)))/1E9</f>
        <v/>
      </c>
      <c r="E13" s="29">
        <f>SUMIFS(Data_Cohort!$C:$C,Data_Cohort!$A:$A,$A13,Data_Cohort!$B:$B,1)/MAX(1,SUMIFS(Data_Months!$B:$B,Data_Months!$A:$A,EDATE($A13,1)))/1E9</f>
        <v/>
      </c>
      <c r="F13" s="29">
        <f>SUMIFS(Data_Cohort!$C:$C,Data_Cohort!$A:$A,$A13,Data_Cohort!$B:$B,2)/MAX(1,SUMIFS(Data_Months!$B:$B,Data_Months!$A:$A,EDATE($A13,2)))/1E9</f>
        <v/>
      </c>
      <c r="G13" s="29">
        <f>SUMIFS(Data_Cohort!$C:$C,Data_Cohort!$A:$A,$A13,Data_Cohort!$B:$B,3)/MAX(1,SUMIFS(Data_Months!$B:$B,Data_Months!$A:$A,EDATE($A13,3)))/1E9</f>
        <v/>
      </c>
    </row>
    <row r="14">
      <c r="A14" s="28">
        <f>EDATE(Data_Params!$B$3,9)</f>
        <v/>
      </c>
      <c r="B14" s="23">
        <f>SUMIFS(Data_Signups!$B:$B,Data_Signups!$A:$A,$A14)</f>
        <v/>
      </c>
      <c r="C14" s="23">
        <f>IF(SUMIFS(Data_Signups!$D:$D,Data_Signups!$A:$A,$A14)=0,"n/a",SUMIFS(Data_Signups!$C:$C,Data_Signups!$A:$A,$A14))</f>
        <v/>
      </c>
      <c r="D14" s="29">
        <f>SUMIFS(Data_Cohort!$C:$C,Data_Cohort!$A:$A,$A14,Data_Cohort!$B:$B,0)/MAX(1,SUMIFS(Data_Months!$B:$B,Data_Months!$A:$A,EDATE($A14,0)))/1E9</f>
        <v/>
      </c>
      <c r="E14" s="29">
        <f>SUMIFS(Data_Cohort!$C:$C,Data_Cohort!$A:$A,$A14,Data_Cohort!$B:$B,1)/MAX(1,SUMIFS(Data_Months!$B:$B,Data_Months!$A:$A,EDATE($A14,1)))/1E9</f>
        <v/>
      </c>
      <c r="F14" s="29">
        <f>SUMIFS(Data_Cohort!$C:$C,Data_Cohort!$A:$A,$A14,Data_Cohort!$B:$B,2)/MAX(1,SUMIFS(Data_Months!$B:$B,Data_Months!$A:$A,EDATE($A14,2)))/1E9</f>
        <v/>
      </c>
    </row>
    <row r="15">
      <c r="A15" s="28">
        <f>EDATE(Data_Params!$B$3,10)</f>
        <v/>
      </c>
      <c r="B15" s="23">
        <f>SUMIFS(Data_Signups!$B:$B,Data_Signups!$A:$A,$A15)</f>
        <v/>
      </c>
      <c r="C15" s="23">
        <f>IF(SUMIFS(Data_Signups!$D:$D,Data_Signups!$A:$A,$A15)=0,"n/a",SUMIFS(Data_Signups!$C:$C,Data_Signups!$A:$A,$A15))</f>
        <v/>
      </c>
      <c r="D15" s="29">
        <f>SUMIFS(Data_Cohort!$C:$C,Data_Cohort!$A:$A,$A15,Data_Cohort!$B:$B,0)/MAX(1,SUMIFS(Data_Months!$B:$B,Data_Months!$A:$A,EDATE($A15,0)))/1E9</f>
        <v/>
      </c>
      <c r="E15" s="29">
        <f>SUMIFS(Data_Cohort!$C:$C,Data_Cohort!$A:$A,$A15,Data_Cohort!$B:$B,1)/MAX(1,SUMIFS(Data_Months!$B:$B,Data_Months!$A:$A,EDATE($A15,1)))/1E9</f>
        <v/>
      </c>
    </row>
    <row r="16">
      <c r="A16" s="28">
        <f>EDATE(Data_Params!$B$3,11)</f>
        <v/>
      </c>
      <c r="B16" s="23">
        <f>SUMIFS(Data_Signups!$B:$B,Data_Signups!$A:$A,$A16)</f>
        <v/>
      </c>
      <c r="C16" s="23">
        <f>IF(SUMIFS(Data_Signups!$D:$D,Data_Signups!$A:$A,$A16)=0,"n/a",SUMIFS(Data_Signups!$C:$C,Data_Signups!$A:$A,$A16))</f>
        <v/>
      </c>
      <c r="D16" s="29">
        <f>SUMIFS(Data_Cohort!$C:$C,Data_Cohort!$A:$A,$A16,Data_Cohort!$B:$B,0)/MAX(1,SUMIFS(Data_Months!$B:$B,Data_Months!$A:$A,EDATE($A16,0)))/1E9</f>
        <v/>
      </c>
    </row>
    <row r="18">
      <c r="A18" s="2" t="inlineStr">
        <is>
          <t>Active accounts as % of signups (retention)</t>
        </is>
      </c>
    </row>
    <row r="19">
      <c r="A19" s="8" t="inlineStr">
        <is>
          <t>Signup cohort</t>
        </is>
      </c>
      <c r="B19" s="8" t="inlineStr">
        <is>
          <t>Signups</t>
        </is>
      </c>
      <c r="C19" s="8" t="inlineStr"/>
      <c r="D19" s="8" t="inlineStr">
        <is>
          <t>Month 0</t>
        </is>
      </c>
      <c r="E19" s="8" t="inlineStr">
        <is>
          <t>Month 1</t>
        </is>
      </c>
      <c r="F19" s="8" t="inlineStr">
        <is>
          <t>Month 2</t>
        </is>
      </c>
      <c r="G19" s="8" t="inlineStr">
        <is>
          <t>Month 3</t>
        </is>
      </c>
      <c r="H19" s="8" t="inlineStr">
        <is>
          <t>Month 4</t>
        </is>
      </c>
      <c r="I19" s="8" t="inlineStr">
        <is>
          <t>Month 5</t>
        </is>
      </c>
      <c r="J19" s="8" t="inlineStr">
        <is>
          <t>Month 6</t>
        </is>
      </c>
      <c r="K19" s="8" t="inlineStr">
        <is>
          <t>Month 7</t>
        </is>
      </c>
      <c r="L19" s="8" t="inlineStr">
        <is>
          <t>Month 8</t>
        </is>
      </c>
      <c r="M19" s="8" t="inlineStr">
        <is>
          <t>Month 9</t>
        </is>
      </c>
      <c r="N19" s="8" t="inlineStr">
        <is>
          <t>Month 10</t>
        </is>
      </c>
      <c r="O19" s="8" t="inlineStr">
        <is>
          <t>Month 11</t>
        </is>
      </c>
    </row>
    <row r="20">
      <c r="A20" s="28">
        <f>A5</f>
        <v/>
      </c>
      <c r="B20" s="23">
        <f>B5</f>
        <v/>
      </c>
      <c r="D20" s="25">
        <f>IF($B20=0,"",SUMIFS(Data_Cohort!$D:$D,Data_Cohort!$A:$A,$A20,Data_Cohort!$B:$B,0)/$B20)</f>
        <v/>
      </c>
      <c r="E20" s="25">
        <f>IF($B20=0,"",SUMIFS(Data_Cohort!$D:$D,Data_Cohort!$A:$A,$A20,Data_Cohort!$B:$B,1)/$B20)</f>
        <v/>
      </c>
      <c r="F20" s="25">
        <f>IF($B20=0,"",SUMIFS(Data_Cohort!$D:$D,Data_Cohort!$A:$A,$A20,Data_Cohort!$B:$B,2)/$B20)</f>
        <v/>
      </c>
      <c r="G20" s="25">
        <f>IF($B20=0,"",SUMIFS(Data_Cohort!$D:$D,Data_Cohort!$A:$A,$A20,Data_Cohort!$B:$B,3)/$B20)</f>
        <v/>
      </c>
      <c r="H20" s="25">
        <f>IF($B20=0,"",SUMIFS(Data_Cohort!$D:$D,Data_Cohort!$A:$A,$A20,Data_Cohort!$B:$B,4)/$B20)</f>
        <v/>
      </c>
      <c r="I20" s="25">
        <f>IF($B20=0,"",SUMIFS(Data_Cohort!$D:$D,Data_Cohort!$A:$A,$A20,Data_Cohort!$B:$B,5)/$B20)</f>
        <v/>
      </c>
      <c r="J20" s="25">
        <f>IF($B20=0,"",SUMIFS(Data_Cohort!$D:$D,Data_Cohort!$A:$A,$A20,Data_Cohort!$B:$B,6)/$B20)</f>
        <v/>
      </c>
      <c r="K20" s="25">
        <f>IF($B20=0,"",SUMIFS(Data_Cohort!$D:$D,Data_Cohort!$A:$A,$A20,Data_Cohort!$B:$B,7)/$B20)</f>
        <v/>
      </c>
      <c r="L20" s="25">
        <f>IF($B20=0,"",SUMIFS(Data_Cohort!$D:$D,Data_Cohort!$A:$A,$A20,Data_Cohort!$B:$B,8)/$B20)</f>
        <v/>
      </c>
      <c r="M20" s="25">
        <f>IF($B20=0,"",SUMIFS(Data_Cohort!$D:$D,Data_Cohort!$A:$A,$A20,Data_Cohort!$B:$B,9)/$B20)</f>
        <v/>
      </c>
      <c r="N20" s="25">
        <f>IF($B20=0,"",SUMIFS(Data_Cohort!$D:$D,Data_Cohort!$A:$A,$A20,Data_Cohort!$B:$B,10)/$B20)</f>
        <v/>
      </c>
      <c r="O20" s="25">
        <f>IF($B20=0,"",SUMIFS(Data_Cohort!$D:$D,Data_Cohort!$A:$A,$A20,Data_Cohort!$B:$B,11)/$B20)</f>
        <v/>
      </c>
    </row>
    <row r="21">
      <c r="A21" s="28">
        <f>A6</f>
        <v/>
      </c>
      <c r="B21" s="23">
        <f>B6</f>
        <v/>
      </c>
      <c r="D21" s="25">
        <f>IF($B21=0,"",SUMIFS(Data_Cohort!$D:$D,Data_Cohort!$A:$A,$A21,Data_Cohort!$B:$B,0)/$B21)</f>
        <v/>
      </c>
      <c r="E21" s="25">
        <f>IF($B21=0,"",SUMIFS(Data_Cohort!$D:$D,Data_Cohort!$A:$A,$A21,Data_Cohort!$B:$B,1)/$B21)</f>
        <v/>
      </c>
      <c r="F21" s="25">
        <f>IF($B21=0,"",SUMIFS(Data_Cohort!$D:$D,Data_Cohort!$A:$A,$A21,Data_Cohort!$B:$B,2)/$B21)</f>
        <v/>
      </c>
      <c r="G21" s="25">
        <f>IF($B21=0,"",SUMIFS(Data_Cohort!$D:$D,Data_Cohort!$A:$A,$A21,Data_Cohort!$B:$B,3)/$B21)</f>
        <v/>
      </c>
      <c r="H21" s="25">
        <f>IF($B21=0,"",SUMIFS(Data_Cohort!$D:$D,Data_Cohort!$A:$A,$A21,Data_Cohort!$B:$B,4)/$B21)</f>
        <v/>
      </c>
      <c r="I21" s="25">
        <f>IF($B21=0,"",SUMIFS(Data_Cohort!$D:$D,Data_Cohort!$A:$A,$A21,Data_Cohort!$B:$B,5)/$B21)</f>
        <v/>
      </c>
      <c r="J21" s="25">
        <f>IF($B21=0,"",SUMIFS(Data_Cohort!$D:$D,Data_Cohort!$A:$A,$A21,Data_Cohort!$B:$B,6)/$B21)</f>
        <v/>
      </c>
      <c r="K21" s="25">
        <f>IF($B21=0,"",SUMIFS(Data_Cohort!$D:$D,Data_Cohort!$A:$A,$A21,Data_Cohort!$B:$B,7)/$B21)</f>
        <v/>
      </c>
      <c r="L21" s="25">
        <f>IF($B21=0,"",SUMIFS(Data_Cohort!$D:$D,Data_Cohort!$A:$A,$A21,Data_Cohort!$B:$B,8)/$B21)</f>
        <v/>
      </c>
      <c r="M21" s="25">
        <f>IF($B21=0,"",SUMIFS(Data_Cohort!$D:$D,Data_Cohort!$A:$A,$A21,Data_Cohort!$B:$B,9)/$B21)</f>
        <v/>
      </c>
      <c r="N21" s="25">
        <f>IF($B21=0,"",SUMIFS(Data_Cohort!$D:$D,Data_Cohort!$A:$A,$A21,Data_Cohort!$B:$B,10)/$B21)</f>
        <v/>
      </c>
    </row>
    <row r="22">
      <c r="A22" s="28">
        <f>A7</f>
        <v/>
      </c>
      <c r="B22" s="23">
        <f>B7</f>
        <v/>
      </c>
      <c r="D22" s="25">
        <f>IF($B22=0,"",SUMIFS(Data_Cohort!$D:$D,Data_Cohort!$A:$A,$A22,Data_Cohort!$B:$B,0)/$B22)</f>
        <v/>
      </c>
      <c r="E22" s="25">
        <f>IF($B22=0,"",SUMIFS(Data_Cohort!$D:$D,Data_Cohort!$A:$A,$A22,Data_Cohort!$B:$B,1)/$B22)</f>
        <v/>
      </c>
      <c r="F22" s="25">
        <f>IF($B22=0,"",SUMIFS(Data_Cohort!$D:$D,Data_Cohort!$A:$A,$A22,Data_Cohort!$B:$B,2)/$B22)</f>
        <v/>
      </c>
      <c r="G22" s="25">
        <f>IF($B22=0,"",SUMIFS(Data_Cohort!$D:$D,Data_Cohort!$A:$A,$A22,Data_Cohort!$B:$B,3)/$B22)</f>
        <v/>
      </c>
      <c r="H22" s="25">
        <f>IF($B22=0,"",SUMIFS(Data_Cohort!$D:$D,Data_Cohort!$A:$A,$A22,Data_Cohort!$B:$B,4)/$B22)</f>
        <v/>
      </c>
      <c r="I22" s="25">
        <f>IF($B22=0,"",SUMIFS(Data_Cohort!$D:$D,Data_Cohort!$A:$A,$A22,Data_Cohort!$B:$B,5)/$B22)</f>
        <v/>
      </c>
      <c r="J22" s="25">
        <f>IF($B22=0,"",SUMIFS(Data_Cohort!$D:$D,Data_Cohort!$A:$A,$A22,Data_Cohort!$B:$B,6)/$B22)</f>
        <v/>
      </c>
      <c r="K22" s="25">
        <f>IF($B22=0,"",SUMIFS(Data_Cohort!$D:$D,Data_Cohort!$A:$A,$A22,Data_Cohort!$B:$B,7)/$B22)</f>
        <v/>
      </c>
      <c r="L22" s="25">
        <f>IF($B22=0,"",SUMIFS(Data_Cohort!$D:$D,Data_Cohort!$A:$A,$A22,Data_Cohort!$B:$B,8)/$B22)</f>
        <v/>
      </c>
      <c r="M22" s="25">
        <f>IF($B22=0,"",SUMIFS(Data_Cohort!$D:$D,Data_Cohort!$A:$A,$A22,Data_Cohort!$B:$B,9)/$B22)</f>
        <v/>
      </c>
    </row>
    <row r="23">
      <c r="A23" s="28">
        <f>A8</f>
        <v/>
      </c>
      <c r="B23" s="23">
        <f>B8</f>
        <v/>
      </c>
      <c r="D23" s="25">
        <f>IF($B23=0,"",SUMIFS(Data_Cohort!$D:$D,Data_Cohort!$A:$A,$A23,Data_Cohort!$B:$B,0)/$B23)</f>
        <v/>
      </c>
      <c r="E23" s="25">
        <f>IF($B23=0,"",SUMIFS(Data_Cohort!$D:$D,Data_Cohort!$A:$A,$A23,Data_Cohort!$B:$B,1)/$B23)</f>
        <v/>
      </c>
      <c r="F23" s="25">
        <f>IF($B23=0,"",SUMIFS(Data_Cohort!$D:$D,Data_Cohort!$A:$A,$A23,Data_Cohort!$B:$B,2)/$B23)</f>
        <v/>
      </c>
      <c r="G23" s="25">
        <f>IF($B23=0,"",SUMIFS(Data_Cohort!$D:$D,Data_Cohort!$A:$A,$A23,Data_Cohort!$B:$B,3)/$B23)</f>
        <v/>
      </c>
      <c r="H23" s="25">
        <f>IF($B23=0,"",SUMIFS(Data_Cohort!$D:$D,Data_Cohort!$A:$A,$A23,Data_Cohort!$B:$B,4)/$B23)</f>
        <v/>
      </c>
      <c r="I23" s="25">
        <f>IF($B23=0,"",SUMIFS(Data_Cohort!$D:$D,Data_Cohort!$A:$A,$A23,Data_Cohort!$B:$B,5)/$B23)</f>
        <v/>
      </c>
      <c r="J23" s="25">
        <f>IF($B23=0,"",SUMIFS(Data_Cohort!$D:$D,Data_Cohort!$A:$A,$A23,Data_Cohort!$B:$B,6)/$B23)</f>
        <v/>
      </c>
      <c r="K23" s="25">
        <f>IF($B23=0,"",SUMIFS(Data_Cohort!$D:$D,Data_Cohort!$A:$A,$A23,Data_Cohort!$B:$B,7)/$B23)</f>
        <v/>
      </c>
      <c r="L23" s="25">
        <f>IF($B23=0,"",SUMIFS(Data_Cohort!$D:$D,Data_Cohort!$A:$A,$A23,Data_Cohort!$B:$B,8)/$B23)</f>
        <v/>
      </c>
    </row>
    <row r="24">
      <c r="A24" s="28">
        <f>A9</f>
        <v/>
      </c>
      <c r="B24" s="23">
        <f>B9</f>
        <v/>
      </c>
      <c r="D24" s="25">
        <f>IF($B24=0,"",SUMIFS(Data_Cohort!$D:$D,Data_Cohort!$A:$A,$A24,Data_Cohort!$B:$B,0)/$B24)</f>
        <v/>
      </c>
      <c r="E24" s="25">
        <f>IF($B24=0,"",SUMIFS(Data_Cohort!$D:$D,Data_Cohort!$A:$A,$A24,Data_Cohort!$B:$B,1)/$B24)</f>
        <v/>
      </c>
      <c r="F24" s="25">
        <f>IF($B24=0,"",SUMIFS(Data_Cohort!$D:$D,Data_Cohort!$A:$A,$A24,Data_Cohort!$B:$B,2)/$B24)</f>
        <v/>
      </c>
      <c r="G24" s="25">
        <f>IF($B24=0,"",SUMIFS(Data_Cohort!$D:$D,Data_Cohort!$A:$A,$A24,Data_Cohort!$B:$B,3)/$B24)</f>
        <v/>
      </c>
      <c r="H24" s="25">
        <f>IF($B24=0,"",SUMIFS(Data_Cohort!$D:$D,Data_Cohort!$A:$A,$A24,Data_Cohort!$B:$B,4)/$B24)</f>
        <v/>
      </c>
      <c r="I24" s="25">
        <f>IF($B24=0,"",SUMIFS(Data_Cohort!$D:$D,Data_Cohort!$A:$A,$A24,Data_Cohort!$B:$B,5)/$B24)</f>
        <v/>
      </c>
      <c r="J24" s="25">
        <f>IF($B24=0,"",SUMIFS(Data_Cohort!$D:$D,Data_Cohort!$A:$A,$A24,Data_Cohort!$B:$B,6)/$B24)</f>
        <v/>
      </c>
      <c r="K24" s="25">
        <f>IF($B24=0,"",SUMIFS(Data_Cohort!$D:$D,Data_Cohort!$A:$A,$A24,Data_Cohort!$B:$B,7)/$B24)</f>
        <v/>
      </c>
    </row>
    <row r="25">
      <c r="A25" s="28">
        <f>A10</f>
        <v/>
      </c>
      <c r="B25" s="23">
        <f>B10</f>
        <v/>
      </c>
      <c r="D25" s="25">
        <f>IF($B25=0,"",SUMIFS(Data_Cohort!$D:$D,Data_Cohort!$A:$A,$A25,Data_Cohort!$B:$B,0)/$B25)</f>
        <v/>
      </c>
      <c r="E25" s="25">
        <f>IF($B25=0,"",SUMIFS(Data_Cohort!$D:$D,Data_Cohort!$A:$A,$A25,Data_Cohort!$B:$B,1)/$B25)</f>
        <v/>
      </c>
      <c r="F25" s="25">
        <f>IF($B25=0,"",SUMIFS(Data_Cohort!$D:$D,Data_Cohort!$A:$A,$A25,Data_Cohort!$B:$B,2)/$B25)</f>
        <v/>
      </c>
      <c r="G25" s="25">
        <f>IF($B25=0,"",SUMIFS(Data_Cohort!$D:$D,Data_Cohort!$A:$A,$A25,Data_Cohort!$B:$B,3)/$B25)</f>
        <v/>
      </c>
      <c r="H25" s="25">
        <f>IF($B25=0,"",SUMIFS(Data_Cohort!$D:$D,Data_Cohort!$A:$A,$A25,Data_Cohort!$B:$B,4)/$B25)</f>
        <v/>
      </c>
      <c r="I25" s="25">
        <f>IF($B25=0,"",SUMIFS(Data_Cohort!$D:$D,Data_Cohort!$A:$A,$A25,Data_Cohort!$B:$B,5)/$B25)</f>
        <v/>
      </c>
      <c r="J25" s="25">
        <f>IF($B25=0,"",SUMIFS(Data_Cohort!$D:$D,Data_Cohort!$A:$A,$A25,Data_Cohort!$B:$B,6)/$B25)</f>
        <v/>
      </c>
    </row>
    <row r="26">
      <c r="A26" s="28">
        <f>A11</f>
        <v/>
      </c>
      <c r="B26" s="23">
        <f>B11</f>
        <v/>
      </c>
      <c r="D26" s="25">
        <f>IF($B26=0,"",SUMIFS(Data_Cohort!$D:$D,Data_Cohort!$A:$A,$A26,Data_Cohort!$B:$B,0)/$B26)</f>
        <v/>
      </c>
      <c r="E26" s="25">
        <f>IF($B26=0,"",SUMIFS(Data_Cohort!$D:$D,Data_Cohort!$A:$A,$A26,Data_Cohort!$B:$B,1)/$B26)</f>
        <v/>
      </c>
      <c r="F26" s="25">
        <f>IF($B26=0,"",SUMIFS(Data_Cohort!$D:$D,Data_Cohort!$A:$A,$A26,Data_Cohort!$B:$B,2)/$B26)</f>
        <v/>
      </c>
      <c r="G26" s="25">
        <f>IF($B26=0,"",SUMIFS(Data_Cohort!$D:$D,Data_Cohort!$A:$A,$A26,Data_Cohort!$B:$B,3)/$B26)</f>
        <v/>
      </c>
      <c r="H26" s="25">
        <f>IF($B26=0,"",SUMIFS(Data_Cohort!$D:$D,Data_Cohort!$A:$A,$A26,Data_Cohort!$B:$B,4)/$B26)</f>
        <v/>
      </c>
      <c r="I26" s="25">
        <f>IF($B26=0,"",SUMIFS(Data_Cohort!$D:$D,Data_Cohort!$A:$A,$A26,Data_Cohort!$B:$B,5)/$B26)</f>
        <v/>
      </c>
    </row>
    <row r="27">
      <c r="A27" s="28">
        <f>A12</f>
        <v/>
      </c>
      <c r="B27" s="23">
        <f>B12</f>
        <v/>
      </c>
      <c r="D27" s="25">
        <f>IF($B27=0,"",SUMIFS(Data_Cohort!$D:$D,Data_Cohort!$A:$A,$A27,Data_Cohort!$B:$B,0)/$B27)</f>
        <v/>
      </c>
      <c r="E27" s="25">
        <f>IF($B27=0,"",SUMIFS(Data_Cohort!$D:$D,Data_Cohort!$A:$A,$A27,Data_Cohort!$B:$B,1)/$B27)</f>
        <v/>
      </c>
      <c r="F27" s="25">
        <f>IF($B27=0,"",SUMIFS(Data_Cohort!$D:$D,Data_Cohort!$A:$A,$A27,Data_Cohort!$B:$B,2)/$B27)</f>
        <v/>
      </c>
      <c r="G27" s="25">
        <f>IF($B27=0,"",SUMIFS(Data_Cohort!$D:$D,Data_Cohort!$A:$A,$A27,Data_Cohort!$B:$B,3)/$B27)</f>
        <v/>
      </c>
      <c r="H27" s="25">
        <f>IF($B27=0,"",SUMIFS(Data_Cohort!$D:$D,Data_Cohort!$A:$A,$A27,Data_Cohort!$B:$B,4)/$B27)</f>
        <v/>
      </c>
    </row>
    <row r="28">
      <c r="A28" s="28">
        <f>A13</f>
        <v/>
      </c>
      <c r="B28" s="23">
        <f>B13</f>
        <v/>
      </c>
      <c r="D28" s="25">
        <f>IF($B28=0,"",SUMIFS(Data_Cohort!$D:$D,Data_Cohort!$A:$A,$A28,Data_Cohort!$B:$B,0)/$B28)</f>
        <v/>
      </c>
      <c r="E28" s="25">
        <f>IF($B28=0,"",SUMIFS(Data_Cohort!$D:$D,Data_Cohort!$A:$A,$A28,Data_Cohort!$B:$B,1)/$B28)</f>
        <v/>
      </c>
      <c r="F28" s="25">
        <f>IF($B28=0,"",SUMIFS(Data_Cohort!$D:$D,Data_Cohort!$A:$A,$A28,Data_Cohort!$B:$B,2)/$B28)</f>
        <v/>
      </c>
      <c r="G28" s="25">
        <f>IF($B28=0,"",SUMIFS(Data_Cohort!$D:$D,Data_Cohort!$A:$A,$A28,Data_Cohort!$B:$B,3)/$B28)</f>
        <v/>
      </c>
    </row>
    <row r="29">
      <c r="A29" s="28">
        <f>A14</f>
        <v/>
      </c>
      <c r="B29" s="23">
        <f>B14</f>
        <v/>
      </c>
      <c r="D29" s="25">
        <f>IF($B29=0,"",SUMIFS(Data_Cohort!$D:$D,Data_Cohort!$A:$A,$A29,Data_Cohort!$B:$B,0)/$B29)</f>
        <v/>
      </c>
      <c r="E29" s="25">
        <f>IF($B29=0,"",SUMIFS(Data_Cohort!$D:$D,Data_Cohort!$A:$A,$A29,Data_Cohort!$B:$B,1)/$B29)</f>
        <v/>
      </c>
      <c r="F29" s="25">
        <f>IF($B29=0,"",SUMIFS(Data_Cohort!$D:$D,Data_Cohort!$A:$A,$A29,Data_Cohort!$B:$B,2)/$B29)</f>
        <v/>
      </c>
    </row>
    <row r="30">
      <c r="A30" s="28">
        <f>A15</f>
        <v/>
      </c>
      <c r="B30" s="23">
        <f>B15</f>
        <v/>
      </c>
      <c r="D30" s="25">
        <f>IF($B30=0,"",SUMIFS(Data_Cohort!$D:$D,Data_Cohort!$A:$A,$A30,Data_Cohort!$B:$B,0)/$B30)</f>
        <v/>
      </c>
      <c r="E30" s="25">
        <f>IF($B30=0,"",SUMIFS(Data_Cohort!$D:$D,Data_Cohort!$A:$A,$A30,Data_Cohort!$B:$B,1)/$B30)</f>
        <v/>
      </c>
    </row>
    <row r="31">
      <c r="A31" s="28">
        <f>A16</f>
        <v/>
      </c>
      <c r="B31" s="23">
        <f>B16</f>
        <v/>
      </c>
      <c r="D31" s="25">
        <f>IF($B31=0,"",SUMIFS(Data_Cohort!$D:$D,Data_Cohort!$A:$A,$A31,Data_Cohort!$B:$B,0)/$B31)</f>
        <v/>
      </c>
    </row>
    <row r="33">
      <c r="A33" s="7" t="inlineStr">
        <is>
          <t>Read across a row to follow one cohort; read down a column to compare cohorts at the same 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9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6" customWidth="1" min="3" max="3"/>
    <col width="14" customWidth="1" min="4" max="4"/>
    <col width="14" customWidth="1" min="5" max="5"/>
    <col width="14" customWidth="1" min="6" max="6"/>
    <col width="14"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s>
  <sheetData>
    <row r="1">
      <c r="A1" s="1">
        <f>Data_Params!$B$14&amp;" | Enterprise: usage vs commitment"</f>
        <v/>
      </c>
    </row>
    <row r="2">
      <c r="A2" s="7" t="inlineStr">
        <is>
          <t>Contracts live at the close (Data_Contracts) and usage revenue by month (Data_EntMonth). True-up = commitment minus usage when usage falls short.</t>
        </is>
      </c>
    </row>
    <row r="4">
      <c r="A4" s="8" t="inlineStr">
        <is>
          <t>Customer</t>
        </is>
      </c>
      <c r="B4" s="8" t="inlineStr">
        <is>
          <t>Start</t>
        </is>
      </c>
      <c r="C4" s="8" t="inlineStr">
        <is>
          <t>End</t>
        </is>
      </c>
      <c r="D4" s="8" t="inlineStr">
        <is>
          <t>Monthly commit ($)</t>
        </is>
      </c>
      <c r="E4" s="8" t="inlineStr">
        <is>
          <t>Price ($/M)</t>
        </is>
      </c>
      <c r="F4" s="8" t="inlineStr">
        <is>
          <t>Latest month vs commit</t>
        </is>
      </c>
      <c r="G4" s="8" t="inlineStr">
        <is>
          <t>Latest month true-up ($)</t>
        </is>
      </c>
      <c r="H4" s="9">
        <f>EDATE(Data_Params!$B$3,0)</f>
        <v/>
      </c>
      <c r="I4" s="9">
        <f>EDATE(Data_Params!$B$3,1)</f>
        <v/>
      </c>
      <c r="J4" s="9">
        <f>EDATE(Data_Params!$B$3,2)</f>
        <v/>
      </c>
      <c r="K4" s="9">
        <f>EDATE(Data_Params!$B$3,3)</f>
        <v/>
      </c>
      <c r="L4" s="9">
        <f>EDATE(Data_Params!$B$3,4)</f>
        <v/>
      </c>
      <c r="M4" s="9">
        <f>EDATE(Data_Params!$B$3,5)</f>
        <v/>
      </c>
      <c r="N4" s="9">
        <f>EDATE(Data_Params!$B$3,6)</f>
        <v/>
      </c>
      <c r="O4" s="9">
        <f>EDATE(Data_Params!$B$3,7)</f>
        <v/>
      </c>
      <c r="P4" s="9">
        <f>EDATE(Data_Params!$B$3,8)</f>
        <v/>
      </c>
      <c r="Q4" s="9">
        <f>EDATE(Data_Params!$B$3,9)</f>
        <v/>
      </c>
      <c r="R4" s="9">
        <f>EDATE(Data_Params!$B$3,10)</f>
        <v/>
      </c>
      <c r="S4" s="9">
        <f>EDATE(Data_Params!$B$3,11)</f>
        <v/>
      </c>
    </row>
    <row r="5">
      <c r="A5" s="3">
        <f>IF(INDEX(Data_Contracts!$A:$A,1+1)="","",INDEX(Data_Contracts!$A:$A,1+1))</f>
        <v/>
      </c>
      <c r="B5" s="30">
        <f>IF(INDEX(Data_Contracts!$C:$C,1+1)="","",INDEX(Data_Contracts!$C:$C,1+1))</f>
        <v/>
      </c>
      <c r="C5" s="30">
        <f>IF(INDEX(Data_Contracts!$D:$D,1+1)="","",INDEX(Data_Contracts!$D:$D,1+1))</f>
        <v/>
      </c>
      <c r="D5" s="31">
        <f>IF(INDEX(Data_Contracts!$E:$E,1+1)="","",INDEX(Data_Contracts!$E:$E,1+1))</f>
        <v/>
      </c>
      <c r="E5" s="26">
        <f>IF(INDEX(Data_Contracts!$F:$F,1+1)="","",INDEX(Data_Contracts!$F:$F,1+1))</f>
        <v/>
      </c>
      <c r="F5" s="25">
        <f>IF(OR($A5="",N($D5)=0),"",S5/$D5)</f>
        <v/>
      </c>
      <c r="G5" s="31">
        <f>IF($A5="","",SUMIFS(Data_EntMonth!$F:$F,Data_EntMonth!$A:$A,$A5,Data_EntMonth!$B:$B,S$4))</f>
        <v/>
      </c>
      <c r="H5" s="31">
        <f>IF($A5="","",SUMIFS(Data_EntMonth!$D:$D,Data_EntMonth!$A:$A,$A5,Data_EntMonth!$B:$B,H$4))</f>
        <v/>
      </c>
      <c r="I5" s="31">
        <f>IF($A5="","",SUMIFS(Data_EntMonth!$D:$D,Data_EntMonth!$A:$A,$A5,Data_EntMonth!$B:$B,I$4))</f>
        <v/>
      </c>
      <c r="J5" s="31">
        <f>IF($A5="","",SUMIFS(Data_EntMonth!$D:$D,Data_EntMonth!$A:$A,$A5,Data_EntMonth!$B:$B,J$4))</f>
        <v/>
      </c>
      <c r="K5" s="31">
        <f>IF($A5="","",SUMIFS(Data_EntMonth!$D:$D,Data_EntMonth!$A:$A,$A5,Data_EntMonth!$B:$B,K$4))</f>
        <v/>
      </c>
      <c r="L5" s="31">
        <f>IF($A5="","",SUMIFS(Data_EntMonth!$D:$D,Data_EntMonth!$A:$A,$A5,Data_EntMonth!$B:$B,L$4))</f>
        <v/>
      </c>
      <c r="M5" s="31">
        <f>IF($A5="","",SUMIFS(Data_EntMonth!$D:$D,Data_EntMonth!$A:$A,$A5,Data_EntMonth!$B:$B,M$4))</f>
        <v/>
      </c>
      <c r="N5" s="31">
        <f>IF($A5="","",SUMIFS(Data_EntMonth!$D:$D,Data_EntMonth!$A:$A,$A5,Data_EntMonth!$B:$B,N$4))</f>
        <v/>
      </c>
      <c r="O5" s="31">
        <f>IF($A5="","",SUMIFS(Data_EntMonth!$D:$D,Data_EntMonth!$A:$A,$A5,Data_EntMonth!$B:$B,O$4))</f>
        <v/>
      </c>
      <c r="P5" s="31">
        <f>IF($A5="","",SUMIFS(Data_EntMonth!$D:$D,Data_EntMonth!$A:$A,$A5,Data_EntMonth!$B:$B,P$4))</f>
        <v/>
      </c>
      <c r="Q5" s="31">
        <f>IF($A5="","",SUMIFS(Data_EntMonth!$D:$D,Data_EntMonth!$A:$A,$A5,Data_EntMonth!$B:$B,Q$4))</f>
        <v/>
      </c>
      <c r="R5" s="31">
        <f>IF($A5="","",SUMIFS(Data_EntMonth!$D:$D,Data_EntMonth!$A:$A,$A5,Data_EntMonth!$B:$B,R$4))</f>
        <v/>
      </c>
      <c r="S5" s="31">
        <f>IF($A5="","",SUMIFS(Data_EntMonth!$D:$D,Data_EntMonth!$A:$A,$A5,Data_EntMonth!$B:$B,S$4))</f>
        <v/>
      </c>
    </row>
    <row r="6">
      <c r="A6" s="3">
        <f>IF(INDEX(Data_Contracts!$A:$A,2+1)="","",INDEX(Data_Contracts!$A:$A,2+1))</f>
        <v/>
      </c>
      <c r="B6" s="30">
        <f>IF(INDEX(Data_Contracts!$C:$C,2+1)="","",INDEX(Data_Contracts!$C:$C,2+1))</f>
        <v/>
      </c>
      <c r="C6" s="30">
        <f>IF(INDEX(Data_Contracts!$D:$D,2+1)="","",INDEX(Data_Contracts!$D:$D,2+1))</f>
        <v/>
      </c>
      <c r="D6" s="31">
        <f>IF(INDEX(Data_Contracts!$E:$E,2+1)="","",INDEX(Data_Contracts!$E:$E,2+1))</f>
        <v/>
      </c>
      <c r="E6" s="26">
        <f>IF(INDEX(Data_Contracts!$F:$F,2+1)="","",INDEX(Data_Contracts!$F:$F,2+1))</f>
        <v/>
      </c>
      <c r="F6" s="25">
        <f>IF(OR($A6="",N($D6)=0),"",S6/$D6)</f>
        <v/>
      </c>
      <c r="G6" s="31">
        <f>IF($A6="","",SUMIFS(Data_EntMonth!$F:$F,Data_EntMonth!$A:$A,$A6,Data_EntMonth!$B:$B,S$4))</f>
        <v/>
      </c>
      <c r="H6" s="31">
        <f>IF($A6="","",SUMIFS(Data_EntMonth!$D:$D,Data_EntMonth!$A:$A,$A6,Data_EntMonth!$B:$B,H$4))</f>
        <v/>
      </c>
      <c r="I6" s="31">
        <f>IF($A6="","",SUMIFS(Data_EntMonth!$D:$D,Data_EntMonth!$A:$A,$A6,Data_EntMonth!$B:$B,I$4))</f>
        <v/>
      </c>
      <c r="J6" s="31">
        <f>IF($A6="","",SUMIFS(Data_EntMonth!$D:$D,Data_EntMonth!$A:$A,$A6,Data_EntMonth!$B:$B,J$4))</f>
        <v/>
      </c>
      <c r="K6" s="31">
        <f>IF($A6="","",SUMIFS(Data_EntMonth!$D:$D,Data_EntMonth!$A:$A,$A6,Data_EntMonth!$B:$B,K$4))</f>
        <v/>
      </c>
      <c r="L6" s="31">
        <f>IF($A6="","",SUMIFS(Data_EntMonth!$D:$D,Data_EntMonth!$A:$A,$A6,Data_EntMonth!$B:$B,L$4))</f>
        <v/>
      </c>
      <c r="M6" s="31">
        <f>IF($A6="","",SUMIFS(Data_EntMonth!$D:$D,Data_EntMonth!$A:$A,$A6,Data_EntMonth!$B:$B,M$4))</f>
        <v/>
      </c>
      <c r="N6" s="31">
        <f>IF($A6="","",SUMIFS(Data_EntMonth!$D:$D,Data_EntMonth!$A:$A,$A6,Data_EntMonth!$B:$B,N$4))</f>
        <v/>
      </c>
      <c r="O6" s="31">
        <f>IF($A6="","",SUMIFS(Data_EntMonth!$D:$D,Data_EntMonth!$A:$A,$A6,Data_EntMonth!$B:$B,O$4))</f>
        <v/>
      </c>
      <c r="P6" s="31">
        <f>IF($A6="","",SUMIFS(Data_EntMonth!$D:$D,Data_EntMonth!$A:$A,$A6,Data_EntMonth!$B:$B,P$4))</f>
        <v/>
      </c>
      <c r="Q6" s="31">
        <f>IF($A6="","",SUMIFS(Data_EntMonth!$D:$D,Data_EntMonth!$A:$A,$A6,Data_EntMonth!$B:$B,Q$4))</f>
        <v/>
      </c>
      <c r="R6" s="31">
        <f>IF($A6="","",SUMIFS(Data_EntMonth!$D:$D,Data_EntMonth!$A:$A,$A6,Data_EntMonth!$B:$B,R$4))</f>
        <v/>
      </c>
      <c r="S6" s="31">
        <f>IF($A6="","",SUMIFS(Data_EntMonth!$D:$D,Data_EntMonth!$A:$A,$A6,Data_EntMonth!$B:$B,S$4))</f>
        <v/>
      </c>
    </row>
    <row r="7">
      <c r="A7" s="3">
        <f>IF(INDEX(Data_Contracts!$A:$A,3+1)="","",INDEX(Data_Contracts!$A:$A,3+1))</f>
        <v/>
      </c>
      <c r="B7" s="30">
        <f>IF(INDEX(Data_Contracts!$C:$C,3+1)="","",INDEX(Data_Contracts!$C:$C,3+1))</f>
        <v/>
      </c>
      <c r="C7" s="30">
        <f>IF(INDEX(Data_Contracts!$D:$D,3+1)="","",INDEX(Data_Contracts!$D:$D,3+1))</f>
        <v/>
      </c>
      <c r="D7" s="31">
        <f>IF(INDEX(Data_Contracts!$E:$E,3+1)="","",INDEX(Data_Contracts!$E:$E,3+1))</f>
        <v/>
      </c>
      <c r="E7" s="26">
        <f>IF(INDEX(Data_Contracts!$F:$F,3+1)="","",INDEX(Data_Contracts!$F:$F,3+1))</f>
        <v/>
      </c>
      <c r="F7" s="25">
        <f>IF(OR($A7="",N($D7)=0),"",S7/$D7)</f>
        <v/>
      </c>
      <c r="G7" s="31">
        <f>IF($A7="","",SUMIFS(Data_EntMonth!$F:$F,Data_EntMonth!$A:$A,$A7,Data_EntMonth!$B:$B,S$4))</f>
        <v/>
      </c>
      <c r="H7" s="31">
        <f>IF($A7="","",SUMIFS(Data_EntMonth!$D:$D,Data_EntMonth!$A:$A,$A7,Data_EntMonth!$B:$B,H$4))</f>
        <v/>
      </c>
      <c r="I7" s="31">
        <f>IF($A7="","",SUMIFS(Data_EntMonth!$D:$D,Data_EntMonth!$A:$A,$A7,Data_EntMonth!$B:$B,I$4))</f>
        <v/>
      </c>
      <c r="J7" s="31">
        <f>IF($A7="","",SUMIFS(Data_EntMonth!$D:$D,Data_EntMonth!$A:$A,$A7,Data_EntMonth!$B:$B,J$4))</f>
        <v/>
      </c>
      <c r="K7" s="31">
        <f>IF($A7="","",SUMIFS(Data_EntMonth!$D:$D,Data_EntMonth!$A:$A,$A7,Data_EntMonth!$B:$B,K$4))</f>
        <v/>
      </c>
      <c r="L7" s="31">
        <f>IF($A7="","",SUMIFS(Data_EntMonth!$D:$D,Data_EntMonth!$A:$A,$A7,Data_EntMonth!$B:$B,L$4))</f>
        <v/>
      </c>
      <c r="M7" s="31">
        <f>IF($A7="","",SUMIFS(Data_EntMonth!$D:$D,Data_EntMonth!$A:$A,$A7,Data_EntMonth!$B:$B,M$4))</f>
        <v/>
      </c>
      <c r="N7" s="31">
        <f>IF($A7="","",SUMIFS(Data_EntMonth!$D:$D,Data_EntMonth!$A:$A,$A7,Data_EntMonth!$B:$B,N$4))</f>
        <v/>
      </c>
      <c r="O7" s="31">
        <f>IF($A7="","",SUMIFS(Data_EntMonth!$D:$D,Data_EntMonth!$A:$A,$A7,Data_EntMonth!$B:$B,O$4))</f>
        <v/>
      </c>
      <c r="P7" s="31">
        <f>IF($A7="","",SUMIFS(Data_EntMonth!$D:$D,Data_EntMonth!$A:$A,$A7,Data_EntMonth!$B:$B,P$4))</f>
        <v/>
      </c>
      <c r="Q7" s="31">
        <f>IF($A7="","",SUMIFS(Data_EntMonth!$D:$D,Data_EntMonth!$A:$A,$A7,Data_EntMonth!$B:$B,Q$4))</f>
        <v/>
      </c>
      <c r="R7" s="31">
        <f>IF($A7="","",SUMIFS(Data_EntMonth!$D:$D,Data_EntMonth!$A:$A,$A7,Data_EntMonth!$B:$B,R$4))</f>
        <v/>
      </c>
      <c r="S7" s="31">
        <f>IF($A7="","",SUMIFS(Data_EntMonth!$D:$D,Data_EntMonth!$A:$A,$A7,Data_EntMonth!$B:$B,S$4))</f>
        <v/>
      </c>
    </row>
    <row r="8">
      <c r="A8" s="3">
        <f>IF(INDEX(Data_Contracts!$A:$A,4+1)="","",INDEX(Data_Contracts!$A:$A,4+1))</f>
        <v/>
      </c>
      <c r="B8" s="30">
        <f>IF(INDEX(Data_Contracts!$C:$C,4+1)="","",INDEX(Data_Contracts!$C:$C,4+1))</f>
        <v/>
      </c>
      <c r="C8" s="30">
        <f>IF(INDEX(Data_Contracts!$D:$D,4+1)="","",INDEX(Data_Contracts!$D:$D,4+1))</f>
        <v/>
      </c>
      <c r="D8" s="31">
        <f>IF(INDEX(Data_Contracts!$E:$E,4+1)="","",INDEX(Data_Contracts!$E:$E,4+1))</f>
        <v/>
      </c>
      <c r="E8" s="26">
        <f>IF(INDEX(Data_Contracts!$F:$F,4+1)="","",INDEX(Data_Contracts!$F:$F,4+1))</f>
        <v/>
      </c>
      <c r="F8" s="25">
        <f>IF(OR($A8="",N($D8)=0),"",S8/$D8)</f>
        <v/>
      </c>
      <c r="G8" s="31">
        <f>IF($A8="","",SUMIFS(Data_EntMonth!$F:$F,Data_EntMonth!$A:$A,$A8,Data_EntMonth!$B:$B,S$4))</f>
        <v/>
      </c>
      <c r="H8" s="31">
        <f>IF($A8="","",SUMIFS(Data_EntMonth!$D:$D,Data_EntMonth!$A:$A,$A8,Data_EntMonth!$B:$B,H$4))</f>
        <v/>
      </c>
      <c r="I8" s="31">
        <f>IF($A8="","",SUMIFS(Data_EntMonth!$D:$D,Data_EntMonth!$A:$A,$A8,Data_EntMonth!$B:$B,I$4))</f>
        <v/>
      </c>
      <c r="J8" s="31">
        <f>IF($A8="","",SUMIFS(Data_EntMonth!$D:$D,Data_EntMonth!$A:$A,$A8,Data_EntMonth!$B:$B,J$4))</f>
        <v/>
      </c>
      <c r="K8" s="31">
        <f>IF($A8="","",SUMIFS(Data_EntMonth!$D:$D,Data_EntMonth!$A:$A,$A8,Data_EntMonth!$B:$B,K$4))</f>
        <v/>
      </c>
      <c r="L8" s="31">
        <f>IF($A8="","",SUMIFS(Data_EntMonth!$D:$D,Data_EntMonth!$A:$A,$A8,Data_EntMonth!$B:$B,L$4))</f>
        <v/>
      </c>
      <c r="M8" s="31">
        <f>IF($A8="","",SUMIFS(Data_EntMonth!$D:$D,Data_EntMonth!$A:$A,$A8,Data_EntMonth!$B:$B,M$4))</f>
        <v/>
      </c>
      <c r="N8" s="31">
        <f>IF($A8="","",SUMIFS(Data_EntMonth!$D:$D,Data_EntMonth!$A:$A,$A8,Data_EntMonth!$B:$B,N$4))</f>
        <v/>
      </c>
      <c r="O8" s="31">
        <f>IF($A8="","",SUMIFS(Data_EntMonth!$D:$D,Data_EntMonth!$A:$A,$A8,Data_EntMonth!$B:$B,O$4))</f>
        <v/>
      </c>
      <c r="P8" s="31">
        <f>IF($A8="","",SUMIFS(Data_EntMonth!$D:$D,Data_EntMonth!$A:$A,$A8,Data_EntMonth!$B:$B,P$4))</f>
        <v/>
      </c>
      <c r="Q8" s="31">
        <f>IF($A8="","",SUMIFS(Data_EntMonth!$D:$D,Data_EntMonth!$A:$A,$A8,Data_EntMonth!$B:$B,Q$4))</f>
        <v/>
      </c>
      <c r="R8" s="31">
        <f>IF($A8="","",SUMIFS(Data_EntMonth!$D:$D,Data_EntMonth!$A:$A,$A8,Data_EntMonth!$B:$B,R$4))</f>
        <v/>
      </c>
      <c r="S8" s="31">
        <f>IF($A8="","",SUMIFS(Data_EntMonth!$D:$D,Data_EntMonth!$A:$A,$A8,Data_EntMonth!$B:$B,S$4))</f>
        <v/>
      </c>
    </row>
    <row r="9">
      <c r="A9" s="3">
        <f>IF(INDEX(Data_Contracts!$A:$A,5+1)="","",INDEX(Data_Contracts!$A:$A,5+1))</f>
        <v/>
      </c>
      <c r="B9" s="30">
        <f>IF(INDEX(Data_Contracts!$C:$C,5+1)="","",INDEX(Data_Contracts!$C:$C,5+1))</f>
        <v/>
      </c>
      <c r="C9" s="30">
        <f>IF(INDEX(Data_Contracts!$D:$D,5+1)="","",INDEX(Data_Contracts!$D:$D,5+1))</f>
        <v/>
      </c>
      <c r="D9" s="31">
        <f>IF(INDEX(Data_Contracts!$E:$E,5+1)="","",INDEX(Data_Contracts!$E:$E,5+1))</f>
        <v/>
      </c>
      <c r="E9" s="26">
        <f>IF(INDEX(Data_Contracts!$F:$F,5+1)="","",INDEX(Data_Contracts!$F:$F,5+1))</f>
        <v/>
      </c>
      <c r="F9" s="25">
        <f>IF(OR($A9="",N($D9)=0),"",S9/$D9)</f>
        <v/>
      </c>
      <c r="G9" s="31">
        <f>IF($A9="","",SUMIFS(Data_EntMonth!$F:$F,Data_EntMonth!$A:$A,$A9,Data_EntMonth!$B:$B,S$4))</f>
        <v/>
      </c>
      <c r="H9" s="31">
        <f>IF($A9="","",SUMIFS(Data_EntMonth!$D:$D,Data_EntMonth!$A:$A,$A9,Data_EntMonth!$B:$B,H$4))</f>
        <v/>
      </c>
      <c r="I9" s="31">
        <f>IF($A9="","",SUMIFS(Data_EntMonth!$D:$D,Data_EntMonth!$A:$A,$A9,Data_EntMonth!$B:$B,I$4))</f>
        <v/>
      </c>
      <c r="J9" s="31">
        <f>IF($A9="","",SUMIFS(Data_EntMonth!$D:$D,Data_EntMonth!$A:$A,$A9,Data_EntMonth!$B:$B,J$4))</f>
        <v/>
      </c>
      <c r="K9" s="31">
        <f>IF($A9="","",SUMIFS(Data_EntMonth!$D:$D,Data_EntMonth!$A:$A,$A9,Data_EntMonth!$B:$B,K$4))</f>
        <v/>
      </c>
      <c r="L9" s="31">
        <f>IF($A9="","",SUMIFS(Data_EntMonth!$D:$D,Data_EntMonth!$A:$A,$A9,Data_EntMonth!$B:$B,L$4))</f>
        <v/>
      </c>
      <c r="M9" s="31">
        <f>IF($A9="","",SUMIFS(Data_EntMonth!$D:$D,Data_EntMonth!$A:$A,$A9,Data_EntMonth!$B:$B,M$4))</f>
        <v/>
      </c>
      <c r="N9" s="31">
        <f>IF($A9="","",SUMIFS(Data_EntMonth!$D:$D,Data_EntMonth!$A:$A,$A9,Data_EntMonth!$B:$B,N$4))</f>
        <v/>
      </c>
      <c r="O9" s="31">
        <f>IF($A9="","",SUMIFS(Data_EntMonth!$D:$D,Data_EntMonth!$A:$A,$A9,Data_EntMonth!$B:$B,O$4))</f>
        <v/>
      </c>
      <c r="P9" s="31">
        <f>IF($A9="","",SUMIFS(Data_EntMonth!$D:$D,Data_EntMonth!$A:$A,$A9,Data_EntMonth!$B:$B,P$4))</f>
        <v/>
      </c>
      <c r="Q9" s="31">
        <f>IF($A9="","",SUMIFS(Data_EntMonth!$D:$D,Data_EntMonth!$A:$A,$A9,Data_EntMonth!$B:$B,Q$4))</f>
        <v/>
      </c>
      <c r="R9" s="31">
        <f>IF($A9="","",SUMIFS(Data_EntMonth!$D:$D,Data_EntMonth!$A:$A,$A9,Data_EntMonth!$B:$B,R$4))</f>
        <v/>
      </c>
      <c r="S9" s="31">
        <f>IF($A9="","",SUMIFS(Data_EntMonth!$D:$D,Data_EntMonth!$A:$A,$A9,Data_EntMonth!$B:$B,S$4))</f>
        <v/>
      </c>
    </row>
    <row r="10">
      <c r="A10" s="3">
        <f>IF(INDEX(Data_Contracts!$A:$A,6+1)="","",INDEX(Data_Contracts!$A:$A,6+1))</f>
        <v/>
      </c>
      <c r="B10" s="30">
        <f>IF(INDEX(Data_Contracts!$C:$C,6+1)="","",INDEX(Data_Contracts!$C:$C,6+1))</f>
        <v/>
      </c>
      <c r="C10" s="30">
        <f>IF(INDEX(Data_Contracts!$D:$D,6+1)="","",INDEX(Data_Contracts!$D:$D,6+1))</f>
        <v/>
      </c>
      <c r="D10" s="31">
        <f>IF(INDEX(Data_Contracts!$E:$E,6+1)="","",INDEX(Data_Contracts!$E:$E,6+1))</f>
        <v/>
      </c>
      <c r="E10" s="26">
        <f>IF(INDEX(Data_Contracts!$F:$F,6+1)="","",INDEX(Data_Contracts!$F:$F,6+1))</f>
        <v/>
      </c>
      <c r="F10" s="25">
        <f>IF(OR($A10="",N($D10)=0),"",S10/$D10)</f>
        <v/>
      </c>
      <c r="G10" s="31">
        <f>IF($A10="","",SUMIFS(Data_EntMonth!$F:$F,Data_EntMonth!$A:$A,$A10,Data_EntMonth!$B:$B,S$4))</f>
        <v/>
      </c>
      <c r="H10" s="31">
        <f>IF($A10="","",SUMIFS(Data_EntMonth!$D:$D,Data_EntMonth!$A:$A,$A10,Data_EntMonth!$B:$B,H$4))</f>
        <v/>
      </c>
      <c r="I10" s="31">
        <f>IF($A10="","",SUMIFS(Data_EntMonth!$D:$D,Data_EntMonth!$A:$A,$A10,Data_EntMonth!$B:$B,I$4))</f>
        <v/>
      </c>
      <c r="J10" s="31">
        <f>IF($A10="","",SUMIFS(Data_EntMonth!$D:$D,Data_EntMonth!$A:$A,$A10,Data_EntMonth!$B:$B,J$4))</f>
        <v/>
      </c>
      <c r="K10" s="31">
        <f>IF($A10="","",SUMIFS(Data_EntMonth!$D:$D,Data_EntMonth!$A:$A,$A10,Data_EntMonth!$B:$B,K$4))</f>
        <v/>
      </c>
      <c r="L10" s="31">
        <f>IF($A10="","",SUMIFS(Data_EntMonth!$D:$D,Data_EntMonth!$A:$A,$A10,Data_EntMonth!$B:$B,L$4))</f>
        <v/>
      </c>
      <c r="M10" s="31">
        <f>IF($A10="","",SUMIFS(Data_EntMonth!$D:$D,Data_EntMonth!$A:$A,$A10,Data_EntMonth!$B:$B,M$4))</f>
        <v/>
      </c>
      <c r="N10" s="31">
        <f>IF($A10="","",SUMIFS(Data_EntMonth!$D:$D,Data_EntMonth!$A:$A,$A10,Data_EntMonth!$B:$B,N$4))</f>
        <v/>
      </c>
      <c r="O10" s="31">
        <f>IF($A10="","",SUMIFS(Data_EntMonth!$D:$D,Data_EntMonth!$A:$A,$A10,Data_EntMonth!$B:$B,O$4))</f>
        <v/>
      </c>
      <c r="P10" s="31">
        <f>IF($A10="","",SUMIFS(Data_EntMonth!$D:$D,Data_EntMonth!$A:$A,$A10,Data_EntMonth!$B:$B,P$4))</f>
        <v/>
      </c>
      <c r="Q10" s="31">
        <f>IF($A10="","",SUMIFS(Data_EntMonth!$D:$D,Data_EntMonth!$A:$A,$A10,Data_EntMonth!$B:$B,Q$4))</f>
        <v/>
      </c>
      <c r="R10" s="31">
        <f>IF($A10="","",SUMIFS(Data_EntMonth!$D:$D,Data_EntMonth!$A:$A,$A10,Data_EntMonth!$B:$B,R$4))</f>
        <v/>
      </c>
      <c r="S10" s="31">
        <f>IF($A10="","",SUMIFS(Data_EntMonth!$D:$D,Data_EntMonth!$A:$A,$A10,Data_EntMonth!$B:$B,S$4))</f>
        <v/>
      </c>
    </row>
    <row r="11">
      <c r="A11" s="3">
        <f>IF(INDEX(Data_Contracts!$A:$A,7+1)="","",INDEX(Data_Contracts!$A:$A,7+1))</f>
        <v/>
      </c>
      <c r="B11" s="30">
        <f>IF(INDEX(Data_Contracts!$C:$C,7+1)="","",INDEX(Data_Contracts!$C:$C,7+1))</f>
        <v/>
      </c>
      <c r="C11" s="30">
        <f>IF(INDEX(Data_Contracts!$D:$D,7+1)="","",INDEX(Data_Contracts!$D:$D,7+1))</f>
        <v/>
      </c>
      <c r="D11" s="31">
        <f>IF(INDEX(Data_Contracts!$E:$E,7+1)="","",INDEX(Data_Contracts!$E:$E,7+1))</f>
        <v/>
      </c>
      <c r="E11" s="26">
        <f>IF(INDEX(Data_Contracts!$F:$F,7+1)="","",INDEX(Data_Contracts!$F:$F,7+1))</f>
        <v/>
      </c>
      <c r="F11" s="25">
        <f>IF(OR($A11="",N($D11)=0),"",S11/$D11)</f>
        <v/>
      </c>
      <c r="G11" s="31">
        <f>IF($A11="","",SUMIFS(Data_EntMonth!$F:$F,Data_EntMonth!$A:$A,$A11,Data_EntMonth!$B:$B,S$4))</f>
        <v/>
      </c>
      <c r="H11" s="31">
        <f>IF($A11="","",SUMIFS(Data_EntMonth!$D:$D,Data_EntMonth!$A:$A,$A11,Data_EntMonth!$B:$B,H$4))</f>
        <v/>
      </c>
      <c r="I11" s="31">
        <f>IF($A11="","",SUMIFS(Data_EntMonth!$D:$D,Data_EntMonth!$A:$A,$A11,Data_EntMonth!$B:$B,I$4))</f>
        <v/>
      </c>
      <c r="J11" s="31">
        <f>IF($A11="","",SUMIFS(Data_EntMonth!$D:$D,Data_EntMonth!$A:$A,$A11,Data_EntMonth!$B:$B,J$4))</f>
        <v/>
      </c>
      <c r="K11" s="31">
        <f>IF($A11="","",SUMIFS(Data_EntMonth!$D:$D,Data_EntMonth!$A:$A,$A11,Data_EntMonth!$B:$B,K$4))</f>
        <v/>
      </c>
      <c r="L11" s="31">
        <f>IF($A11="","",SUMIFS(Data_EntMonth!$D:$D,Data_EntMonth!$A:$A,$A11,Data_EntMonth!$B:$B,L$4))</f>
        <v/>
      </c>
      <c r="M11" s="31">
        <f>IF($A11="","",SUMIFS(Data_EntMonth!$D:$D,Data_EntMonth!$A:$A,$A11,Data_EntMonth!$B:$B,M$4))</f>
        <v/>
      </c>
      <c r="N11" s="31">
        <f>IF($A11="","",SUMIFS(Data_EntMonth!$D:$D,Data_EntMonth!$A:$A,$A11,Data_EntMonth!$B:$B,N$4))</f>
        <v/>
      </c>
      <c r="O11" s="31">
        <f>IF($A11="","",SUMIFS(Data_EntMonth!$D:$D,Data_EntMonth!$A:$A,$A11,Data_EntMonth!$B:$B,O$4))</f>
        <v/>
      </c>
      <c r="P11" s="31">
        <f>IF($A11="","",SUMIFS(Data_EntMonth!$D:$D,Data_EntMonth!$A:$A,$A11,Data_EntMonth!$B:$B,P$4))</f>
        <v/>
      </c>
      <c r="Q11" s="31">
        <f>IF($A11="","",SUMIFS(Data_EntMonth!$D:$D,Data_EntMonth!$A:$A,$A11,Data_EntMonth!$B:$B,Q$4))</f>
        <v/>
      </c>
      <c r="R11" s="31">
        <f>IF($A11="","",SUMIFS(Data_EntMonth!$D:$D,Data_EntMonth!$A:$A,$A11,Data_EntMonth!$B:$B,R$4))</f>
        <v/>
      </c>
      <c r="S11" s="31">
        <f>IF($A11="","",SUMIFS(Data_EntMonth!$D:$D,Data_EntMonth!$A:$A,$A11,Data_EntMonth!$B:$B,S$4))</f>
        <v/>
      </c>
    </row>
    <row r="12">
      <c r="A12" s="3">
        <f>IF(INDEX(Data_Contracts!$A:$A,8+1)="","",INDEX(Data_Contracts!$A:$A,8+1))</f>
        <v/>
      </c>
      <c r="B12" s="30">
        <f>IF(INDEX(Data_Contracts!$C:$C,8+1)="","",INDEX(Data_Contracts!$C:$C,8+1))</f>
        <v/>
      </c>
      <c r="C12" s="30">
        <f>IF(INDEX(Data_Contracts!$D:$D,8+1)="","",INDEX(Data_Contracts!$D:$D,8+1))</f>
        <v/>
      </c>
      <c r="D12" s="31">
        <f>IF(INDEX(Data_Contracts!$E:$E,8+1)="","",INDEX(Data_Contracts!$E:$E,8+1))</f>
        <v/>
      </c>
      <c r="E12" s="26">
        <f>IF(INDEX(Data_Contracts!$F:$F,8+1)="","",INDEX(Data_Contracts!$F:$F,8+1))</f>
        <v/>
      </c>
      <c r="F12" s="25">
        <f>IF(OR($A12="",N($D12)=0),"",S12/$D12)</f>
        <v/>
      </c>
      <c r="G12" s="31">
        <f>IF($A12="","",SUMIFS(Data_EntMonth!$F:$F,Data_EntMonth!$A:$A,$A12,Data_EntMonth!$B:$B,S$4))</f>
        <v/>
      </c>
      <c r="H12" s="31">
        <f>IF($A12="","",SUMIFS(Data_EntMonth!$D:$D,Data_EntMonth!$A:$A,$A12,Data_EntMonth!$B:$B,H$4))</f>
        <v/>
      </c>
      <c r="I12" s="31">
        <f>IF($A12="","",SUMIFS(Data_EntMonth!$D:$D,Data_EntMonth!$A:$A,$A12,Data_EntMonth!$B:$B,I$4))</f>
        <v/>
      </c>
      <c r="J12" s="31">
        <f>IF($A12="","",SUMIFS(Data_EntMonth!$D:$D,Data_EntMonth!$A:$A,$A12,Data_EntMonth!$B:$B,J$4))</f>
        <v/>
      </c>
      <c r="K12" s="31">
        <f>IF($A12="","",SUMIFS(Data_EntMonth!$D:$D,Data_EntMonth!$A:$A,$A12,Data_EntMonth!$B:$B,K$4))</f>
        <v/>
      </c>
      <c r="L12" s="31">
        <f>IF($A12="","",SUMIFS(Data_EntMonth!$D:$D,Data_EntMonth!$A:$A,$A12,Data_EntMonth!$B:$B,L$4))</f>
        <v/>
      </c>
      <c r="M12" s="31">
        <f>IF($A12="","",SUMIFS(Data_EntMonth!$D:$D,Data_EntMonth!$A:$A,$A12,Data_EntMonth!$B:$B,M$4))</f>
        <v/>
      </c>
      <c r="N12" s="31">
        <f>IF($A12="","",SUMIFS(Data_EntMonth!$D:$D,Data_EntMonth!$A:$A,$A12,Data_EntMonth!$B:$B,N$4))</f>
        <v/>
      </c>
      <c r="O12" s="31">
        <f>IF($A12="","",SUMIFS(Data_EntMonth!$D:$D,Data_EntMonth!$A:$A,$A12,Data_EntMonth!$B:$B,O$4))</f>
        <v/>
      </c>
      <c r="P12" s="31">
        <f>IF($A12="","",SUMIFS(Data_EntMonth!$D:$D,Data_EntMonth!$A:$A,$A12,Data_EntMonth!$B:$B,P$4))</f>
        <v/>
      </c>
      <c r="Q12" s="31">
        <f>IF($A12="","",SUMIFS(Data_EntMonth!$D:$D,Data_EntMonth!$A:$A,$A12,Data_EntMonth!$B:$B,Q$4))</f>
        <v/>
      </c>
      <c r="R12" s="31">
        <f>IF($A12="","",SUMIFS(Data_EntMonth!$D:$D,Data_EntMonth!$A:$A,$A12,Data_EntMonth!$B:$B,R$4))</f>
        <v/>
      </c>
      <c r="S12" s="31">
        <f>IF($A12="","",SUMIFS(Data_EntMonth!$D:$D,Data_EntMonth!$A:$A,$A12,Data_EntMonth!$B:$B,S$4))</f>
        <v/>
      </c>
    </row>
    <row r="13">
      <c r="A13" s="3">
        <f>IF(INDEX(Data_Contracts!$A:$A,9+1)="","",INDEX(Data_Contracts!$A:$A,9+1))</f>
        <v/>
      </c>
      <c r="B13" s="30">
        <f>IF(INDEX(Data_Contracts!$C:$C,9+1)="","",INDEX(Data_Contracts!$C:$C,9+1))</f>
        <v/>
      </c>
      <c r="C13" s="30">
        <f>IF(INDEX(Data_Contracts!$D:$D,9+1)="","",INDEX(Data_Contracts!$D:$D,9+1))</f>
        <v/>
      </c>
      <c r="D13" s="31">
        <f>IF(INDEX(Data_Contracts!$E:$E,9+1)="","",INDEX(Data_Contracts!$E:$E,9+1))</f>
        <v/>
      </c>
      <c r="E13" s="26">
        <f>IF(INDEX(Data_Contracts!$F:$F,9+1)="","",INDEX(Data_Contracts!$F:$F,9+1))</f>
        <v/>
      </c>
      <c r="F13" s="25">
        <f>IF(OR($A13="",N($D13)=0),"",S13/$D13)</f>
        <v/>
      </c>
      <c r="G13" s="31">
        <f>IF($A13="","",SUMIFS(Data_EntMonth!$F:$F,Data_EntMonth!$A:$A,$A13,Data_EntMonth!$B:$B,S$4))</f>
        <v/>
      </c>
      <c r="H13" s="31">
        <f>IF($A13="","",SUMIFS(Data_EntMonth!$D:$D,Data_EntMonth!$A:$A,$A13,Data_EntMonth!$B:$B,H$4))</f>
        <v/>
      </c>
      <c r="I13" s="31">
        <f>IF($A13="","",SUMIFS(Data_EntMonth!$D:$D,Data_EntMonth!$A:$A,$A13,Data_EntMonth!$B:$B,I$4))</f>
        <v/>
      </c>
      <c r="J13" s="31">
        <f>IF($A13="","",SUMIFS(Data_EntMonth!$D:$D,Data_EntMonth!$A:$A,$A13,Data_EntMonth!$B:$B,J$4))</f>
        <v/>
      </c>
      <c r="K13" s="31">
        <f>IF($A13="","",SUMIFS(Data_EntMonth!$D:$D,Data_EntMonth!$A:$A,$A13,Data_EntMonth!$B:$B,K$4))</f>
        <v/>
      </c>
      <c r="L13" s="31">
        <f>IF($A13="","",SUMIFS(Data_EntMonth!$D:$D,Data_EntMonth!$A:$A,$A13,Data_EntMonth!$B:$B,L$4))</f>
        <v/>
      </c>
      <c r="M13" s="31">
        <f>IF($A13="","",SUMIFS(Data_EntMonth!$D:$D,Data_EntMonth!$A:$A,$A13,Data_EntMonth!$B:$B,M$4))</f>
        <v/>
      </c>
      <c r="N13" s="31">
        <f>IF($A13="","",SUMIFS(Data_EntMonth!$D:$D,Data_EntMonth!$A:$A,$A13,Data_EntMonth!$B:$B,N$4))</f>
        <v/>
      </c>
      <c r="O13" s="31">
        <f>IF($A13="","",SUMIFS(Data_EntMonth!$D:$D,Data_EntMonth!$A:$A,$A13,Data_EntMonth!$B:$B,O$4))</f>
        <v/>
      </c>
      <c r="P13" s="31">
        <f>IF($A13="","",SUMIFS(Data_EntMonth!$D:$D,Data_EntMonth!$A:$A,$A13,Data_EntMonth!$B:$B,P$4))</f>
        <v/>
      </c>
      <c r="Q13" s="31">
        <f>IF($A13="","",SUMIFS(Data_EntMonth!$D:$D,Data_EntMonth!$A:$A,$A13,Data_EntMonth!$B:$B,Q$4))</f>
        <v/>
      </c>
      <c r="R13" s="31">
        <f>IF($A13="","",SUMIFS(Data_EntMonth!$D:$D,Data_EntMonth!$A:$A,$A13,Data_EntMonth!$B:$B,R$4))</f>
        <v/>
      </c>
      <c r="S13" s="31">
        <f>IF($A13="","",SUMIFS(Data_EntMonth!$D:$D,Data_EntMonth!$A:$A,$A13,Data_EntMonth!$B:$B,S$4))</f>
        <v/>
      </c>
    </row>
    <row r="14">
      <c r="A14" s="3">
        <f>IF(INDEX(Data_Contracts!$A:$A,10+1)="","",INDEX(Data_Contracts!$A:$A,10+1))</f>
        <v/>
      </c>
      <c r="B14" s="30">
        <f>IF(INDEX(Data_Contracts!$C:$C,10+1)="","",INDEX(Data_Contracts!$C:$C,10+1))</f>
        <v/>
      </c>
      <c r="C14" s="30">
        <f>IF(INDEX(Data_Contracts!$D:$D,10+1)="","",INDEX(Data_Contracts!$D:$D,10+1))</f>
        <v/>
      </c>
      <c r="D14" s="31">
        <f>IF(INDEX(Data_Contracts!$E:$E,10+1)="","",INDEX(Data_Contracts!$E:$E,10+1))</f>
        <v/>
      </c>
      <c r="E14" s="26">
        <f>IF(INDEX(Data_Contracts!$F:$F,10+1)="","",INDEX(Data_Contracts!$F:$F,10+1))</f>
        <v/>
      </c>
      <c r="F14" s="25">
        <f>IF(OR($A14="",N($D14)=0),"",S14/$D14)</f>
        <v/>
      </c>
      <c r="G14" s="31">
        <f>IF($A14="","",SUMIFS(Data_EntMonth!$F:$F,Data_EntMonth!$A:$A,$A14,Data_EntMonth!$B:$B,S$4))</f>
        <v/>
      </c>
      <c r="H14" s="31">
        <f>IF($A14="","",SUMIFS(Data_EntMonth!$D:$D,Data_EntMonth!$A:$A,$A14,Data_EntMonth!$B:$B,H$4))</f>
        <v/>
      </c>
      <c r="I14" s="31">
        <f>IF($A14="","",SUMIFS(Data_EntMonth!$D:$D,Data_EntMonth!$A:$A,$A14,Data_EntMonth!$B:$B,I$4))</f>
        <v/>
      </c>
      <c r="J14" s="31">
        <f>IF($A14="","",SUMIFS(Data_EntMonth!$D:$D,Data_EntMonth!$A:$A,$A14,Data_EntMonth!$B:$B,J$4))</f>
        <v/>
      </c>
      <c r="K14" s="31">
        <f>IF($A14="","",SUMIFS(Data_EntMonth!$D:$D,Data_EntMonth!$A:$A,$A14,Data_EntMonth!$B:$B,K$4))</f>
        <v/>
      </c>
      <c r="L14" s="31">
        <f>IF($A14="","",SUMIFS(Data_EntMonth!$D:$D,Data_EntMonth!$A:$A,$A14,Data_EntMonth!$B:$B,L$4))</f>
        <v/>
      </c>
      <c r="M14" s="31">
        <f>IF($A14="","",SUMIFS(Data_EntMonth!$D:$D,Data_EntMonth!$A:$A,$A14,Data_EntMonth!$B:$B,M$4))</f>
        <v/>
      </c>
      <c r="N14" s="31">
        <f>IF($A14="","",SUMIFS(Data_EntMonth!$D:$D,Data_EntMonth!$A:$A,$A14,Data_EntMonth!$B:$B,N$4))</f>
        <v/>
      </c>
      <c r="O14" s="31">
        <f>IF($A14="","",SUMIFS(Data_EntMonth!$D:$D,Data_EntMonth!$A:$A,$A14,Data_EntMonth!$B:$B,O$4))</f>
        <v/>
      </c>
      <c r="P14" s="31">
        <f>IF($A14="","",SUMIFS(Data_EntMonth!$D:$D,Data_EntMonth!$A:$A,$A14,Data_EntMonth!$B:$B,P$4))</f>
        <v/>
      </c>
      <c r="Q14" s="31">
        <f>IF($A14="","",SUMIFS(Data_EntMonth!$D:$D,Data_EntMonth!$A:$A,$A14,Data_EntMonth!$B:$B,Q$4))</f>
        <v/>
      </c>
      <c r="R14" s="31">
        <f>IF($A14="","",SUMIFS(Data_EntMonth!$D:$D,Data_EntMonth!$A:$A,$A14,Data_EntMonth!$B:$B,R$4))</f>
        <v/>
      </c>
      <c r="S14" s="31">
        <f>IF($A14="","",SUMIFS(Data_EntMonth!$D:$D,Data_EntMonth!$A:$A,$A14,Data_EntMonth!$B:$B,S$4))</f>
        <v/>
      </c>
    </row>
    <row r="15">
      <c r="A15" s="3">
        <f>IF(INDEX(Data_Contracts!$A:$A,11+1)="","",INDEX(Data_Contracts!$A:$A,11+1))</f>
        <v/>
      </c>
      <c r="B15" s="30">
        <f>IF(INDEX(Data_Contracts!$C:$C,11+1)="","",INDEX(Data_Contracts!$C:$C,11+1))</f>
        <v/>
      </c>
      <c r="C15" s="30">
        <f>IF(INDEX(Data_Contracts!$D:$D,11+1)="","",INDEX(Data_Contracts!$D:$D,11+1))</f>
        <v/>
      </c>
      <c r="D15" s="31">
        <f>IF(INDEX(Data_Contracts!$E:$E,11+1)="","",INDEX(Data_Contracts!$E:$E,11+1))</f>
        <v/>
      </c>
      <c r="E15" s="26">
        <f>IF(INDEX(Data_Contracts!$F:$F,11+1)="","",INDEX(Data_Contracts!$F:$F,11+1))</f>
        <v/>
      </c>
      <c r="F15" s="25">
        <f>IF(OR($A15="",N($D15)=0),"",S15/$D15)</f>
        <v/>
      </c>
      <c r="G15" s="31">
        <f>IF($A15="","",SUMIFS(Data_EntMonth!$F:$F,Data_EntMonth!$A:$A,$A15,Data_EntMonth!$B:$B,S$4))</f>
        <v/>
      </c>
      <c r="H15" s="31">
        <f>IF($A15="","",SUMIFS(Data_EntMonth!$D:$D,Data_EntMonth!$A:$A,$A15,Data_EntMonth!$B:$B,H$4))</f>
        <v/>
      </c>
      <c r="I15" s="31">
        <f>IF($A15="","",SUMIFS(Data_EntMonth!$D:$D,Data_EntMonth!$A:$A,$A15,Data_EntMonth!$B:$B,I$4))</f>
        <v/>
      </c>
      <c r="J15" s="31">
        <f>IF($A15="","",SUMIFS(Data_EntMonth!$D:$D,Data_EntMonth!$A:$A,$A15,Data_EntMonth!$B:$B,J$4))</f>
        <v/>
      </c>
      <c r="K15" s="31">
        <f>IF($A15="","",SUMIFS(Data_EntMonth!$D:$D,Data_EntMonth!$A:$A,$A15,Data_EntMonth!$B:$B,K$4))</f>
        <v/>
      </c>
      <c r="L15" s="31">
        <f>IF($A15="","",SUMIFS(Data_EntMonth!$D:$D,Data_EntMonth!$A:$A,$A15,Data_EntMonth!$B:$B,L$4))</f>
        <v/>
      </c>
      <c r="M15" s="31">
        <f>IF($A15="","",SUMIFS(Data_EntMonth!$D:$D,Data_EntMonth!$A:$A,$A15,Data_EntMonth!$B:$B,M$4))</f>
        <v/>
      </c>
      <c r="N15" s="31">
        <f>IF($A15="","",SUMIFS(Data_EntMonth!$D:$D,Data_EntMonth!$A:$A,$A15,Data_EntMonth!$B:$B,N$4))</f>
        <v/>
      </c>
      <c r="O15" s="31">
        <f>IF($A15="","",SUMIFS(Data_EntMonth!$D:$D,Data_EntMonth!$A:$A,$A15,Data_EntMonth!$B:$B,O$4))</f>
        <v/>
      </c>
      <c r="P15" s="31">
        <f>IF($A15="","",SUMIFS(Data_EntMonth!$D:$D,Data_EntMonth!$A:$A,$A15,Data_EntMonth!$B:$B,P$4))</f>
        <v/>
      </c>
      <c r="Q15" s="31">
        <f>IF($A15="","",SUMIFS(Data_EntMonth!$D:$D,Data_EntMonth!$A:$A,$A15,Data_EntMonth!$B:$B,Q$4))</f>
        <v/>
      </c>
      <c r="R15" s="31">
        <f>IF($A15="","",SUMIFS(Data_EntMonth!$D:$D,Data_EntMonth!$A:$A,$A15,Data_EntMonth!$B:$B,R$4))</f>
        <v/>
      </c>
      <c r="S15" s="31">
        <f>IF($A15="","",SUMIFS(Data_EntMonth!$D:$D,Data_EntMonth!$A:$A,$A15,Data_EntMonth!$B:$B,S$4))</f>
        <v/>
      </c>
    </row>
    <row r="16">
      <c r="A16" s="3">
        <f>IF(INDEX(Data_Contracts!$A:$A,12+1)="","",INDEX(Data_Contracts!$A:$A,12+1))</f>
        <v/>
      </c>
      <c r="B16" s="30">
        <f>IF(INDEX(Data_Contracts!$C:$C,12+1)="","",INDEX(Data_Contracts!$C:$C,12+1))</f>
        <v/>
      </c>
      <c r="C16" s="30">
        <f>IF(INDEX(Data_Contracts!$D:$D,12+1)="","",INDEX(Data_Contracts!$D:$D,12+1))</f>
        <v/>
      </c>
      <c r="D16" s="31">
        <f>IF(INDEX(Data_Contracts!$E:$E,12+1)="","",INDEX(Data_Contracts!$E:$E,12+1))</f>
        <v/>
      </c>
      <c r="E16" s="26">
        <f>IF(INDEX(Data_Contracts!$F:$F,12+1)="","",INDEX(Data_Contracts!$F:$F,12+1))</f>
        <v/>
      </c>
      <c r="F16" s="25">
        <f>IF(OR($A16="",N($D16)=0),"",S16/$D16)</f>
        <v/>
      </c>
      <c r="G16" s="31">
        <f>IF($A16="","",SUMIFS(Data_EntMonth!$F:$F,Data_EntMonth!$A:$A,$A16,Data_EntMonth!$B:$B,S$4))</f>
        <v/>
      </c>
      <c r="H16" s="31">
        <f>IF($A16="","",SUMIFS(Data_EntMonth!$D:$D,Data_EntMonth!$A:$A,$A16,Data_EntMonth!$B:$B,H$4))</f>
        <v/>
      </c>
      <c r="I16" s="31">
        <f>IF($A16="","",SUMIFS(Data_EntMonth!$D:$D,Data_EntMonth!$A:$A,$A16,Data_EntMonth!$B:$B,I$4))</f>
        <v/>
      </c>
      <c r="J16" s="31">
        <f>IF($A16="","",SUMIFS(Data_EntMonth!$D:$D,Data_EntMonth!$A:$A,$A16,Data_EntMonth!$B:$B,J$4))</f>
        <v/>
      </c>
      <c r="K16" s="31">
        <f>IF($A16="","",SUMIFS(Data_EntMonth!$D:$D,Data_EntMonth!$A:$A,$A16,Data_EntMonth!$B:$B,K$4))</f>
        <v/>
      </c>
      <c r="L16" s="31">
        <f>IF($A16="","",SUMIFS(Data_EntMonth!$D:$D,Data_EntMonth!$A:$A,$A16,Data_EntMonth!$B:$B,L$4))</f>
        <v/>
      </c>
      <c r="M16" s="31">
        <f>IF($A16="","",SUMIFS(Data_EntMonth!$D:$D,Data_EntMonth!$A:$A,$A16,Data_EntMonth!$B:$B,M$4))</f>
        <v/>
      </c>
      <c r="N16" s="31">
        <f>IF($A16="","",SUMIFS(Data_EntMonth!$D:$D,Data_EntMonth!$A:$A,$A16,Data_EntMonth!$B:$B,N$4))</f>
        <v/>
      </c>
      <c r="O16" s="31">
        <f>IF($A16="","",SUMIFS(Data_EntMonth!$D:$D,Data_EntMonth!$A:$A,$A16,Data_EntMonth!$B:$B,O$4))</f>
        <v/>
      </c>
      <c r="P16" s="31">
        <f>IF($A16="","",SUMIFS(Data_EntMonth!$D:$D,Data_EntMonth!$A:$A,$A16,Data_EntMonth!$B:$B,P$4))</f>
        <v/>
      </c>
      <c r="Q16" s="31">
        <f>IF($A16="","",SUMIFS(Data_EntMonth!$D:$D,Data_EntMonth!$A:$A,$A16,Data_EntMonth!$B:$B,Q$4))</f>
        <v/>
      </c>
      <c r="R16" s="31">
        <f>IF($A16="","",SUMIFS(Data_EntMonth!$D:$D,Data_EntMonth!$A:$A,$A16,Data_EntMonth!$B:$B,R$4))</f>
        <v/>
      </c>
      <c r="S16" s="31">
        <f>IF($A16="","",SUMIFS(Data_EntMonth!$D:$D,Data_EntMonth!$A:$A,$A16,Data_EntMonth!$B:$B,S$4))</f>
        <v/>
      </c>
    </row>
    <row r="17">
      <c r="A17" s="3">
        <f>IF(INDEX(Data_Contracts!$A:$A,13+1)="","",INDEX(Data_Contracts!$A:$A,13+1))</f>
        <v/>
      </c>
      <c r="B17" s="30">
        <f>IF(INDEX(Data_Contracts!$C:$C,13+1)="","",INDEX(Data_Contracts!$C:$C,13+1))</f>
        <v/>
      </c>
      <c r="C17" s="30">
        <f>IF(INDEX(Data_Contracts!$D:$D,13+1)="","",INDEX(Data_Contracts!$D:$D,13+1))</f>
        <v/>
      </c>
      <c r="D17" s="31">
        <f>IF(INDEX(Data_Contracts!$E:$E,13+1)="","",INDEX(Data_Contracts!$E:$E,13+1))</f>
        <v/>
      </c>
      <c r="E17" s="26">
        <f>IF(INDEX(Data_Contracts!$F:$F,13+1)="","",INDEX(Data_Contracts!$F:$F,13+1))</f>
        <v/>
      </c>
      <c r="F17" s="25">
        <f>IF(OR($A17="",N($D17)=0),"",S17/$D17)</f>
        <v/>
      </c>
      <c r="G17" s="31">
        <f>IF($A17="","",SUMIFS(Data_EntMonth!$F:$F,Data_EntMonth!$A:$A,$A17,Data_EntMonth!$B:$B,S$4))</f>
        <v/>
      </c>
      <c r="H17" s="31">
        <f>IF($A17="","",SUMIFS(Data_EntMonth!$D:$D,Data_EntMonth!$A:$A,$A17,Data_EntMonth!$B:$B,H$4))</f>
        <v/>
      </c>
      <c r="I17" s="31">
        <f>IF($A17="","",SUMIFS(Data_EntMonth!$D:$D,Data_EntMonth!$A:$A,$A17,Data_EntMonth!$B:$B,I$4))</f>
        <v/>
      </c>
      <c r="J17" s="31">
        <f>IF($A17="","",SUMIFS(Data_EntMonth!$D:$D,Data_EntMonth!$A:$A,$A17,Data_EntMonth!$B:$B,J$4))</f>
        <v/>
      </c>
      <c r="K17" s="31">
        <f>IF($A17="","",SUMIFS(Data_EntMonth!$D:$D,Data_EntMonth!$A:$A,$A17,Data_EntMonth!$B:$B,K$4))</f>
        <v/>
      </c>
      <c r="L17" s="31">
        <f>IF($A17="","",SUMIFS(Data_EntMonth!$D:$D,Data_EntMonth!$A:$A,$A17,Data_EntMonth!$B:$B,L$4))</f>
        <v/>
      </c>
      <c r="M17" s="31">
        <f>IF($A17="","",SUMIFS(Data_EntMonth!$D:$D,Data_EntMonth!$A:$A,$A17,Data_EntMonth!$B:$B,M$4))</f>
        <v/>
      </c>
      <c r="N17" s="31">
        <f>IF($A17="","",SUMIFS(Data_EntMonth!$D:$D,Data_EntMonth!$A:$A,$A17,Data_EntMonth!$B:$B,N$4))</f>
        <v/>
      </c>
      <c r="O17" s="31">
        <f>IF($A17="","",SUMIFS(Data_EntMonth!$D:$D,Data_EntMonth!$A:$A,$A17,Data_EntMonth!$B:$B,O$4))</f>
        <v/>
      </c>
      <c r="P17" s="31">
        <f>IF($A17="","",SUMIFS(Data_EntMonth!$D:$D,Data_EntMonth!$A:$A,$A17,Data_EntMonth!$B:$B,P$4))</f>
        <v/>
      </c>
      <c r="Q17" s="31">
        <f>IF($A17="","",SUMIFS(Data_EntMonth!$D:$D,Data_EntMonth!$A:$A,$A17,Data_EntMonth!$B:$B,Q$4))</f>
        <v/>
      </c>
      <c r="R17" s="31">
        <f>IF($A17="","",SUMIFS(Data_EntMonth!$D:$D,Data_EntMonth!$A:$A,$A17,Data_EntMonth!$B:$B,R$4))</f>
        <v/>
      </c>
      <c r="S17" s="31">
        <f>IF($A17="","",SUMIFS(Data_EntMonth!$D:$D,Data_EntMonth!$A:$A,$A17,Data_EntMonth!$B:$B,S$4))</f>
        <v/>
      </c>
    </row>
    <row r="18">
      <c r="A18" s="3">
        <f>IF(INDEX(Data_Contracts!$A:$A,14+1)="","",INDEX(Data_Contracts!$A:$A,14+1))</f>
        <v/>
      </c>
      <c r="B18" s="30">
        <f>IF(INDEX(Data_Contracts!$C:$C,14+1)="","",INDEX(Data_Contracts!$C:$C,14+1))</f>
        <v/>
      </c>
      <c r="C18" s="30">
        <f>IF(INDEX(Data_Contracts!$D:$D,14+1)="","",INDEX(Data_Contracts!$D:$D,14+1))</f>
        <v/>
      </c>
      <c r="D18" s="31">
        <f>IF(INDEX(Data_Contracts!$E:$E,14+1)="","",INDEX(Data_Contracts!$E:$E,14+1))</f>
        <v/>
      </c>
      <c r="E18" s="26">
        <f>IF(INDEX(Data_Contracts!$F:$F,14+1)="","",INDEX(Data_Contracts!$F:$F,14+1))</f>
        <v/>
      </c>
      <c r="F18" s="25">
        <f>IF(OR($A18="",N($D18)=0),"",S18/$D18)</f>
        <v/>
      </c>
      <c r="G18" s="31">
        <f>IF($A18="","",SUMIFS(Data_EntMonth!$F:$F,Data_EntMonth!$A:$A,$A18,Data_EntMonth!$B:$B,S$4))</f>
        <v/>
      </c>
      <c r="H18" s="31">
        <f>IF($A18="","",SUMIFS(Data_EntMonth!$D:$D,Data_EntMonth!$A:$A,$A18,Data_EntMonth!$B:$B,H$4))</f>
        <v/>
      </c>
      <c r="I18" s="31">
        <f>IF($A18="","",SUMIFS(Data_EntMonth!$D:$D,Data_EntMonth!$A:$A,$A18,Data_EntMonth!$B:$B,I$4))</f>
        <v/>
      </c>
      <c r="J18" s="31">
        <f>IF($A18="","",SUMIFS(Data_EntMonth!$D:$D,Data_EntMonth!$A:$A,$A18,Data_EntMonth!$B:$B,J$4))</f>
        <v/>
      </c>
      <c r="K18" s="31">
        <f>IF($A18="","",SUMIFS(Data_EntMonth!$D:$D,Data_EntMonth!$A:$A,$A18,Data_EntMonth!$B:$B,K$4))</f>
        <v/>
      </c>
      <c r="L18" s="31">
        <f>IF($A18="","",SUMIFS(Data_EntMonth!$D:$D,Data_EntMonth!$A:$A,$A18,Data_EntMonth!$B:$B,L$4))</f>
        <v/>
      </c>
      <c r="M18" s="31">
        <f>IF($A18="","",SUMIFS(Data_EntMonth!$D:$D,Data_EntMonth!$A:$A,$A18,Data_EntMonth!$B:$B,M$4))</f>
        <v/>
      </c>
      <c r="N18" s="31">
        <f>IF($A18="","",SUMIFS(Data_EntMonth!$D:$D,Data_EntMonth!$A:$A,$A18,Data_EntMonth!$B:$B,N$4))</f>
        <v/>
      </c>
      <c r="O18" s="31">
        <f>IF($A18="","",SUMIFS(Data_EntMonth!$D:$D,Data_EntMonth!$A:$A,$A18,Data_EntMonth!$B:$B,O$4))</f>
        <v/>
      </c>
      <c r="P18" s="31">
        <f>IF($A18="","",SUMIFS(Data_EntMonth!$D:$D,Data_EntMonth!$A:$A,$A18,Data_EntMonth!$B:$B,P$4))</f>
        <v/>
      </c>
      <c r="Q18" s="31">
        <f>IF($A18="","",SUMIFS(Data_EntMonth!$D:$D,Data_EntMonth!$A:$A,$A18,Data_EntMonth!$B:$B,Q$4))</f>
        <v/>
      </c>
      <c r="R18" s="31">
        <f>IF($A18="","",SUMIFS(Data_EntMonth!$D:$D,Data_EntMonth!$A:$A,$A18,Data_EntMonth!$B:$B,R$4))</f>
        <v/>
      </c>
      <c r="S18" s="31">
        <f>IF($A18="","",SUMIFS(Data_EntMonth!$D:$D,Data_EntMonth!$A:$A,$A18,Data_EntMonth!$B:$B,S$4))</f>
        <v/>
      </c>
    </row>
    <row r="19">
      <c r="A19" s="3">
        <f>IF(INDEX(Data_Contracts!$A:$A,15+1)="","",INDEX(Data_Contracts!$A:$A,15+1))</f>
        <v/>
      </c>
      <c r="B19" s="30">
        <f>IF(INDEX(Data_Contracts!$C:$C,15+1)="","",INDEX(Data_Contracts!$C:$C,15+1))</f>
        <v/>
      </c>
      <c r="C19" s="30">
        <f>IF(INDEX(Data_Contracts!$D:$D,15+1)="","",INDEX(Data_Contracts!$D:$D,15+1))</f>
        <v/>
      </c>
      <c r="D19" s="31">
        <f>IF(INDEX(Data_Contracts!$E:$E,15+1)="","",INDEX(Data_Contracts!$E:$E,15+1))</f>
        <v/>
      </c>
      <c r="E19" s="26">
        <f>IF(INDEX(Data_Contracts!$F:$F,15+1)="","",INDEX(Data_Contracts!$F:$F,15+1))</f>
        <v/>
      </c>
      <c r="F19" s="25">
        <f>IF(OR($A19="",N($D19)=0),"",S19/$D19)</f>
        <v/>
      </c>
      <c r="G19" s="31">
        <f>IF($A19="","",SUMIFS(Data_EntMonth!$F:$F,Data_EntMonth!$A:$A,$A19,Data_EntMonth!$B:$B,S$4))</f>
        <v/>
      </c>
      <c r="H19" s="31">
        <f>IF($A19="","",SUMIFS(Data_EntMonth!$D:$D,Data_EntMonth!$A:$A,$A19,Data_EntMonth!$B:$B,H$4))</f>
        <v/>
      </c>
      <c r="I19" s="31">
        <f>IF($A19="","",SUMIFS(Data_EntMonth!$D:$D,Data_EntMonth!$A:$A,$A19,Data_EntMonth!$B:$B,I$4))</f>
        <v/>
      </c>
      <c r="J19" s="31">
        <f>IF($A19="","",SUMIFS(Data_EntMonth!$D:$D,Data_EntMonth!$A:$A,$A19,Data_EntMonth!$B:$B,J$4))</f>
        <v/>
      </c>
      <c r="K19" s="31">
        <f>IF($A19="","",SUMIFS(Data_EntMonth!$D:$D,Data_EntMonth!$A:$A,$A19,Data_EntMonth!$B:$B,K$4))</f>
        <v/>
      </c>
      <c r="L19" s="31">
        <f>IF($A19="","",SUMIFS(Data_EntMonth!$D:$D,Data_EntMonth!$A:$A,$A19,Data_EntMonth!$B:$B,L$4))</f>
        <v/>
      </c>
      <c r="M19" s="31">
        <f>IF($A19="","",SUMIFS(Data_EntMonth!$D:$D,Data_EntMonth!$A:$A,$A19,Data_EntMonth!$B:$B,M$4))</f>
        <v/>
      </c>
      <c r="N19" s="31">
        <f>IF($A19="","",SUMIFS(Data_EntMonth!$D:$D,Data_EntMonth!$A:$A,$A19,Data_EntMonth!$B:$B,N$4))</f>
        <v/>
      </c>
      <c r="O19" s="31">
        <f>IF($A19="","",SUMIFS(Data_EntMonth!$D:$D,Data_EntMonth!$A:$A,$A19,Data_EntMonth!$B:$B,O$4))</f>
        <v/>
      </c>
      <c r="P19" s="31">
        <f>IF($A19="","",SUMIFS(Data_EntMonth!$D:$D,Data_EntMonth!$A:$A,$A19,Data_EntMonth!$B:$B,P$4))</f>
        <v/>
      </c>
      <c r="Q19" s="31">
        <f>IF($A19="","",SUMIFS(Data_EntMonth!$D:$D,Data_EntMonth!$A:$A,$A19,Data_EntMonth!$B:$B,Q$4))</f>
        <v/>
      </c>
      <c r="R19" s="31">
        <f>IF($A19="","",SUMIFS(Data_EntMonth!$D:$D,Data_EntMonth!$A:$A,$A19,Data_EntMonth!$B:$B,R$4))</f>
        <v/>
      </c>
      <c r="S19" s="31">
        <f>IF($A19="","",SUMIFS(Data_EntMonth!$D:$D,Data_EntMonth!$A:$A,$A19,Data_EntMonth!$B:$B,S$4))</f>
        <v/>
      </c>
    </row>
    <row r="20">
      <c r="A20" s="3">
        <f>IF(INDEX(Data_Contracts!$A:$A,16+1)="","",INDEX(Data_Contracts!$A:$A,16+1))</f>
        <v/>
      </c>
      <c r="B20" s="30">
        <f>IF(INDEX(Data_Contracts!$C:$C,16+1)="","",INDEX(Data_Contracts!$C:$C,16+1))</f>
        <v/>
      </c>
      <c r="C20" s="30">
        <f>IF(INDEX(Data_Contracts!$D:$D,16+1)="","",INDEX(Data_Contracts!$D:$D,16+1))</f>
        <v/>
      </c>
      <c r="D20" s="31">
        <f>IF(INDEX(Data_Contracts!$E:$E,16+1)="","",INDEX(Data_Contracts!$E:$E,16+1))</f>
        <v/>
      </c>
      <c r="E20" s="26">
        <f>IF(INDEX(Data_Contracts!$F:$F,16+1)="","",INDEX(Data_Contracts!$F:$F,16+1))</f>
        <v/>
      </c>
      <c r="F20" s="25">
        <f>IF(OR($A20="",N($D20)=0),"",S20/$D20)</f>
        <v/>
      </c>
      <c r="G20" s="31">
        <f>IF($A20="","",SUMIFS(Data_EntMonth!$F:$F,Data_EntMonth!$A:$A,$A20,Data_EntMonth!$B:$B,S$4))</f>
        <v/>
      </c>
      <c r="H20" s="31">
        <f>IF($A20="","",SUMIFS(Data_EntMonth!$D:$D,Data_EntMonth!$A:$A,$A20,Data_EntMonth!$B:$B,H$4))</f>
        <v/>
      </c>
      <c r="I20" s="31">
        <f>IF($A20="","",SUMIFS(Data_EntMonth!$D:$D,Data_EntMonth!$A:$A,$A20,Data_EntMonth!$B:$B,I$4))</f>
        <v/>
      </c>
      <c r="J20" s="31">
        <f>IF($A20="","",SUMIFS(Data_EntMonth!$D:$D,Data_EntMonth!$A:$A,$A20,Data_EntMonth!$B:$B,J$4))</f>
        <v/>
      </c>
      <c r="K20" s="31">
        <f>IF($A20="","",SUMIFS(Data_EntMonth!$D:$D,Data_EntMonth!$A:$A,$A20,Data_EntMonth!$B:$B,K$4))</f>
        <v/>
      </c>
      <c r="L20" s="31">
        <f>IF($A20="","",SUMIFS(Data_EntMonth!$D:$D,Data_EntMonth!$A:$A,$A20,Data_EntMonth!$B:$B,L$4))</f>
        <v/>
      </c>
      <c r="M20" s="31">
        <f>IF($A20="","",SUMIFS(Data_EntMonth!$D:$D,Data_EntMonth!$A:$A,$A20,Data_EntMonth!$B:$B,M$4))</f>
        <v/>
      </c>
      <c r="N20" s="31">
        <f>IF($A20="","",SUMIFS(Data_EntMonth!$D:$D,Data_EntMonth!$A:$A,$A20,Data_EntMonth!$B:$B,N$4))</f>
        <v/>
      </c>
      <c r="O20" s="31">
        <f>IF($A20="","",SUMIFS(Data_EntMonth!$D:$D,Data_EntMonth!$A:$A,$A20,Data_EntMonth!$B:$B,O$4))</f>
        <v/>
      </c>
      <c r="P20" s="31">
        <f>IF($A20="","",SUMIFS(Data_EntMonth!$D:$D,Data_EntMonth!$A:$A,$A20,Data_EntMonth!$B:$B,P$4))</f>
        <v/>
      </c>
      <c r="Q20" s="31">
        <f>IF($A20="","",SUMIFS(Data_EntMonth!$D:$D,Data_EntMonth!$A:$A,$A20,Data_EntMonth!$B:$B,Q$4))</f>
        <v/>
      </c>
      <c r="R20" s="31">
        <f>IF($A20="","",SUMIFS(Data_EntMonth!$D:$D,Data_EntMonth!$A:$A,$A20,Data_EntMonth!$B:$B,R$4))</f>
        <v/>
      </c>
      <c r="S20" s="31">
        <f>IF($A20="","",SUMIFS(Data_EntMonth!$D:$D,Data_EntMonth!$A:$A,$A20,Data_EntMonth!$B:$B,S$4))</f>
        <v/>
      </c>
    </row>
    <row r="21">
      <c r="A21" s="3">
        <f>IF(INDEX(Data_Contracts!$A:$A,17+1)="","",INDEX(Data_Contracts!$A:$A,17+1))</f>
        <v/>
      </c>
      <c r="B21" s="30">
        <f>IF(INDEX(Data_Contracts!$C:$C,17+1)="","",INDEX(Data_Contracts!$C:$C,17+1))</f>
        <v/>
      </c>
      <c r="C21" s="30">
        <f>IF(INDEX(Data_Contracts!$D:$D,17+1)="","",INDEX(Data_Contracts!$D:$D,17+1))</f>
        <v/>
      </c>
      <c r="D21" s="31">
        <f>IF(INDEX(Data_Contracts!$E:$E,17+1)="","",INDEX(Data_Contracts!$E:$E,17+1))</f>
        <v/>
      </c>
      <c r="E21" s="26">
        <f>IF(INDEX(Data_Contracts!$F:$F,17+1)="","",INDEX(Data_Contracts!$F:$F,17+1))</f>
        <v/>
      </c>
      <c r="F21" s="25">
        <f>IF(OR($A21="",N($D21)=0),"",S21/$D21)</f>
        <v/>
      </c>
      <c r="G21" s="31">
        <f>IF($A21="","",SUMIFS(Data_EntMonth!$F:$F,Data_EntMonth!$A:$A,$A21,Data_EntMonth!$B:$B,S$4))</f>
        <v/>
      </c>
      <c r="H21" s="31">
        <f>IF($A21="","",SUMIFS(Data_EntMonth!$D:$D,Data_EntMonth!$A:$A,$A21,Data_EntMonth!$B:$B,H$4))</f>
        <v/>
      </c>
      <c r="I21" s="31">
        <f>IF($A21="","",SUMIFS(Data_EntMonth!$D:$D,Data_EntMonth!$A:$A,$A21,Data_EntMonth!$B:$B,I$4))</f>
        <v/>
      </c>
      <c r="J21" s="31">
        <f>IF($A21="","",SUMIFS(Data_EntMonth!$D:$D,Data_EntMonth!$A:$A,$A21,Data_EntMonth!$B:$B,J$4))</f>
        <v/>
      </c>
      <c r="K21" s="31">
        <f>IF($A21="","",SUMIFS(Data_EntMonth!$D:$D,Data_EntMonth!$A:$A,$A21,Data_EntMonth!$B:$B,K$4))</f>
        <v/>
      </c>
      <c r="L21" s="31">
        <f>IF($A21="","",SUMIFS(Data_EntMonth!$D:$D,Data_EntMonth!$A:$A,$A21,Data_EntMonth!$B:$B,L$4))</f>
        <v/>
      </c>
      <c r="M21" s="31">
        <f>IF($A21="","",SUMIFS(Data_EntMonth!$D:$D,Data_EntMonth!$A:$A,$A21,Data_EntMonth!$B:$B,M$4))</f>
        <v/>
      </c>
      <c r="N21" s="31">
        <f>IF($A21="","",SUMIFS(Data_EntMonth!$D:$D,Data_EntMonth!$A:$A,$A21,Data_EntMonth!$B:$B,N$4))</f>
        <v/>
      </c>
      <c r="O21" s="31">
        <f>IF($A21="","",SUMIFS(Data_EntMonth!$D:$D,Data_EntMonth!$A:$A,$A21,Data_EntMonth!$B:$B,O$4))</f>
        <v/>
      </c>
      <c r="P21" s="31">
        <f>IF($A21="","",SUMIFS(Data_EntMonth!$D:$D,Data_EntMonth!$A:$A,$A21,Data_EntMonth!$B:$B,P$4))</f>
        <v/>
      </c>
      <c r="Q21" s="31">
        <f>IF($A21="","",SUMIFS(Data_EntMonth!$D:$D,Data_EntMonth!$A:$A,$A21,Data_EntMonth!$B:$B,Q$4))</f>
        <v/>
      </c>
      <c r="R21" s="31">
        <f>IF($A21="","",SUMIFS(Data_EntMonth!$D:$D,Data_EntMonth!$A:$A,$A21,Data_EntMonth!$B:$B,R$4))</f>
        <v/>
      </c>
      <c r="S21" s="31">
        <f>IF($A21="","",SUMIFS(Data_EntMonth!$D:$D,Data_EntMonth!$A:$A,$A21,Data_EntMonth!$B:$B,S$4))</f>
        <v/>
      </c>
    </row>
    <row r="22">
      <c r="A22" s="3">
        <f>IF(INDEX(Data_Contracts!$A:$A,18+1)="","",INDEX(Data_Contracts!$A:$A,18+1))</f>
        <v/>
      </c>
      <c r="B22" s="30">
        <f>IF(INDEX(Data_Contracts!$C:$C,18+1)="","",INDEX(Data_Contracts!$C:$C,18+1))</f>
        <v/>
      </c>
      <c r="C22" s="30">
        <f>IF(INDEX(Data_Contracts!$D:$D,18+1)="","",INDEX(Data_Contracts!$D:$D,18+1))</f>
        <v/>
      </c>
      <c r="D22" s="31">
        <f>IF(INDEX(Data_Contracts!$E:$E,18+1)="","",INDEX(Data_Contracts!$E:$E,18+1))</f>
        <v/>
      </c>
      <c r="E22" s="26">
        <f>IF(INDEX(Data_Contracts!$F:$F,18+1)="","",INDEX(Data_Contracts!$F:$F,18+1))</f>
        <v/>
      </c>
      <c r="F22" s="25">
        <f>IF(OR($A22="",N($D22)=0),"",S22/$D22)</f>
        <v/>
      </c>
      <c r="G22" s="31">
        <f>IF($A22="","",SUMIFS(Data_EntMonth!$F:$F,Data_EntMonth!$A:$A,$A22,Data_EntMonth!$B:$B,S$4))</f>
        <v/>
      </c>
      <c r="H22" s="31">
        <f>IF($A22="","",SUMIFS(Data_EntMonth!$D:$D,Data_EntMonth!$A:$A,$A22,Data_EntMonth!$B:$B,H$4))</f>
        <v/>
      </c>
      <c r="I22" s="31">
        <f>IF($A22="","",SUMIFS(Data_EntMonth!$D:$D,Data_EntMonth!$A:$A,$A22,Data_EntMonth!$B:$B,I$4))</f>
        <v/>
      </c>
      <c r="J22" s="31">
        <f>IF($A22="","",SUMIFS(Data_EntMonth!$D:$D,Data_EntMonth!$A:$A,$A22,Data_EntMonth!$B:$B,J$4))</f>
        <v/>
      </c>
      <c r="K22" s="31">
        <f>IF($A22="","",SUMIFS(Data_EntMonth!$D:$D,Data_EntMonth!$A:$A,$A22,Data_EntMonth!$B:$B,K$4))</f>
        <v/>
      </c>
      <c r="L22" s="31">
        <f>IF($A22="","",SUMIFS(Data_EntMonth!$D:$D,Data_EntMonth!$A:$A,$A22,Data_EntMonth!$B:$B,L$4))</f>
        <v/>
      </c>
      <c r="M22" s="31">
        <f>IF($A22="","",SUMIFS(Data_EntMonth!$D:$D,Data_EntMonth!$A:$A,$A22,Data_EntMonth!$B:$B,M$4))</f>
        <v/>
      </c>
      <c r="N22" s="31">
        <f>IF($A22="","",SUMIFS(Data_EntMonth!$D:$D,Data_EntMonth!$A:$A,$A22,Data_EntMonth!$B:$B,N$4))</f>
        <v/>
      </c>
      <c r="O22" s="31">
        <f>IF($A22="","",SUMIFS(Data_EntMonth!$D:$D,Data_EntMonth!$A:$A,$A22,Data_EntMonth!$B:$B,O$4))</f>
        <v/>
      </c>
      <c r="P22" s="31">
        <f>IF($A22="","",SUMIFS(Data_EntMonth!$D:$D,Data_EntMonth!$A:$A,$A22,Data_EntMonth!$B:$B,P$4))</f>
        <v/>
      </c>
      <c r="Q22" s="31">
        <f>IF($A22="","",SUMIFS(Data_EntMonth!$D:$D,Data_EntMonth!$A:$A,$A22,Data_EntMonth!$B:$B,Q$4))</f>
        <v/>
      </c>
      <c r="R22" s="31">
        <f>IF($A22="","",SUMIFS(Data_EntMonth!$D:$D,Data_EntMonth!$A:$A,$A22,Data_EntMonth!$B:$B,R$4))</f>
        <v/>
      </c>
      <c r="S22" s="31">
        <f>IF($A22="","",SUMIFS(Data_EntMonth!$D:$D,Data_EntMonth!$A:$A,$A22,Data_EntMonth!$B:$B,S$4))</f>
        <v/>
      </c>
    </row>
    <row r="23">
      <c r="A23" s="3">
        <f>IF(INDEX(Data_Contracts!$A:$A,19+1)="","",INDEX(Data_Contracts!$A:$A,19+1))</f>
        <v/>
      </c>
      <c r="B23" s="30">
        <f>IF(INDEX(Data_Contracts!$C:$C,19+1)="","",INDEX(Data_Contracts!$C:$C,19+1))</f>
        <v/>
      </c>
      <c r="C23" s="30">
        <f>IF(INDEX(Data_Contracts!$D:$D,19+1)="","",INDEX(Data_Contracts!$D:$D,19+1))</f>
        <v/>
      </c>
      <c r="D23" s="31">
        <f>IF(INDEX(Data_Contracts!$E:$E,19+1)="","",INDEX(Data_Contracts!$E:$E,19+1))</f>
        <v/>
      </c>
      <c r="E23" s="26">
        <f>IF(INDEX(Data_Contracts!$F:$F,19+1)="","",INDEX(Data_Contracts!$F:$F,19+1))</f>
        <v/>
      </c>
      <c r="F23" s="25">
        <f>IF(OR($A23="",N($D23)=0),"",S23/$D23)</f>
        <v/>
      </c>
      <c r="G23" s="31">
        <f>IF($A23="","",SUMIFS(Data_EntMonth!$F:$F,Data_EntMonth!$A:$A,$A23,Data_EntMonth!$B:$B,S$4))</f>
        <v/>
      </c>
      <c r="H23" s="31">
        <f>IF($A23="","",SUMIFS(Data_EntMonth!$D:$D,Data_EntMonth!$A:$A,$A23,Data_EntMonth!$B:$B,H$4))</f>
        <v/>
      </c>
      <c r="I23" s="31">
        <f>IF($A23="","",SUMIFS(Data_EntMonth!$D:$D,Data_EntMonth!$A:$A,$A23,Data_EntMonth!$B:$B,I$4))</f>
        <v/>
      </c>
      <c r="J23" s="31">
        <f>IF($A23="","",SUMIFS(Data_EntMonth!$D:$D,Data_EntMonth!$A:$A,$A23,Data_EntMonth!$B:$B,J$4))</f>
        <v/>
      </c>
      <c r="K23" s="31">
        <f>IF($A23="","",SUMIFS(Data_EntMonth!$D:$D,Data_EntMonth!$A:$A,$A23,Data_EntMonth!$B:$B,K$4))</f>
        <v/>
      </c>
      <c r="L23" s="31">
        <f>IF($A23="","",SUMIFS(Data_EntMonth!$D:$D,Data_EntMonth!$A:$A,$A23,Data_EntMonth!$B:$B,L$4))</f>
        <v/>
      </c>
      <c r="M23" s="31">
        <f>IF($A23="","",SUMIFS(Data_EntMonth!$D:$D,Data_EntMonth!$A:$A,$A23,Data_EntMonth!$B:$B,M$4))</f>
        <v/>
      </c>
      <c r="N23" s="31">
        <f>IF($A23="","",SUMIFS(Data_EntMonth!$D:$D,Data_EntMonth!$A:$A,$A23,Data_EntMonth!$B:$B,N$4))</f>
        <v/>
      </c>
      <c r="O23" s="31">
        <f>IF($A23="","",SUMIFS(Data_EntMonth!$D:$D,Data_EntMonth!$A:$A,$A23,Data_EntMonth!$B:$B,O$4))</f>
        <v/>
      </c>
      <c r="P23" s="31">
        <f>IF($A23="","",SUMIFS(Data_EntMonth!$D:$D,Data_EntMonth!$A:$A,$A23,Data_EntMonth!$B:$B,P$4))</f>
        <v/>
      </c>
      <c r="Q23" s="31">
        <f>IF($A23="","",SUMIFS(Data_EntMonth!$D:$D,Data_EntMonth!$A:$A,$A23,Data_EntMonth!$B:$B,Q$4))</f>
        <v/>
      </c>
      <c r="R23" s="31">
        <f>IF($A23="","",SUMIFS(Data_EntMonth!$D:$D,Data_EntMonth!$A:$A,$A23,Data_EntMonth!$B:$B,R$4))</f>
        <v/>
      </c>
      <c r="S23" s="31">
        <f>IF($A23="","",SUMIFS(Data_EntMonth!$D:$D,Data_EntMonth!$A:$A,$A23,Data_EntMonth!$B:$B,S$4))</f>
        <v/>
      </c>
    </row>
    <row r="24">
      <c r="A24" s="3">
        <f>IF(INDEX(Data_Contracts!$A:$A,20+1)="","",INDEX(Data_Contracts!$A:$A,20+1))</f>
        <v/>
      </c>
      <c r="B24" s="30">
        <f>IF(INDEX(Data_Contracts!$C:$C,20+1)="","",INDEX(Data_Contracts!$C:$C,20+1))</f>
        <v/>
      </c>
      <c r="C24" s="30">
        <f>IF(INDEX(Data_Contracts!$D:$D,20+1)="","",INDEX(Data_Contracts!$D:$D,20+1))</f>
        <v/>
      </c>
      <c r="D24" s="31">
        <f>IF(INDEX(Data_Contracts!$E:$E,20+1)="","",INDEX(Data_Contracts!$E:$E,20+1))</f>
        <v/>
      </c>
      <c r="E24" s="26">
        <f>IF(INDEX(Data_Contracts!$F:$F,20+1)="","",INDEX(Data_Contracts!$F:$F,20+1))</f>
        <v/>
      </c>
      <c r="F24" s="25">
        <f>IF(OR($A24="",N($D24)=0),"",S24/$D24)</f>
        <v/>
      </c>
      <c r="G24" s="31">
        <f>IF($A24="","",SUMIFS(Data_EntMonth!$F:$F,Data_EntMonth!$A:$A,$A24,Data_EntMonth!$B:$B,S$4))</f>
        <v/>
      </c>
      <c r="H24" s="31">
        <f>IF($A24="","",SUMIFS(Data_EntMonth!$D:$D,Data_EntMonth!$A:$A,$A24,Data_EntMonth!$B:$B,H$4))</f>
        <v/>
      </c>
      <c r="I24" s="31">
        <f>IF($A24="","",SUMIFS(Data_EntMonth!$D:$D,Data_EntMonth!$A:$A,$A24,Data_EntMonth!$B:$B,I$4))</f>
        <v/>
      </c>
      <c r="J24" s="31">
        <f>IF($A24="","",SUMIFS(Data_EntMonth!$D:$D,Data_EntMonth!$A:$A,$A24,Data_EntMonth!$B:$B,J$4))</f>
        <v/>
      </c>
      <c r="K24" s="31">
        <f>IF($A24="","",SUMIFS(Data_EntMonth!$D:$D,Data_EntMonth!$A:$A,$A24,Data_EntMonth!$B:$B,K$4))</f>
        <v/>
      </c>
      <c r="L24" s="31">
        <f>IF($A24="","",SUMIFS(Data_EntMonth!$D:$D,Data_EntMonth!$A:$A,$A24,Data_EntMonth!$B:$B,L$4))</f>
        <v/>
      </c>
      <c r="M24" s="31">
        <f>IF($A24="","",SUMIFS(Data_EntMonth!$D:$D,Data_EntMonth!$A:$A,$A24,Data_EntMonth!$B:$B,M$4))</f>
        <v/>
      </c>
      <c r="N24" s="31">
        <f>IF($A24="","",SUMIFS(Data_EntMonth!$D:$D,Data_EntMonth!$A:$A,$A24,Data_EntMonth!$B:$B,N$4))</f>
        <v/>
      </c>
      <c r="O24" s="31">
        <f>IF($A24="","",SUMIFS(Data_EntMonth!$D:$D,Data_EntMonth!$A:$A,$A24,Data_EntMonth!$B:$B,O$4))</f>
        <v/>
      </c>
      <c r="P24" s="31">
        <f>IF($A24="","",SUMIFS(Data_EntMonth!$D:$D,Data_EntMonth!$A:$A,$A24,Data_EntMonth!$B:$B,P$4))</f>
        <v/>
      </c>
      <c r="Q24" s="31">
        <f>IF($A24="","",SUMIFS(Data_EntMonth!$D:$D,Data_EntMonth!$A:$A,$A24,Data_EntMonth!$B:$B,Q$4))</f>
        <v/>
      </c>
      <c r="R24" s="31">
        <f>IF($A24="","",SUMIFS(Data_EntMonth!$D:$D,Data_EntMonth!$A:$A,$A24,Data_EntMonth!$B:$B,R$4))</f>
        <v/>
      </c>
      <c r="S24" s="31">
        <f>IF($A24="","",SUMIFS(Data_EntMonth!$D:$D,Data_EntMonth!$A:$A,$A24,Data_EntMonth!$B:$B,S$4))</f>
        <v/>
      </c>
    </row>
    <row r="25">
      <c r="A25" s="3">
        <f>IF(INDEX(Data_Contracts!$A:$A,21+1)="","",INDEX(Data_Contracts!$A:$A,21+1))</f>
        <v/>
      </c>
      <c r="B25" s="30">
        <f>IF(INDEX(Data_Contracts!$C:$C,21+1)="","",INDEX(Data_Contracts!$C:$C,21+1))</f>
        <v/>
      </c>
      <c r="C25" s="30">
        <f>IF(INDEX(Data_Contracts!$D:$D,21+1)="","",INDEX(Data_Contracts!$D:$D,21+1))</f>
        <v/>
      </c>
      <c r="D25" s="31">
        <f>IF(INDEX(Data_Contracts!$E:$E,21+1)="","",INDEX(Data_Contracts!$E:$E,21+1))</f>
        <v/>
      </c>
      <c r="E25" s="26">
        <f>IF(INDEX(Data_Contracts!$F:$F,21+1)="","",INDEX(Data_Contracts!$F:$F,21+1))</f>
        <v/>
      </c>
      <c r="F25" s="25">
        <f>IF(OR($A25="",N($D25)=0),"",S25/$D25)</f>
        <v/>
      </c>
      <c r="G25" s="31">
        <f>IF($A25="","",SUMIFS(Data_EntMonth!$F:$F,Data_EntMonth!$A:$A,$A25,Data_EntMonth!$B:$B,S$4))</f>
        <v/>
      </c>
      <c r="H25" s="31">
        <f>IF($A25="","",SUMIFS(Data_EntMonth!$D:$D,Data_EntMonth!$A:$A,$A25,Data_EntMonth!$B:$B,H$4))</f>
        <v/>
      </c>
      <c r="I25" s="31">
        <f>IF($A25="","",SUMIFS(Data_EntMonth!$D:$D,Data_EntMonth!$A:$A,$A25,Data_EntMonth!$B:$B,I$4))</f>
        <v/>
      </c>
      <c r="J25" s="31">
        <f>IF($A25="","",SUMIFS(Data_EntMonth!$D:$D,Data_EntMonth!$A:$A,$A25,Data_EntMonth!$B:$B,J$4))</f>
        <v/>
      </c>
      <c r="K25" s="31">
        <f>IF($A25="","",SUMIFS(Data_EntMonth!$D:$D,Data_EntMonth!$A:$A,$A25,Data_EntMonth!$B:$B,K$4))</f>
        <v/>
      </c>
      <c r="L25" s="31">
        <f>IF($A25="","",SUMIFS(Data_EntMonth!$D:$D,Data_EntMonth!$A:$A,$A25,Data_EntMonth!$B:$B,L$4))</f>
        <v/>
      </c>
      <c r="M25" s="31">
        <f>IF($A25="","",SUMIFS(Data_EntMonth!$D:$D,Data_EntMonth!$A:$A,$A25,Data_EntMonth!$B:$B,M$4))</f>
        <v/>
      </c>
      <c r="N25" s="31">
        <f>IF($A25="","",SUMIFS(Data_EntMonth!$D:$D,Data_EntMonth!$A:$A,$A25,Data_EntMonth!$B:$B,N$4))</f>
        <v/>
      </c>
      <c r="O25" s="31">
        <f>IF($A25="","",SUMIFS(Data_EntMonth!$D:$D,Data_EntMonth!$A:$A,$A25,Data_EntMonth!$B:$B,O$4))</f>
        <v/>
      </c>
      <c r="P25" s="31">
        <f>IF($A25="","",SUMIFS(Data_EntMonth!$D:$D,Data_EntMonth!$A:$A,$A25,Data_EntMonth!$B:$B,P$4))</f>
        <v/>
      </c>
      <c r="Q25" s="31">
        <f>IF($A25="","",SUMIFS(Data_EntMonth!$D:$D,Data_EntMonth!$A:$A,$A25,Data_EntMonth!$B:$B,Q$4))</f>
        <v/>
      </c>
      <c r="R25" s="31">
        <f>IF($A25="","",SUMIFS(Data_EntMonth!$D:$D,Data_EntMonth!$A:$A,$A25,Data_EntMonth!$B:$B,R$4))</f>
        <v/>
      </c>
      <c r="S25" s="31">
        <f>IF($A25="","",SUMIFS(Data_EntMonth!$D:$D,Data_EntMonth!$A:$A,$A25,Data_EntMonth!$B:$B,S$4))</f>
        <v/>
      </c>
    </row>
    <row r="26">
      <c r="A26" s="3">
        <f>IF(INDEX(Data_Contracts!$A:$A,22+1)="","",INDEX(Data_Contracts!$A:$A,22+1))</f>
        <v/>
      </c>
      <c r="B26" s="30">
        <f>IF(INDEX(Data_Contracts!$C:$C,22+1)="","",INDEX(Data_Contracts!$C:$C,22+1))</f>
        <v/>
      </c>
      <c r="C26" s="30">
        <f>IF(INDEX(Data_Contracts!$D:$D,22+1)="","",INDEX(Data_Contracts!$D:$D,22+1))</f>
        <v/>
      </c>
      <c r="D26" s="31">
        <f>IF(INDEX(Data_Contracts!$E:$E,22+1)="","",INDEX(Data_Contracts!$E:$E,22+1))</f>
        <v/>
      </c>
      <c r="E26" s="26">
        <f>IF(INDEX(Data_Contracts!$F:$F,22+1)="","",INDEX(Data_Contracts!$F:$F,22+1))</f>
        <v/>
      </c>
      <c r="F26" s="25">
        <f>IF(OR($A26="",N($D26)=0),"",S26/$D26)</f>
        <v/>
      </c>
      <c r="G26" s="31">
        <f>IF($A26="","",SUMIFS(Data_EntMonth!$F:$F,Data_EntMonth!$A:$A,$A26,Data_EntMonth!$B:$B,S$4))</f>
        <v/>
      </c>
      <c r="H26" s="31">
        <f>IF($A26="","",SUMIFS(Data_EntMonth!$D:$D,Data_EntMonth!$A:$A,$A26,Data_EntMonth!$B:$B,H$4))</f>
        <v/>
      </c>
      <c r="I26" s="31">
        <f>IF($A26="","",SUMIFS(Data_EntMonth!$D:$D,Data_EntMonth!$A:$A,$A26,Data_EntMonth!$B:$B,I$4))</f>
        <v/>
      </c>
      <c r="J26" s="31">
        <f>IF($A26="","",SUMIFS(Data_EntMonth!$D:$D,Data_EntMonth!$A:$A,$A26,Data_EntMonth!$B:$B,J$4))</f>
        <v/>
      </c>
      <c r="K26" s="31">
        <f>IF($A26="","",SUMIFS(Data_EntMonth!$D:$D,Data_EntMonth!$A:$A,$A26,Data_EntMonth!$B:$B,K$4))</f>
        <v/>
      </c>
      <c r="L26" s="31">
        <f>IF($A26="","",SUMIFS(Data_EntMonth!$D:$D,Data_EntMonth!$A:$A,$A26,Data_EntMonth!$B:$B,L$4))</f>
        <v/>
      </c>
      <c r="M26" s="31">
        <f>IF($A26="","",SUMIFS(Data_EntMonth!$D:$D,Data_EntMonth!$A:$A,$A26,Data_EntMonth!$B:$B,M$4))</f>
        <v/>
      </c>
      <c r="N26" s="31">
        <f>IF($A26="","",SUMIFS(Data_EntMonth!$D:$D,Data_EntMonth!$A:$A,$A26,Data_EntMonth!$B:$B,N$4))</f>
        <v/>
      </c>
      <c r="O26" s="31">
        <f>IF($A26="","",SUMIFS(Data_EntMonth!$D:$D,Data_EntMonth!$A:$A,$A26,Data_EntMonth!$B:$B,O$4))</f>
        <v/>
      </c>
      <c r="P26" s="31">
        <f>IF($A26="","",SUMIFS(Data_EntMonth!$D:$D,Data_EntMonth!$A:$A,$A26,Data_EntMonth!$B:$B,P$4))</f>
        <v/>
      </c>
      <c r="Q26" s="31">
        <f>IF($A26="","",SUMIFS(Data_EntMonth!$D:$D,Data_EntMonth!$A:$A,$A26,Data_EntMonth!$B:$B,Q$4))</f>
        <v/>
      </c>
      <c r="R26" s="31">
        <f>IF($A26="","",SUMIFS(Data_EntMonth!$D:$D,Data_EntMonth!$A:$A,$A26,Data_EntMonth!$B:$B,R$4))</f>
        <v/>
      </c>
      <c r="S26" s="31">
        <f>IF($A26="","",SUMIFS(Data_EntMonth!$D:$D,Data_EntMonth!$A:$A,$A26,Data_EntMonth!$B:$B,S$4))</f>
        <v/>
      </c>
    </row>
    <row r="27">
      <c r="A27" s="3">
        <f>IF(INDEX(Data_Contracts!$A:$A,23+1)="","",INDEX(Data_Contracts!$A:$A,23+1))</f>
        <v/>
      </c>
      <c r="B27" s="30">
        <f>IF(INDEX(Data_Contracts!$C:$C,23+1)="","",INDEX(Data_Contracts!$C:$C,23+1))</f>
        <v/>
      </c>
      <c r="C27" s="30">
        <f>IF(INDEX(Data_Contracts!$D:$D,23+1)="","",INDEX(Data_Contracts!$D:$D,23+1))</f>
        <v/>
      </c>
      <c r="D27" s="31">
        <f>IF(INDEX(Data_Contracts!$E:$E,23+1)="","",INDEX(Data_Contracts!$E:$E,23+1))</f>
        <v/>
      </c>
      <c r="E27" s="26">
        <f>IF(INDEX(Data_Contracts!$F:$F,23+1)="","",INDEX(Data_Contracts!$F:$F,23+1))</f>
        <v/>
      </c>
      <c r="F27" s="25">
        <f>IF(OR($A27="",N($D27)=0),"",S27/$D27)</f>
        <v/>
      </c>
      <c r="G27" s="31">
        <f>IF($A27="","",SUMIFS(Data_EntMonth!$F:$F,Data_EntMonth!$A:$A,$A27,Data_EntMonth!$B:$B,S$4))</f>
        <v/>
      </c>
      <c r="H27" s="31">
        <f>IF($A27="","",SUMIFS(Data_EntMonth!$D:$D,Data_EntMonth!$A:$A,$A27,Data_EntMonth!$B:$B,H$4))</f>
        <v/>
      </c>
      <c r="I27" s="31">
        <f>IF($A27="","",SUMIFS(Data_EntMonth!$D:$D,Data_EntMonth!$A:$A,$A27,Data_EntMonth!$B:$B,I$4))</f>
        <v/>
      </c>
      <c r="J27" s="31">
        <f>IF($A27="","",SUMIFS(Data_EntMonth!$D:$D,Data_EntMonth!$A:$A,$A27,Data_EntMonth!$B:$B,J$4))</f>
        <v/>
      </c>
      <c r="K27" s="31">
        <f>IF($A27="","",SUMIFS(Data_EntMonth!$D:$D,Data_EntMonth!$A:$A,$A27,Data_EntMonth!$B:$B,K$4))</f>
        <v/>
      </c>
      <c r="L27" s="31">
        <f>IF($A27="","",SUMIFS(Data_EntMonth!$D:$D,Data_EntMonth!$A:$A,$A27,Data_EntMonth!$B:$B,L$4))</f>
        <v/>
      </c>
      <c r="M27" s="31">
        <f>IF($A27="","",SUMIFS(Data_EntMonth!$D:$D,Data_EntMonth!$A:$A,$A27,Data_EntMonth!$B:$B,M$4))</f>
        <v/>
      </c>
      <c r="N27" s="31">
        <f>IF($A27="","",SUMIFS(Data_EntMonth!$D:$D,Data_EntMonth!$A:$A,$A27,Data_EntMonth!$B:$B,N$4))</f>
        <v/>
      </c>
      <c r="O27" s="31">
        <f>IF($A27="","",SUMIFS(Data_EntMonth!$D:$D,Data_EntMonth!$A:$A,$A27,Data_EntMonth!$B:$B,O$4))</f>
        <v/>
      </c>
      <c r="P27" s="31">
        <f>IF($A27="","",SUMIFS(Data_EntMonth!$D:$D,Data_EntMonth!$A:$A,$A27,Data_EntMonth!$B:$B,P$4))</f>
        <v/>
      </c>
      <c r="Q27" s="31">
        <f>IF($A27="","",SUMIFS(Data_EntMonth!$D:$D,Data_EntMonth!$A:$A,$A27,Data_EntMonth!$B:$B,Q$4))</f>
        <v/>
      </c>
      <c r="R27" s="31">
        <f>IF($A27="","",SUMIFS(Data_EntMonth!$D:$D,Data_EntMonth!$A:$A,$A27,Data_EntMonth!$B:$B,R$4))</f>
        <v/>
      </c>
      <c r="S27" s="31">
        <f>IF($A27="","",SUMIFS(Data_EntMonth!$D:$D,Data_EntMonth!$A:$A,$A27,Data_EntMonth!$B:$B,S$4))</f>
        <v/>
      </c>
    </row>
    <row r="28">
      <c r="A28" s="3">
        <f>IF(INDEX(Data_Contracts!$A:$A,24+1)="","",INDEX(Data_Contracts!$A:$A,24+1))</f>
        <v/>
      </c>
      <c r="B28" s="30">
        <f>IF(INDEX(Data_Contracts!$C:$C,24+1)="","",INDEX(Data_Contracts!$C:$C,24+1))</f>
        <v/>
      </c>
      <c r="C28" s="30">
        <f>IF(INDEX(Data_Contracts!$D:$D,24+1)="","",INDEX(Data_Contracts!$D:$D,24+1))</f>
        <v/>
      </c>
      <c r="D28" s="31">
        <f>IF(INDEX(Data_Contracts!$E:$E,24+1)="","",INDEX(Data_Contracts!$E:$E,24+1))</f>
        <v/>
      </c>
      <c r="E28" s="26">
        <f>IF(INDEX(Data_Contracts!$F:$F,24+1)="","",INDEX(Data_Contracts!$F:$F,24+1))</f>
        <v/>
      </c>
      <c r="F28" s="25">
        <f>IF(OR($A28="",N($D28)=0),"",S28/$D28)</f>
        <v/>
      </c>
      <c r="G28" s="31">
        <f>IF($A28="","",SUMIFS(Data_EntMonth!$F:$F,Data_EntMonth!$A:$A,$A28,Data_EntMonth!$B:$B,S$4))</f>
        <v/>
      </c>
      <c r="H28" s="31">
        <f>IF($A28="","",SUMIFS(Data_EntMonth!$D:$D,Data_EntMonth!$A:$A,$A28,Data_EntMonth!$B:$B,H$4))</f>
        <v/>
      </c>
      <c r="I28" s="31">
        <f>IF($A28="","",SUMIFS(Data_EntMonth!$D:$D,Data_EntMonth!$A:$A,$A28,Data_EntMonth!$B:$B,I$4))</f>
        <v/>
      </c>
      <c r="J28" s="31">
        <f>IF($A28="","",SUMIFS(Data_EntMonth!$D:$D,Data_EntMonth!$A:$A,$A28,Data_EntMonth!$B:$B,J$4))</f>
        <v/>
      </c>
      <c r="K28" s="31">
        <f>IF($A28="","",SUMIFS(Data_EntMonth!$D:$D,Data_EntMonth!$A:$A,$A28,Data_EntMonth!$B:$B,K$4))</f>
        <v/>
      </c>
      <c r="L28" s="31">
        <f>IF($A28="","",SUMIFS(Data_EntMonth!$D:$D,Data_EntMonth!$A:$A,$A28,Data_EntMonth!$B:$B,L$4))</f>
        <v/>
      </c>
      <c r="M28" s="31">
        <f>IF($A28="","",SUMIFS(Data_EntMonth!$D:$D,Data_EntMonth!$A:$A,$A28,Data_EntMonth!$B:$B,M$4))</f>
        <v/>
      </c>
      <c r="N28" s="31">
        <f>IF($A28="","",SUMIFS(Data_EntMonth!$D:$D,Data_EntMonth!$A:$A,$A28,Data_EntMonth!$B:$B,N$4))</f>
        <v/>
      </c>
      <c r="O28" s="31">
        <f>IF($A28="","",SUMIFS(Data_EntMonth!$D:$D,Data_EntMonth!$A:$A,$A28,Data_EntMonth!$B:$B,O$4))</f>
        <v/>
      </c>
      <c r="P28" s="31">
        <f>IF($A28="","",SUMIFS(Data_EntMonth!$D:$D,Data_EntMonth!$A:$A,$A28,Data_EntMonth!$B:$B,P$4))</f>
        <v/>
      </c>
      <c r="Q28" s="31">
        <f>IF($A28="","",SUMIFS(Data_EntMonth!$D:$D,Data_EntMonth!$A:$A,$A28,Data_EntMonth!$B:$B,Q$4))</f>
        <v/>
      </c>
      <c r="R28" s="31">
        <f>IF($A28="","",SUMIFS(Data_EntMonth!$D:$D,Data_EntMonth!$A:$A,$A28,Data_EntMonth!$B:$B,R$4))</f>
        <v/>
      </c>
      <c r="S28" s="31">
        <f>IF($A28="","",SUMIFS(Data_EntMonth!$D:$D,Data_EntMonth!$A:$A,$A28,Data_EntMonth!$B:$B,S$4))</f>
        <v/>
      </c>
    </row>
    <row r="29">
      <c r="A29" s="3">
        <f>IF(INDEX(Data_Contracts!$A:$A,25+1)="","",INDEX(Data_Contracts!$A:$A,25+1))</f>
        <v/>
      </c>
      <c r="B29" s="30">
        <f>IF(INDEX(Data_Contracts!$C:$C,25+1)="","",INDEX(Data_Contracts!$C:$C,25+1))</f>
        <v/>
      </c>
      <c r="C29" s="30">
        <f>IF(INDEX(Data_Contracts!$D:$D,25+1)="","",INDEX(Data_Contracts!$D:$D,25+1))</f>
        <v/>
      </c>
      <c r="D29" s="31">
        <f>IF(INDEX(Data_Contracts!$E:$E,25+1)="","",INDEX(Data_Contracts!$E:$E,25+1))</f>
        <v/>
      </c>
      <c r="E29" s="26">
        <f>IF(INDEX(Data_Contracts!$F:$F,25+1)="","",INDEX(Data_Contracts!$F:$F,25+1))</f>
        <v/>
      </c>
      <c r="F29" s="25">
        <f>IF(OR($A29="",N($D29)=0),"",S29/$D29)</f>
        <v/>
      </c>
      <c r="G29" s="31">
        <f>IF($A29="","",SUMIFS(Data_EntMonth!$F:$F,Data_EntMonth!$A:$A,$A29,Data_EntMonth!$B:$B,S$4))</f>
        <v/>
      </c>
      <c r="H29" s="31">
        <f>IF($A29="","",SUMIFS(Data_EntMonth!$D:$D,Data_EntMonth!$A:$A,$A29,Data_EntMonth!$B:$B,H$4))</f>
        <v/>
      </c>
      <c r="I29" s="31">
        <f>IF($A29="","",SUMIFS(Data_EntMonth!$D:$D,Data_EntMonth!$A:$A,$A29,Data_EntMonth!$B:$B,I$4))</f>
        <v/>
      </c>
      <c r="J29" s="31">
        <f>IF($A29="","",SUMIFS(Data_EntMonth!$D:$D,Data_EntMonth!$A:$A,$A29,Data_EntMonth!$B:$B,J$4))</f>
        <v/>
      </c>
      <c r="K29" s="31">
        <f>IF($A29="","",SUMIFS(Data_EntMonth!$D:$D,Data_EntMonth!$A:$A,$A29,Data_EntMonth!$B:$B,K$4))</f>
        <v/>
      </c>
      <c r="L29" s="31">
        <f>IF($A29="","",SUMIFS(Data_EntMonth!$D:$D,Data_EntMonth!$A:$A,$A29,Data_EntMonth!$B:$B,L$4))</f>
        <v/>
      </c>
      <c r="M29" s="31">
        <f>IF($A29="","",SUMIFS(Data_EntMonth!$D:$D,Data_EntMonth!$A:$A,$A29,Data_EntMonth!$B:$B,M$4))</f>
        <v/>
      </c>
      <c r="N29" s="31">
        <f>IF($A29="","",SUMIFS(Data_EntMonth!$D:$D,Data_EntMonth!$A:$A,$A29,Data_EntMonth!$B:$B,N$4))</f>
        <v/>
      </c>
      <c r="O29" s="31">
        <f>IF($A29="","",SUMIFS(Data_EntMonth!$D:$D,Data_EntMonth!$A:$A,$A29,Data_EntMonth!$B:$B,O$4))</f>
        <v/>
      </c>
      <c r="P29" s="31">
        <f>IF($A29="","",SUMIFS(Data_EntMonth!$D:$D,Data_EntMonth!$A:$A,$A29,Data_EntMonth!$B:$B,P$4))</f>
        <v/>
      </c>
      <c r="Q29" s="31">
        <f>IF($A29="","",SUMIFS(Data_EntMonth!$D:$D,Data_EntMonth!$A:$A,$A29,Data_EntMonth!$B:$B,Q$4))</f>
        <v/>
      </c>
      <c r="R29" s="31">
        <f>IF($A29="","",SUMIFS(Data_EntMonth!$D:$D,Data_EntMonth!$A:$A,$A29,Data_EntMonth!$B:$B,R$4))</f>
        <v/>
      </c>
      <c r="S29" s="31">
        <f>IF($A29="","",SUMIFS(Data_EntMonth!$D:$D,Data_EntMonth!$A:$A,$A29,Data_EntMonth!$B:$B,S$4))</f>
        <v/>
      </c>
    </row>
    <row r="30">
      <c r="A30" s="3">
        <f>IF(INDEX(Data_Contracts!$A:$A,26+1)="","",INDEX(Data_Contracts!$A:$A,26+1))</f>
        <v/>
      </c>
      <c r="B30" s="30">
        <f>IF(INDEX(Data_Contracts!$C:$C,26+1)="","",INDEX(Data_Contracts!$C:$C,26+1))</f>
        <v/>
      </c>
      <c r="C30" s="30">
        <f>IF(INDEX(Data_Contracts!$D:$D,26+1)="","",INDEX(Data_Contracts!$D:$D,26+1))</f>
        <v/>
      </c>
      <c r="D30" s="31">
        <f>IF(INDEX(Data_Contracts!$E:$E,26+1)="","",INDEX(Data_Contracts!$E:$E,26+1))</f>
        <v/>
      </c>
      <c r="E30" s="26">
        <f>IF(INDEX(Data_Contracts!$F:$F,26+1)="","",INDEX(Data_Contracts!$F:$F,26+1))</f>
        <v/>
      </c>
      <c r="F30" s="25">
        <f>IF(OR($A30="",N($D30)=0),"",S30/$D30)</f>
        <v/>
      </c>
      <c r="G30" s="31">
        <f>IF($A30="","",SUMIFS(Data_EntMonth!$F:$F,Data_EntMonth!$A:$A,$A30,Data_EntMonth!$B:$B,S$4))</f>
        <v/>
      </c>
      <c r="H30" s="31">
        <f>IF($A30="","",SUMIFS(Data_EntMonth!$D:$D,Data_EntMonth!$A:$A,$A30,Data_EntMonth!$B:$B,H$4))</f>
        <v/>
      </c>
      <c r="I30" s="31">
        <f>IF($A30="","",SUMIFS(Data_EntMonth!$D:$D,Data_EntMonth!$A:$A,$A30,Data_EntMonth!$B:$B,I$4))</f>
        <v/>
      </c>
      <c r="J30" s="31">
        <f>IF($A30="","",SUMIFS(Data_EntMonth!$D:$D,Data_EntMonth!$A:$A,$A30,Data_EntMonth!$B:$B,J$4))</f>
        <v/>
      </c>
      <c r="K30" s="31">
        <f>IF($A30="","",SUMIFS(Data_EntMonth!$D:$D,Data_EntMonth!$A:$A,$A30,Data_EntMonth!$B:$B,K$4))</f>
        <v/>
      </c>
      <c r="L30" s="31">
        <f>IF($A30="","",SUMIFS(Data_EntMonth!$D:$D,Data_EntMonth!$A:$A,$A30,Data_EntMonth!$B:$B,L$4))</f>
        <v/>
      </c>
      <c r="M30" s="31">
        <f>IF($A30="","",SUMIFS(Data_EntMonth!$D:$D,Data_EntMonth!$A:$A,$A30,Data_EntMonth!$B:$B,M$4))</f>
        <v/>
      </c>
      <c r="N30" s="31">
        <f>IF($A30="","",SUMIFS(Data_EntMonth!$D:$D,Data_EntMonth!$A:$A,$A30,Data_EntMonth!$B:$B,N$4))</f>
        <v/>
      </c>
      <c r="O30" s="31">
        <f>IF($A30="","",SUMIFS(Data_EntMonth!$D:$D,Data_EntMonth!$A:$A,$A30,Data_EntMonth!$B:$B,O$4))</f>
        <v/>
      </c>
      <c r="P30" s="31">
        <f>IF($A30="","",SUMIFS(Data_EntMonth!$D:$D,Data_EntMonth!$A:$A,$A30,Data_EntMonth!$B:$B,P$4))</f>
        <v/>
      </c>
      <c r="Q30" s="31">
        <f>IF($A30="","",SUMIFS(Data_EntMonth!$D:$D,Data_EntMonth!$A:$A,$A30,Data_EntMonth!$B:$B,Q$4))</f>
        <v/>
      </c>
      <c r="R30" s="31">
        <f>IF($A30="","",SUMIFS(Data_EntMonth!$D:$D,Data_EntMonth!$A:$A,$A30,Data_EntMonth!$B:$B,R$4))</f>
        <v/>
      </c>
      <c r="S30" s="31">
        <f>IF($A30="","",SUMIFS(Data_EntMonth!$D:$D,Data_EntMonth!$A:$A,$A30,Data_EntMonth!$B:$B,S$4))</f>
        <v/>
      </c>
    </row>
    <row r="31">
      <c r="A31" s="3">
        <f>IF(INDEX(Data_Contracts!$A:$A,27+1)="","",INDEX(Data_Contracts!$A:$A,27+1))</f>
        <v/>
      </c>
      <c r="B31" s="30">
        <f>IF(INDEX(Data_Contracts!$C:$C,27+1)="","",INDEX(Data_Contracts!$C:$C,27+1))</f>
        <v/>
      </c>
      <c r="C31" s="30">
        <f>IF(INDEX(Data_Contracts!$D:$D,27+1)="","",INDEX(Data_Contracts!$D:$D,27+1))</f>
        <v/>
      </c>
      <c r="D31" s="31">
        <f>IF(INDEX(Data_Contracts!$E:$E,27+1)="","",INDEX(Data_Contracts!$E:$E,27+1))</f>
        <v/>
      </c>
      <c r="E31" s="26">
        <f>IF(INDEX(Data_Contracts!$F:$F,27+1)="","",INDEX(Data_Contracts!$F:$F,27+1))</f>
        <v/>
      </c>
      <c r="F31" s="25">
        <f>IF(OR($A31="",N($D31)=0),"",S31/$D31)</f>
        <v/>
      </c>
      <c r="G31" s="31">
        <f>IF($A31="","",SUMIFS(Data_EntMonth!$F:$F,Data_EntMonth!$A:$A,$A31,Data_EntMonth!$B:$B,S$4))</f>
        <v/>
      </c>
      <c r="H31" s="31">
        <f>IF($A31="","",SUMIFS(Data_EntMonth!$D:$D,Data_EntMonth!$A:$A,$A31,Data_EntMonth!$B:$B,H$4))</f>
        <v/>
      </c>
      <c r="I31" s="31">
        <f>IF($A31="","",SUMIFS(Data_EntMonth!$D:$D,Data_EntMonth!$A:$A,$A31,Data_EntMonth!$B:$B,I$4))</f>
        <v/>
      </c>
      <c r="J31" s="31">
        <f>IF($A31="","",SUMIFS(Data_EntMonth!$D:$D,Data_EntMonth!$A:$A,$A31,Data_EntMonth!$B:$B,J$4))</f>
        <v/>
      </c>
      <c r="K31" s="31">
        <f>IF($A31="","",SUMIFS(Data_EntMonth!$D:$D,Data_EntMonth!$A:$A,$A31,Data_EntMonth!$B:$B,K$4))</f>
        <v/>
      </c>
      <c r="L31" s="31">
        <f>IF($A31="","",SUMIFS(Data_EntMonth!$D:$D,Data_EntMonth!$A:$A,$A31,Data_EntMonth!$B:$B,L$4))</f>
        <v/>
      </c>
      <c r="M31" s="31">
        <f>IF($A31="","",SUMIFS(Data_EntMonth!$D:$D,Data_EntMonth!$A:$A,$A31,Data_EntMonth!$B:$B,M$4))</f>
        <v/>
      </c>
      <c r="N31" s="31">
        <f>IF($A31="","",SUMIFS(Data_EntMonth!$D:$D,Data_EntMonth!$A:$A,$A31,Data_EntMonth!$B:$B,N$4))</f>
        <v/>
      </c>
      <c r="O31" s="31">
        <f>IF($A31="","",SUMIFS(Data_EntMonth!$D:$D,Data_EntMonth!$A:$A,$A31,Data_EntMonth!$B:$B,O$4))</f>
        <v/>
      </c>
      <c r="P31" s="31">
        <f>IF($A31="","",SUMIFS(Data_EntMonth!$D:$D,Data_EntMonth!$A:$A,$A31,Data_EntMonth!$B:$B,P$4))</f>
        <v/>
      </c>
      <c r="Q31" s="31">
        <f>IF($A31="","",SUMIFS(Data_EntMonth!$D:$D,Data_EntMonth!$A:$A,$A31,Data_EntMonth!$B:$B,Q$4))</f>
        <v/>
      </c>
      <c r="R31" s="31">
        <f>IF($A31="","",SUMIFS(Data_EntMonth!$D:$D,Data_EntMonth!$A:$A,$A31,Data_EntMonth!$B:$B,R$4))</f>
        <v/>
      </c>
      <c r="S31" s="31">
        <f>IF($A31="","",SUMIFS(Data_EntMonth!$D:$D,Data_EntMonth!$A:$A,$A31,Data_EntMonth!$B:$B,S$4))</f>
        <v/>
      </c>
    </row>
    <row r="32">
      <c r="A32" s="3">
        <f>IF(INDEX(Data_Contracts!$A:$A,28+1)="","",INDEX(Data_Contracts!$A:$A,28+1))</f>
        <v/>
      </c>
      <c r="B32" s="30">
        <f>IF(INDEX(Data_Contracts!$C:$C,28+1)="","",INDEX(Data_Contracts!$C:$C,28+1))</f>
        <v/>
      </c>
      <c r="C32" s="30">
        <f>IF(INDEX(Data_Contracts!$D:$D,28+1)="","",INDEX(Data_Contracts!$D:$D,28+1))</f>
        <v/>
      </c>
      <c r="D32" s="31">
        <f>IF(INDEX(Data_Contracts!$E:$E,28+1)="","",INDEX(Data_Contracts!$E:$E,28+1))</f>
        <v/>
      </c>
      <c r="E32" s="26">
        <f>IF(INDEX(Data_Contracts!$F:$F,28+1)="","",INDEX(Data_Contracts!$F:$F,28+1))</f>
        <v/>
      </c>
      <c r="F32" s="25">
        <f>IF(OR($A32="",N($D32)=0),"",S32/$D32)</f>
        <v/>
      </c>
      <c r="G32" s="31">
        <f>IF($A32="","",SUMIFS(Data_EntMonth!$F:$F,Data_EntMonth!$A:$A,$A32,Data_EntMonth!$B:$B,S$4))</f>
        <v/>
      </c>
      <c r="H32" s="31">
        <f>IF($A32="","",SUMIFS(Data_EntMonth!$D:$D,Data_EntMonth!$A:$A,$A32,Data_EntMonth!$B:$B,H$4))</f>
        <v/>
      </c>
      <c r="I32" s="31">
        <f>IF($A32="","",SUMIFS(Data_EntMonth!$D:$D,Data_EntMonth!$A:$A,$A32,Data_EntMonth!$B:$B,I$4))</f>
        <v/>
      </c>
      <c r="J32" s="31">
        <f>IF($A32="","",SUMIFS(Data_EntMonth!$D:$D,Data_EntMonth!$A:$A,$A32,Data_EntMonth!$B:$B,J$4))</f>
        <v/>
      </c>
      <c r="K32" s="31">
        <f>IF($A32="","",SUMIFS(Data_EntMonth!$D:$D,Data_EntMonth!$A:$A,$A32,Data_EntMonth!$B:$B,K$4))</f>
        <v/>
      </c>
      <c r="L32" s="31">
        <f>IF($A32="","",SUMIFS(Data_EntMonth!$D:$D,Data_EntMonth!$A:$A,$A32,Data_EntMonth!$B:$B,L$4))</f>
        <v/>
      </c>
      <c r="M32" s="31">
        <f>IF($A32="","",SUMIFS(Data_EntMonth!$D:$D,Data_EntMonth!$A:$A,$A32,Data_EntMonth!$B:$B,M$4))</f>
        <v/>
      </c>
      <c r="N32" s="31">
        <f>IF($A32="","",SUMIFS(Data_EntMonth!$D:$D,Data_EntMonth!$A:$A,$A32,Data_EntMonth!$B:$B,N$4))</f>
        <v/>
      </c>
      <c r="O32" s="31">
        <f>IF($A32="","",SUMIFS(Data_EntMonth!$D:$D,Data_EntMonth!$A:$A,$A32,Data_EntMonth!$B:$B,O$4))</f>
        <v/>
      </c>
      <c r="P32" s="31">
        <f>IF($A32="","",SUMIFS(Data_EntMonth!$D:$D,Data_EntMonth!$A:$A,$A32,Data_EntMonth!$B:$B,P$4))</f>
        <v/>
      </c>
      <c r="Q32" s="31">
        <f>IF($A32="","",SUMIFS(Data_EntMonth!$D:$D,Data_EntMonth!$A:$A,$A32,Data_EntMonth!$B:$B,Q$4))</f>
        <v/>
      </c>
      <c r="R32" s="31">
        <f>IF($A32="","",SUMIFS(Data_EntMonth!$D:$D,Data_EntMonth!$A:$A,$A32,Data_EntMonth!$B:$B,R$4))</f>
        <v/>
      </c>
      <c r="S32" s="31">
        <f>IF($A32="","",SUMIFS(Data_EntMonth!$D:$D,Data_EntMonth!$A:$A,$A32,Data_EntMonth!$B:$B,S$4))</f>
        <v/>
      </c>
    </row>
    <row r="33">
      <c r="A33" s="3">
        <f>IF(INDEX(Data_Contracts!$A:$A,29+1)="","",INDEX(Data_Contracts!$A:$A,29+1))</f>
        <v/>
      </c>
      <c r="B33" s="30">
        <f>IF(INDEX(Data_Contracts!$C:$C,29+1)="","",INDEX(Data_Contracts!$C:$C,29+1))</f>
        <v/>
      </c>
      <c r="C33" s="30">
        <f>IF(INDEX(Data_Contracts!$D:$D,29+1)="","",INDEX(Data_Contracts!$D:$D,29+1))</f>
        <v/>
      </c>
      <c r="D33" s="31">
        <f>IF(INDEX(Data_Contracts!$E:$E,29+1)="","",INDEX(Data_Contracts!$E:$E,29+1))</f>
        <v/>
      </c>
      <c r="E33" s="26">
        <f>IF(INDEX(Data_Contracts!$F:$F,29+1)="","",INDEX(Data_Contracts!$F:$F,29+1))</f>
        <v/>
      </c>
      <c r="F33" s="25">
        <f>IF(OR($A33="",N($D33)=0),"",S33/$D33)</f>
        <v/>
      </c>
      <c r="G33" s="31">
        <f>IF($A33="","",SUMIFS(Data_EntMonth!$F:$F,Data_EntMonth!$A:$A,$A33,Data_EntMonth!$B:$B,S$4))</f>
        <v/>
      </c>
      <c r="H33" s="31">
        <f>IF($A33="","",SUMIFS(Data_EntMonth!$D:$D,Data_EntMonth!$A:$A,$A33,Data_EntMonth!$B:$B,H$4))</f>
        <v/>
      </c>
      <c r="I33" s="31">
        <f>IF($A33="","",SUMIFS(Data_EntMonth!$D:$D,Data_EntMonth!$A:$A,$A33,Data_EntMonth!$B:$B,I$4))</f>
        <v/>
      </c>
      <c r="J33" s="31">
        <f>IF($A33="","",SUMIFS(Data_EntMonth!$D:$D,Data_EntMonth!$A:$A,$A33,Data_EntMonth!$B:$B,J$4))</f>
        <v/>
      </c>
      <c r="K33" s="31">
        <f>IF($A33="","",SUMIFS(Data_EntMonth!$D:$D,Data_EntMonth!$A:$A,$A33,Data_EntMonth!$B:$B,K$4))</f>
        <v/>
      </c>
      <c r="L33" s="31">
        <f>IF($A33="","",SUMIFS(Data_EntMonth!$D:$D,Data_EntMonth!$A:$A,$A33,Data_EntMonth!$B:$B,L$4))</f>
        <v/>
      </c>
      <c r="M33" s="31">
        <f>IF($A33="","",SUMIFS(Data_EntMonth!$D:$D,Data_EntMonth!$A:$A,$A33,Data_EntMonth!$B:$B,M$4))</f>
        <v/>
      </c>
      <c r="N33" s="31">
        <f>IF($A33="","",SUMIFS(Data_EntMonth!$D:$D,Data_EntMonth!$A:$A,$A33,Data_EntMonth!$B:$B,N$4))</f>
        <v/>
      </c>
      <c r="O33" s="31">
        <f>IF($A33="","",SUMIFS(Data_EntMonth!$D:$D,Data_EntMonth!$A:$A,$A33,Data_EntMonth!$B:$B,O$4))</f>
        <v/>
      </c>
      <c r="P33" s="31">
        <f>IF($A33="","",SUMIFS(Data_EntMonth!$D:$D,Data_EntMonth!$A:$A,$A33,Data_EntMonth!$B:$B,P$4))</f>
        <v/>
      </c>
      <c r="Q33" s="31">
        <f>IF($A33="","",SUMIFS(Data_EntMonth!$D:$D,Data_EntMonth!$A:$A,$A33,Data_EntMonth!$B:$B,Q$4))</f>
        <v/>
      </c>
      <c r="R33" s="31">
        <f>IF($A33="","",SUMIFS(Data_EntMonth!$D:$D,Data_EntMonth!$A:$A,$A33,Data_EntMonth!$B:$B,R$4))</f>
        <v/>
      </c>
      <c r="S33" s="31">
        <f>IF($A33="","",SUMIFS(Data_EntMonth!$D:$D,Data_EntMonth!$A:$A,$A33,Data_EntMonth!$B:$B,S$4))</f>
        <v/>
      </c>
    </row>
    <row r="34">
      <c r="A34" s="3">
        <f>IF(INDEX(Data_Contracts!$A:$A,30+1)="","",INDEX(Data_Contracts!$A:$A,30+1))</f>
        <v/>
      </c>
      <c r="B34" s="30">
        <f>IF(INDEX(Data_Contracts!$C:$C,30+1)="","",INDEX(Data_Contracts!$C:$C,30+1))</f>
        <v/>
      </c>
      <c r="C34" s="30">
        <f>IF(INDEX(Data_Contracts!$D:$D,30+1)="","",INDEX(Data_Contracts!$D:$D,30+1))</f>
        <v/>
      </c>
      <c r="D34" s="31">
        <f>IF(INDEX(Data_Contracts!$E:$E,30+1)="","",INDEX(Data_Contracts!$E:$E,30+1))</f>
        <v/>
      </c>
      <c r="E34" s="26">
        <f>IF(INDEX(Data_Contracts!$F:$F,30+1)="","",INDEX(Data_Contracts!$F:$F,30+1))</f>
        <v/>
      </c>
      <c r="F34" s="25">
        <f>IF(OR($A34="",N($D34)=0),"",S34/$D34)</f>
        <v/>
      </c>
      <c r="G34" s="31">
        <f>IF($A34="","",SUMIFS(Data_EntMonth!$F:$F,Data_EntMonth!$A:$A,$A34,Data_EntMonth!$B:$B,S$4))</f>
        <v/>
      </c>
      <c r="H34" s="31">
        <f>IF($A34="","",SUMIFS(Data_EntMonth!$D:$D,Data_EntMonth!$A:$A,$A34,Data_EntMonth!$B:$B,H$4))</f>
        <v/>
      </c>
      <c r="I34" s="31">
        <f>IF($A34="","",SUMIFS(Data_EntMonth!$D:$D,Data_EntMonth!$A:$A,$A34,Data_EntMonth!$B:$B,I$4))</f>
        <v/>
      </c>
      <c r="J34" s="31">
        <f>IF($A34="","",SUMIFS(Data_EntMonth!$D:$D,Data_EntMonth!$A:$A,$A34,Data_EntMonth!$B:$B,J$4))</f>
        <v/>
      </c>
      <c r="K34" s="31">
        <f>IF($A34="","",SUMIFS(Data_EntMonth!$D:$D,Data_EntMonth!$A:$A,$A34,Data_EntMonth!$B:$B,K$4))</f>
        <v/>
      </c>
      <c r="L34" s="31">
        <f>IF($A34="","",SUMIFS(Data_EntMonth!$D:$D,Data_EntMonth!$A:$A,$A34,Data_EntMonth!$B:$B,L$4))</f>
        <v/>
      </c>
      <c r="M34" s="31">
        <f>IF($A34="","",SUMIFS(Data_EntMonth!$D:$D,Data_EntMonth!$A:$A,$A34,Data_EntMonth!$B:$B,M$4))</f>
        <v/>
      </c>
      <c r="N34" s="31">
        <f>IF($A34="","",SUMIFS(Data_EntMonth!$D:$D,Data_EntMonth!$A:$A,$A34,Data_EntMonth!$B:$B,N$4))</f>
        <v/>
      </c>
      <c r="O34" s="31">
        <f>IF($A34="","",SUMIFS(Data_EntMonth!$D:$D,Data_EntMonth!$A:$A,$A34,Data_EntMonth!$B:$B,O$4))</f>
        <v/>
      </c>
      <c r="P34" s="31">
        <f>IF($A34="","",SUMIFS(Data_EntMonth!$D:$D,Data_EntMonth!$A:$A,$A34,Data_EntMonth!$B:$B,P$4))</f>
        <v/>
      </c>
      <c r="Q34" s="31">
        <f>IF($A34="","",SUMIFS(Data_EntMonth!$D:$D,Data_EntMonth!$A:$A,$A34,Data_EntMonth!$B:$B,Q$4))</f>
        <v/>
      </c>
      <c r="R34" s="31">
        <f>IF($A34="","",SUMIFS(Data_EntMonth!$D:$D,Data_EntMonth!$A:$A,$A34,Data_EntMonth!$B:$B,R$4))</f>
        <v/>
      </c>
      <c r="S34" s="31">
        <f>IF($A34="","",SUMIFS(Data_EntMonth!$D:$D,Data_EntMonth!$A:$A,$A34,Data_EntMonth!$B:$B,S$4))</f>
        <v/>
      </c>
    </row>
    <row r="35">
      <c r="A35" s="3">
        <f>IF(INDEX(Data_Contracts!$A:$A,31+1)="","",INDEX(Data_Contracts!$A:$A,31+1))</f>
        <v/>
      </c>
      <c r="B35" s="30">
        <f>IF(INDEX(Data_Contracts!$C:$C,31+1)="","",INDEX(Data_Contracts!$C:$C,31+1))</f>
        <v/>
      </c>
      <c r="C35" s="30">
        <f>IF(INDEX(Data_Contracts!$D:$D,31+1)="","",INDEX(Data_Contracts!$D:$D,31+1))</f>
        <v/>
      </c>
      <c r="D35" s="31">
        <f>IF(INDEX(Data_Contracts!$E:$E,31+1)="","",INDEX(Data_Contracts!$E:$E,31+1))</f>
        <v/>
      </c>
      <c r="E35" s="26">
        <f>IF(INDEX(Data_Contracts!$F:$F,31+1)="","",INDEX(Data_Contracts!$F:$F,31+1))</f>
        <v/>
      </c>
      <c r="F35" s="25">
        <f>IF(OR($A35="",N($D35)=0),"",S35/$D35)</f>
        <v/>
      </c>
      <c r="G35" s="31">
        <f>IF($A35="","",SUMIFS(Data_EntMonth!$F:$F,Data_EntMonth!$A:$A,$A35,Data_EntMonth!$B:$B,S$4))</f>
        <v/>
      </c>
      <c r="H35" s="31">
        <f>IF($A35="","",SUMIFS(Data_EntMonth!$D:$D,Data_EntMonth!$A:$A,$A35,Data_EntMonth!$B:$B,H$4))</f>
        <v/>
      </c>
      <c r="I35" s="31">
        <f>IF($A35="","",SUMIFS(Data_EntMonth!$D:$D,Data_EntMonth!$A:$A,$A35,Data_EntMonth!$B:$B,I$4))</f>
        <v/>
      </c>
      <c r="J35" s="31">
        <f>IF($A35="","",SUMIFS(Data_EntMonth!$D:$D,Data_EntMonth!$A:$A,$A35,Data_EntMonth!$B:$B,J$4))</f>
        <v/>
      </c>
      <c r="K35" s="31">
        <f>IF($A35="","",SUMIFS(Data_EntMonth!$D:$D,Data_EntMonth!$A:$A,$A35,Data_EntMonth!$B:$B,K$4))</f>
        <v/>
      </c>
      <c r="L35" s="31">
        <f>IF($A35="","",SUMIFS(Data_EntMonth!$D:$D,Data_EntMonth!$A:$A,$A35,Data_EntMonth!$B:$B,L$4))</f>
        <v/>
      </c>
      <c r="M35" s="31">
        <f>IF($A35="","",SUMIFS(Data_EntMonth!$D:$D,Data_EntMonth!$A:$A,$A35,Data_EntMonth!$B:$B,M$4))</f>
        <v/>
      </c>
      <c r="N35" s="31">
        <f>IF($A35="","",SUMIFS(Data_EntMonth!$D:$D,Data_EntMonth!$A:$A,$A35,Data_EntMonth!$B:$B,N$4))</f>
        <v/>
      </c>
      <c r="O35" s="31">
        <f>IF($A35="","",SUMIFS(Data_EntMonth!$D:$D,Data_EntMonth!$A:$A,$A35,Data_EntMonth!$B:$B,O$4))</f>
        <v/>
      </c>
      <c r="P35" s="31">
        <f>IF($A35="","",SUMIFS(Data_EntMonth!$D:$D,Data_EntMonth!$A:$A,$A35,Data_EntMonth!$B:$B,P$4))</f>
        <v/>
      </c>
      <c r="Q35" s="31">
        <f>IF($A35="","",SUMIFS(Data_EntMonth!$D:$D,Data_EntMonth!$A:$A,$A35,Data_EntMonth!$B:$B,Q$4))</f>
        <v/>
      </c>
      <c r="R35" s="31">
        <f>IF($A35="","",SUMIFS(Data_EntMonth!$D:$D,Data_EntMonth!$A:$A,$A35,Data_EntMonth!$B:$B,R$4))</f>
        <v/>
      </c>
      <c r="S35" s="31">
        <f>IF($A35="","",SUMIFS(Data_EntMonth!$D:$D,Data_EntMonth!$A:$A,$A35,Data_EntMonth!$B:$B,S$4))</f>
        <v/>
      </c>
    </row>
    <row r="36">
      <c r="A36" s="3">
        <f>IF(INDEX(Data_Contracts!$A:$A,32+1)="","",INDEX(Data_Contracts!$A:$A,32+1))</f>
        <v/>
      </c>
      <c r="B36" s="30">
        <f>IF(INDEX(Data_Contracts!$C:$C,32+1)="","",INDEX(Data_Contracts!$C:$C,32+1))</f>
        <v/>
      </c>
      <c r="C36" s="30">
        <f>IF(INDEX(Data_Contracts!$D:$D,32+1)="","",INDEX(Data_Contracts!$D:$D,32+1))</f>
        <v/>
      </c>
      <c r="D36" s="31">
        <f>IF(INDEX(Data_Contracts!$E:$E,32+1)="","",INDEX(Data_Contracts!$E:$E,32+1))</f>
        <v/>
      </c>
      <c r="E36" s="26">
        <f>IF(INDEX(Data_Contracts!$F:$F,32+1)="","",INDEX(Data_Contracts!$F:$F,32+1))</f>
        <v/>
      </c>
      <c r="F36" s="25">
        <f>IF(OR($A36="",N($D36)=0),"",S36/$D36)</f>
        <v/>
      </c>
      <c r="G36" s="31">
        <f>IF($A36="","",SUMIFS(Data_EntMonth!$F:$F,Data_EntMonth!$A:$A,$A36,Data_EntMonth!$B:$B,S$4))</f>
        <v/>
      </c>
      <c r="H36" s="31">
        <f>IF($A36="","",SUMIFS(Data_EntMonth!$D:$D,Data_EntMonth!$A:$A,$A36,Data_EntMonth!$B:$B,H$4))</f>
        <v/>
      </c>
      <c r="I36" s="31">
        <f>IF($A36="","",SUMIFS(Data_EntMonth!$D:$D,Data_EntMonth!$A:$A,$A36,Data_EntMonth!$B:$B,I$4))</f>
        <v/>
      </c>
      <c r="J36" s="31">
        <f>IF($A36="","",SUMIFS(Data_EntMonth!$D:$D,Data_EntMonth!$A:$A,$A36,Data_EntMonth!$B:$B,J$4))</f>
        <v/>
      </c>
      <c r="K36" s="31">
        <f>IF($A36="","",SUMIFS(Data_EntMonth!$D:$D,Data_EntMonth!$A:$A,$A36,Data_EntMonth!$B:$B,K$4))</f>
        <v/>
      </c>
      <c r="L36" s="31">
        <f>IF($A36="","",SUMIFS(Data_EntMonth!$D:$D,Data_EntMonth!$A:$A,$A36,Data_EntMonth!$B:$B,L$4))</f>
        <v/>
      </c>
      <c r="M36" s="31">
        <f>IF($A36="","",SUMIFS(Data_EntMonth!$D:$D,Data_EntMonth!$A:$A,$A36,Data_EntMonth!$B:$B,M$4))</f>
        <v/>
      </c>
      <c r="N36" s="31">
        <f>IF($A36="","",SUMIFS(Data_EntMonth!$D:$D,Data_EntMonth!$A:$A,$A36,Data_EntMonth!$B:$B,N$4))</f>
        <v/>
      </c>
      <c r="O36" s="31">
        <f>IF($A36="","",SUMIFS(Data_EntMonth!$D:$D,Data_EntMonth!$A:$A,$A36,Data_EntMonth!$B:$B,O$4))</f>
        <v/>
      </c>
      <c r="P36" s="31">
        <f>IF($A36="","",SUMIFS(Data_EntMonth!$D:$D,Data_EntMonth!$A:$A,$A36,Data_EntMonth!$B:$B,P$4))</f>
        <v/>
      </c>
      <c r="Q36" s="31">
        <f>IF($A36="","",SUMIFS(Data_EntMonth!$D:$D,Data_EntMonth!$A:$A,$A36,Data_EntMonth!$B:$B,Q$4))</f>
        <v/>
      </c>
      <c r="R36" s="31">
        <f>IF($A36="","",SUMIFS(Data_EntMonth!$D:$D,Data_EntMonth!$A:$A,$A36,Data_EntMonth!$B:$B,R$4))</f>
        <v/>
      </c>
      <c r="S36" s="31">
        <f>IF($A36="","",SUMIFS(Data_EntMonth!$D:$D,Data_EntMonth!$A:$A,$A36,Data_EntMonth!$B:$B,S$4))</f>
        <v/>
      </c>
    </row>
    <row r="37">
      <c r="A37" s="3">
        <f>IF(INDEX(Data_Contracts!$A:$A,33+1)="","",INDEX(Data_Contracts!$A:$A,33+1))</f>
        <v/>
      </c>
      <c r="B37" s="30">
        <f>IF(INDEX(Data_Contracts!$C:$C,33+1)="","",INDEX(Data_Contracts!$C:$C,33+1))</f>
        <v/>
      </c>
      <c r="C37" s="30">
        <f>IF(INDEX(Data_Contracts!$D:$D,33+1)="","",INDEX(Data_Contracts!$D:$D,33+1))</f>
        <v/>
      </c>
      <c r="D37" s="31">
        <f>IF(INDEX(Data_Contracts!$E:$E,33+1)="","",INDEX(Data_Contracts!$E:$E,33+1))</f>
        <v/>
      </c>
      <c r="E37" s="26">
        <f>IF(INDEX(Data_Contracts!$F:$F,33+1)="","",INDEX(Data_Contracts!$F:$F,33+1))</f>
        <v/>
      </c>
      <c r="F37" s="25">
        <f>IF(OR($A37="",N($D37)=0),"",S37/$D37)</f>
        <v/>
      </c>
      <c r="G37" s="31">
        <f>IF($A37="","",SUMIFS(Data_EntMonth!$F:$F,Data_EntMonth!$A:$A,$A37,Data_EntMonth!$B:$B,S$4))</f>
        <v/>
      </c>
      <c r="H37" s="31">
        <f>IF($A37="","",SUMIFS(Data_EntMonth!$D:$D,Data_EntMonth!$A:$A,$A37,Data_EntMonth!$B:$B,H$4))</f>
        <v/>
      </c>
      <c r="I37" s="31">
        <f>IF($A37="","",SUMIFS(Data_EntMonth!$D:$D,Data_EntMonth!$A:$A,$A37,Data_EntMonth!$B:$B,I$4))</f>
        <v/>
      </c>
      <c r="J37" s="31">
        <f>IF($A37="","",SUMIFS(Data_EntMonth!$D:$D,Data_EntMonth!$A:$A,$A37,Data_EntMonth!$B:$B,J$4))</f>
        <v/>
      </c>
      <c r="K37" s="31">
        <f>IF($A37="","",SUMIFS(Data_EntMonth!$D:$D,Data_EntMonth!$A:$A,$A37,Data_EntMonth!$B:$B,K$4))</f>
        <v/>
      </c>
      <c r="L37" s="31">
        <f>IF($A37="","",SUMIFS(Data_EntMonth!$D:$D,Data_EntMonth!$A:$A,$A37,Data_EntMonth!$B:$B,L$4))</f>
        <v/>
      </c>
      <c r="M37" s="31">
        <f>IF($A37="","",SUMIFS(Data_EntMonth!$D:$D,Data_EntMonth!$A:$A,$A37,Data_EntMonth!$B:$B,M$4))</f>
        <v/>
      </c>
      <c r="N37" s="31">
        <f>IF($A37="","",SUMIFS(Data_EntMonth!$D:$D,Data_EntMonth!$A:$A,$A37,Data_EntMonth!$B:$B,N$4))</f>
        <v/>
      </c>
      <c r="O37" s="31">
        <f>IF($A37="","",SUMIFS(Data_EntMonth!$D:$D,Data_EntMonth!$A:$A,$A37,Data_EntMonth!$B:$B,O$4))</f>
        <v/>
      </c>
      <c r="P37" s="31">
        <f>IF($A37="","",SUMIFS(Data_EntMonth!$D:$D,Data_EntMonth!$A:$A,$A37,Data_EntMonth!$B:$B,P$4))</f>
        <v/>
      </c>
      <c r="Q37" s="31">
        <f>IF($A37="","",SUMIFS(Data_EntMonth!$D:$D,Data_EntMonth!$A:$A,$A37,Data_EntMonth!$B:$B,Q$4))</f>
        <v/>
      </c>
      <c r="R37" s="31">
        <f>IF($A37="","",SUMIFS(Data_EntMonth!$D:$D,Data_EntMonth!$A:$A,$A37,Data_EntMonth!$B:$B,R$4))</f>
        <v/>
      </c>
      <c r="S37" s="31">
        <f>IF($A37="","",SUMIFS(Data_EntMonth!$D:$D,Data_EntMonth!$A:$A,$A37,Data_EntMonth!$B:$B,S$4))</f>
        <v/>
      </c>
    </row>
    <row r="38">
      <c r="A38" s="3">
        <f>IF(INDEX(Data_Contracts!$A:$A,34+1)="","",INDEX(Data_Contracts!$A:$A,34+1))</f>
        <v/>
      </c>
      <c r="B38" s="30">
        <f>IF(INDEX(Data_Contracts!$C:$C,34+1)="","",INDEX(Data_Contracts!$C:$C,34+1))</f>
        <v/>
      </c>
      <c r="C38" s="30">
        <f>IF(INDEX(Data_Contracts!$D:$D,34+1)="","",INDEX(Data_Contracts!$D:$D,34+1))</f>
        <v/>
      </c>
      <c r="D38" s="31">
        <f>IF(INDEX(Data_Contracts!$E:$E,34+1)="","",INDEX(Data_Contracts!$E:$E,34+1))</f>
        <v/>
      </c>
      <c r="E38" s="26">
        <f>IF(INDEX(Data_Contracts!$F:$F,34+1)="","",INDEX(Data_Contracts!$F:$F,34+1))</f>
        <v/>
      </c>
      <c r="F38" s="25">
        <f>IF(OR($A38="",N($D38)=0),"",S38/$D38)</f>
        <v/>
      </c>
      <c r="G38" s="31">
        <f>IF($A38="","",SUMIFS(Data_EntMonth!$F:$F,Data_EntMonth!$A:$A,$A38,Data_EntMonth!$B:$B,S$4))</f>
        <v/>
      </c>
      <c r="H38" s="31">
        <f>IF($A38="","",SUMIFS(Data_EntMonth!$D:$D,Data_EntMonth!$A:$A,$A38,Data_EntMonth!$B:$B,H$4))</f>
        <v/>
      </c>
      <c r="I38" s="31">
        <f>IF($A38="","",SUMIFS(Data_EntMonth!$D:$D,Data_EntMonth!$A:$A,$A38,Data_EntMonth!$B:$B,I$4))</f>
        <v/>
      </c>
      <c r="J38" s="31">
        <f>IF($A38="","",SUMIFS(Data_EntMonth!$D:$D,Data_EntMonth!$A:$A,$A38,Data_EntMonth!$B:$B,J$4))</f>
        <v/>
      </c>
      <c r="K38" s="31">
        <f>IF($A38="","",SUMIFS(Data_EntMonth!$D:$D,Data_EntMonth!$A:$A,$A38,Data_EntMonth!$B:$B,K$4))</f>
        <v/>
      </c>
      <c r="L38" s="31">
        <f>IF($A38="","",SUMIFS(Data_EntMonth!$D:$D,Data_EntMonth!$A:$A,$A38,Data_EntMonth!$B:$B,L$4))</f>
        <v/>
      </c>
      <c r="M38" s="31">
        <f>IF($A38="","",SUMIFS(Data_EntMonth!$D:$D,Data_EntMonth!$A:$A,$A38,Data_EntMonth!$B:$B,M$4))</f>
        <v/>
      </c>
      <c r="N38" s="31">
        <f>IF($A38="","",SUMIFS(Data_EntMonth!$D:$D,Data_EntMonth!$A:$A,$A38,Data_EntMonth!$B:$B,N$4))</f>
        <v/>
      </c>
      <c r="O38" s="31">
        <f>IF($A38="","",SUMIFS(Data_EntMonth!$D:$D,Data_EntMonth!$A:$A,$A38,Data_EntMonth!$B:$B,O$4))</f>
        <v/>
      </c>
      <c r="P38" s="31">
        <f>IF($A38="","",SUMIFS(Data_EntMonth!$D:$D,Data_EntMonth!$A:$A,$A38,Data_EntMonth!$B:$B,P$4))</f>
        <v/>
      </c>
      <c r="Q38" s="31">
        <f>IF($A38="","",SUMIFS(Data_EntMonth!$D:$D,Data_EntMonth!$A:$A,$A38,Data_EntMonth!$B:$B,Q$4))</f>
        <v/>
      </c>
      <c r="R38" s="31">
        <f>IF($A38="","",SUMIFS(Data_EntMonth!$D:$D,Data_EntMonth!$A:$A,$A38,Data_EntMonth!$B:$B,R$4))</f>
        <v/>
      </c>
      <c r="S38" s="31">
        <f>IF($A38="","",SUMIFS(Data_EntMonth!$D:$D,Data_EntMonth!$A:$A,$A38,Data_EntMonth!$B:$B,S$4))</f>
        <v/>
      </c>
    </row>
    <row r="39">
      <c r="A39" s="3">
        <f>IF(INDEX(Data_Contracts!$A:$A,35+1)="","",INDEX(Data_Contracts!$A:$A,35+1))</f>
        <v/>
      </c>
      <c r="B39" s="30">
        <f>IF(INDEX(Data_Contracts!$C:$C,35+1)="","",INDEX(Data_Contracts!$C:$C,35+1))</f>
        <v/>
      </c>
      <c r="C39" s="30">
        <f>IF(INDEX(Data_Contracts!$D:$D,35+1)="","",INDEX(Data_Contracts!$D:$D,35+1))</f>
        <v/>
      </c>
      <c r="D39" s="31">
        <f>IF(INDEX(Data_Contracts!$E:$E,35+1)="","",INDEX(Data_Contracts!$E:$E,35+1))</f>
        <v/>
      </c>
      <c r="E39" s="26">
        <f>IF(INDEX(Data_Contracts!$F:$F,35+1)="","",INDEX(Data_Contracts!$F:$F,35+1))</f>
        <v/>
      </c>
      <c r="F39" s="25">
        <f>IF(OR($A39="",N($D39)=0),"",S39/$D39)</f>
        <v/>
      </c>
      <c r="G39" s="31">
        <f>IF($A39="","",SUMIFS(Data_EntMonth!$F:$F,Data_EntMonth!$A:$A,$A39,Data_EntMonth!$B:$B,S$4))</f>
        <v/>
      </c>
      <c r="H39" s="31">
        <f>IF($A39="","",SUMIFS(Data_EntMonth!$D:$D,Data_EntMonth!$A:$A,$A39,Data_EntMonth!$B:$B,H$4))</f>
        <v/>
      </c>
      <c r="I39" s="31">
        <f>IF($A39="","",SUMIFS(Data_EntMonth!$D:$D,Data_EntMonth!$A:$A,$A39,Data_EntMonth!$B:$B,I$4))</f>
        <v/>
      </c>
      <c r="J39" s="31">
        <f>IF($A39="","",SUMIFS(Data_EntMonth!$D:$D,Data_EntMonth!$A:$A,$A39,Data_EntMonth!$B:$B,J$4))</f>
        <v/>
      </c>
      <c r="K39" s="31">
        <f>IF($A39="","",SUMIFS(Data_EntMonth!$D:$D,Data_EntMonth!$A:$A,$A39,Data_EntMonth!$B:$B,K$4))</f>
        <v/>
      </c>
      <c r="L39" s="31">
        <f>IF($A39="","",SUMIFS(Data_EntMonth!$D:$D,Data_EntMonth!$A:$A,$A39,Data_EntMonth!$B:$B,L$4))</f>
        <v/>
      </c>
      <c r="M39" s="31">
        <f>IF($A39="","",SUMIFS(Data_EntMonth!$D:$D,Data_EntMonth!$A:$A,$A39,Data_EntMonth!$B:$B,M$4))</f>
        <v/>
      </c>
      <c r="N39" s="31">
        <f>IF($A39="","",SUMIFS(Data_EntMonth!$D:$D,Data_EntMonth!$A:$A,$A39,Data_EntMonth!$B:$B,N$4))</f>
        <v/>
      </c>
      <c r="O39" s="31">
        <f>IF($A39="","",SUMIFS(Data_EntMonth!$D:$D,Data_EntMonth!$A:$A,$A39,Data_EntMonth!$B:$B,O$4))</f>
        <v/>
      </c>
      <c r="P39" s="31">
        <f>IF($A39="","",SUMIFS(Data_EntMonth!$D:$D,Data_EntMonth!$A:$A,$A39,Data_EntMonth!$B:$B,P$4))</f>
        <v/>
      </c>
      <c r="Q39" s="31">
        <f>IF($A39="","",SUMIFS(Data_EntMonth!$D:$D,Data_EntMonth!$A:$A,$A39,Data_EntMonth!$B:$B,Q$4))</f>
        <v/>
      </c>
      <c r="R39" s="31">
        <f>IF($A39="","",SUMIFS(Data_EntMonth!$D:$D,Data_EntMonth!$A:$A,$A39,Data_EntMonth!$B:$B,R$4))</f>
        <v/>
      </c>
      <c r="S39" s="31">
        <f>IF($A39="","",SUMIFS(Data_EntMonth!$D:$D,Data_EntMonth!$A:$A,$A39,Data_EntMonth!$B:$B,S$4))</f>
        <v/>
      </c>
    </row>
    <row r="40">
      <c r="A40" s="3">
        <f>IF(INDEX(Data_Contracts!$A:$A,36+1)="","",INDEX(Data_Contracts!$A:$A,36+1))</f>
        <v/>
      </c>
      <c r="B40" s="30">
        <f>IF(INDEX(Data_Contracts!$C:$C,36+1)="","",INDEX(Data_Contracts!$C:$C,36+1))</f>
        <v/>
      </c>
      <c r="C40" s="30">
        <f>IF(INDEX(Data_Contracts!$D:$D,36+1)="","",INDEX(Data_Contracts!$D:$D,36+1))</f>
        <v/>
      </c>
      <c r="D40" s="31">
        <f>IF(INDEX(Data_Contracts!$E:$E,36+1)="","",INDEX(Data_Contracts!$E:$E,36+1))</f>
        <v/>
      </c>
      <c r="E40" s="26">
        <f>IF(INDEX(Data_Contracts!$F:$F,36+1)="","",INDEX(Data_Contracts!$F:$F,36+1))</f>
        <v/>
      </c>
      <c r="F40" s="25">
        <f>IF(OR($A40="",N($D40)=0),"",S40/$D40)</f>
        <v/>
      </c>
      <c r="G40" s="31">
        <f>IF($A40="","",SUMIFS(Data_EntMonth!$F:$F,Data_EntMonth!$A:$A,$A40,Data_EntMonth!$B:$B,S$4))</f>
        <v/>
      </c>
      <c r="H40" s="31">
        <f>IF($A40="","",SUMIFS(Data_EntMonth!$D:$D,Data_EntMonth!$A:$A,$A40,Data_EntMonth!$B:$B,H$4))</f>
        <v/>
      </c>
      <c r="I40" s="31">
        <f>IF($A40="","",SUMIFS(Data_EntMonth!$D:$D,Data_EntMonth!$A:$A,$A40,Data_EntMonth!$B:$B,I$4))</f>
        <v/>
      </c>
      <c r="J40" s="31">
        <f>IF($A40="","",SUMIFS(Data_EntMonth!$D:$D,Data_EntMonth!$A:$A,$A40,Data_EntMonth!$B:$B,J$4))</f>
        <v/>
      </c>
      <c r="K40" s="31">
        <f>IF($A40="","",SUMIFS(Data_EntMonth!$D:$D,Data_EntMonth!$A:$A,$A40,Data_EntMonth!$B:$B,K$4))</f>
        <v/>
      </c>
      <c r="L40" s="31">
        <f>IF($A40="","",SUMIFS(Data_EntMonth!$D:$D,Data_EntMonth!$A:$A,$A40,Data_EntMonth!$B:$B,L$4))</f>
        <v/>
      </c>
      <c r="M40" s="31">
        <f>IF($A40="","",SUMIFS(Data_EntMonth!$D:$D,Data_EntMonth!$A:$A,$A40,Data_EntMonth!$B:$B,M$4))</f>
        <v/>
      </c>
      <c r="N40" s="31">
        <f>IF($A40="","",SUMIFS(Data_EntMonth!$D:$D,Data_EntMonth!$A:$A,$A40,Data_EntMonth!$B:$B,N$4))</f>
        <v/>
      </c>
      <c r="O40" s="31">
        <f>IF($A40="","",SUMIFS(Data_EntMonth!$D:$D,Data_EntMonth!$A:$A,$A40,Data_EntMonth!$B:$B,O$4))</f>
        <v/>
      </c>
      <c r="P40" s="31">
        <f>IF($A40="","",SUMIFS(Data_EntMonth!$D:$D,Data_EntMonth!$A:$A,$A40,Data_EntMonth!$B:$B,P$4))</f>
        <v/>
      </c>
      <c r="Q40" s="31">
        <f>IF($A40="","",SUMIFS(Data_EntMonth!$D:$D,Data_EntMonth!$A:$A,$A40,Data_EntMonth!$B:$B,Q$4))</f>
        <v/>
      </c>
      <c r="R40" s="31">
        <f>IF($A40="","",SUMIFS(Data_EntMonth!$D:$D,Data_EntMonth!$A:$A,$A40,Data_EntMonth!$B:$B,R$4))</f>
        <v/>
      </c>
      <c r="S40" s="31">
        <f>IF($A40="","",SUMIFS(Data_EntMonth!$D:$D,Data_EntMonth!$A:$A,$A40,Data_EntMonth!$B:$B,S$4))</f>
        <v/>
      </c>
    </row>
    <row r="41">
      <c r="A41" s="3">
        <f>IF(INDEX(Data_Contracts!$A:$A,37+1)="","",INDEX(Data_Contracts!$A:$A,37+1))</f>
        <v/>
      </c>
      <c r="B41" s="30">
        <f>IF(INDEX(Data_Contracts!$C:$C,37+1)="","",INDEX(Data_Contracts!$C:$C,37+1))</f>
        <v/>
      </c>
      <c r="C41" s="30">
        <f>IF(INDEX(Data_Contracts!$D:$D,37+1)="","",INDEX(Data_Contracts!$D:$D,37+1))</f>
        <v/>
      </c>
      <c r="D41" s="31">
        <f>IF(INDEX(Data_Contracts!$E:$E,37+1)="","",INDEX(Data_Contracts!$E:$E,37+1))</f>
        <v/>
      </c>
      <c r="E41" s="26">
        <f>IF(INDEX(Data_Contracts!$F:$F,37+1)="","",INDEX(Data_Contracts!$F:$F,37+1))</f>
        <v/>
      </c>
      <c r="F41" s="25">
        <f>IF(OR($A41="",N($D41)=0),"",S41/$D41)</f>
        <v/>
      </c>
      <c r="G41" s="31">
        <f>IF($A41="","",SUMIFS(Data_EntMonth!$F:$F,Data_EntMonth!$A:$A,$A41,Data_EntMonth!$B:$B,S$4))</f>
        <v/>
      </c>
      <c r="H41" s="31">
        <f>IF($A41="","",SUMIFS(Data_EntMonth!$D:$D,Data_EntMonth!$A:$A,$A41,Data_EntMonth!$B:$B,H$4))</f>
        <v/>
      </c>
      <c r="I41" s="31">
        <f>IF($A41="","",SUMIFS(Data_EntMonth!$D:$D,Data_EntMonth!$A:$A,$A41,Data_EntMonth!$B:$B,I$4))</f>
        <v/>
      </c>
      <c r="J41" s="31">
        <f>IF($A41="","",SUMIFS(Data_EntMonth!$D:$D,Data_EntMonth!$A:$A,$A41,Data_EntMonth!$B:$B,J$4))</f>
        <v/>
      </c>
      <c r="K41" s="31">
        <f>IF($A41="","",SUMIFS(Data_EntMonth!$D:$D,Data_EntMonth!$A:$A,$A41,Data_EntMonth!$B:$B,K$4))</f>
        <v/>
      </c>
      <c r="L41" s="31">
        <f>IF($A41="","",SUMIFS(Data_EntMonth!$D:$D,Data_EntMonth!$A:$A,$A41,Data_EntMonth!$B:$B,L$4))</f>
        <v/>
      </c>
      <c r="M41" s="31">
        <f>IF($A41="","",SUMIFS(Data_EntMonth!$D:$D,Data_EntMonth!$A:$A,$A41,Data_EntMonth!$B:$B,M$4))</f>
        <v/>
      </c>
      <c r="N41" s="31">
        <f>IF($A41="","",SUMIFS(Data_EntMonth!$D:$D,Data_EntMonth!$A:$A,$A41,Data_EntMonth!$B:$B,N$4))</f>
        <v/>
      </c>
      <c r="O41" s="31">
        <f>IF($A41="","",SUMIFS(Data_EntMonth!$D:$D,Data_EntMonth!$A:$A,$A41,Data_EntMonth!$B:$B,O$4))</f>
        <v/>
      </c>
      <c r="P41" s="31">
        <f>IF($A41="","",SUMIFS(Data_EntMonth!$D:$D,Data_EntMonth!$A:$A,$A41,Data_EntMonth!$B:$B,P$4))</f>
        <v/>
      </c>
      <c r="Q41" s="31">
        <f>IF($A41="","",SUMIFS(Data_EntMonth!$D:$D,Data_EntMonth!$A:$A,$A41,Data_EntMonth!$B:$B,Q$4))</f>
        <v/>
      </c>
      <c r="R41" s="31">
        <f>IF($A41="","",SUMIFS(Data_EntMonth!$D:$D,Data_EntMonth!$A:$A,$A41,Data_EntMonth!$B:$B,R$4))</f>
        <v/>
      </c>
      <c r="S41" s="31">
        <f>IF($A41="","",SUMIFS(Data_EntMonth!$D:$D,Data_EntMonth!$A:$A,$A41,Data_EntMonth!$B:$B,S$4))</f>
        <v/>
      </c>
    </row>
    <row r="42">
      <c r="A42" s="3">
        <f>IF(INDEX(Data_Contracts!$A:$A,38+1)="","",INDEX(Data_Contracts!$A:$A,38+1))</f>
        <v/>
      </c>
      <c r="B42" s="30">
        <f>IF(INDEX(Data_Contracts!$C:$C,38+1)="","",INDEX(Data_Contracts!$C:$C,38+1))</f>
        <v/>
      </c>
      <c r="C42" s="30">
        <f>IF(INDEX(Data_Contracts!$D:$D,38+1)="","",INDEX(Data_Contracts!$D:$D,38+1))</f>
        <v/>
      </c>
      <c r="D42" s="31">
        <f>IF(INDEX(Data_Contracts!$E:$E,38+1)="","",INDEX(Data_Contracts!$E:$E,38+1))</f>
        <v/>
      </c>
      <c r="E42" s="26">
        <f>IF(INDEX(Data_Contracts!$F:$F,38+1)="","",INDEX(Data_Contracts!$F:$F,38+1))</f>
        <v/>
      </c>
      <c r="F42" s="25">
        <f>IF(OR($A42="",N($D42)=0),"",S42/$D42)</f>
        <v/>
      </c>
      <c r="G42" s="31">
        <f>IF($A42="","",SUMIFS(Data_EntMonth!$F:$F,Data_EntMonth!$A:$A,$A42,Data_EntMonth!$B:$B,S$4))</f>
        <v/>
      </c>
      <c r="H42" s="31">
        <f>IF($A42="","",SUMIFS(Data_EntMonth!$D:$D,Data_EntMonth!$A:$A,$A42,Data_EntMonth!$B:$B,H$4))</f>
        <v/>
      </c>
      <c r="I42" s="31">
        <f>IF($A42="","",SUMIFS(Data_EntMonth!$D:$D,Data_EntMonth!$A:$A,$A42,Data_EntMonth!$B:$B,I$4))</f>
        <v/>
      </c>
      <c r="J42" s="31">
        <f>IF($A42="","",SUMIFS(Data_EntMonth!$D:$D,Data_EntMonth!$A:$A,$A42,Data_EntMonth!$B:$B,J$4))</f>
        <v/>
      </c>
      <c r="K42" s="31">
        <f>IF($A42="","",SUMIFS(Data_EntMonth!$D:$D,Data_EntMonth!$A:$A,$A42,Data_EntMonth!$B:$B,K$4))</f>
        <v/>
      </c>
      <c r="L42" s="31">
        <f>IF($A42="","",SUMIFS(Data_EntMonth!$D:$D,Data_EntMonth!$A:$A,$A42,Data_EntMonth!$B:$B,L$4))</f>
        <v/>
      </c>
      <c r="M42" s="31">
        <f>IF($A42="","",SUMIFS(Data_EntMonth!$D:$D,Data_EntMonth!$A:$A,$A42,Data_EntMonth!$B:$B,M$4))</f>
        <v/>
      </c>
      <c r="N42" s="31">
        <f>IF($A42="","",SUMIFS(Data_EntMonth!$D:$D,Data_EntMonth!$A:$A,$A42,Data_EntMonth!$B:$B,N$4))</f>
        <v/>
      </c>
      <c r="O42" s="31">
        <f>IF($A42="","",SUMIFS(Data_EntMonth!$D:$D,Data_EntMonth!$A:$A,$A42,Data_EntMonth!$B:$B,O$4))</f>
        <v/>
      </c>
      <c r="P42" s="31">
        <f>IF($A42="","",SUMIFS(Data_EntMonth!$D:$D,Data_EntMonth!$A:$A,$A42,Data_EntMonth!$B:$B,P$4))</f>
        <v/>
      </c>
      <c r="Q42" s="31">
        <f>IF($A42="","",SUMIFS(Data_EntMonth!$D:$D,Data_EntMonth!$A:$A,$A42,Data_EntMonth!$B:$B,Q$4))</f>
        <v/>
      </c>
      <c r="R42" s="31">
        <f>IF($A42="","",SUMIFS(Data_EntMonth!$D:$D,Data_EntMonth!$A:$A,$A42,Data_EntMonth!$B:$B,R$4))</f>
        <v/>
      </c>
      <c r="S42" s="31">
        <f>IF($A42="","",SUMIFS(Data_EntMonth!$D:$D,Data_EntMonth!$A:$A,$A42,Data_EntMonth!$B:$B,S$4))</f>
        <v/>
      </c>
    </row>
    <row r="43">
      <c r="A43" s="3">
        <f>IF(INDEX(Data_Contracts!$A:$A,39+1)="","",INDEX(Data_Contracts!$A:$A,39+1))</f>
        <v/>
      </c>
      <c r="B43" s="30">
        <f>IF(INDEX(Data_Contracts!$C:$C,39+1)="","",INDEX(Data_Contracts!$C:$C,39+1))</f>
        <v/>
      </c>
      <c r="C43" s="30">
        <f>IF(INDEX(Data_Contracts!$D:$D,39+1)="","",INDEX(Data_Contracts!$D:$D,39+1))</f>
        <v/>
      </c>
      <c r="D43" s="31">
        <f>IF(INDEX(Data_Contracts!$E:$E,39+1)="","",INDEX(Data_Contracts!$E:$E,39+1))</f>
        <v/>
      </c>
      <c r="E43" s="26">
        <f>IF(INDEX(Data_Contracts!$F:$F,39+1)="","",INDEX(Data_Contracts!$F:$F,39+1))</f>
        <v/>
      </c>
      <c r="F43" s="25">
        <f>IF(OR($A43="",N($D43)=0),"",S43/$D43)</f>
        <v/>
      </c>
      <c r="G43" s="31">
        <f>IF($A43="","",SUMIFS(Data_EntMonth!$F:$F,Data_EntMonth!$A:$A,$A43,Data_EntMonth!$B:$B,S$4))</f>
        <v/>
      </c>
      <c r="H43" s="31">
        <f>IF($A43="","",SUMIFS(Data_EntMonth!$D:$D,Data_EntMonth!$A:$A,$A43,Data_EntMonth!$B:$B,H$4))</f>
        <v/>
      </c>
      <c r="I43" s="31">
        <f>IF($A43="","",SUMIFS(Data_EntMonth!$D:$D,Data_EntMonth!$A:$A,$A43,Data_EntMonth!$B:$B,I$4))</f>
        <v/>
      </c>
      <c r="J43" s="31">
        <f>IF($A43="","",SUMIFS(Data_EntMonth!$D:$D,Data_EntMonth!$A:$A,$A43,Data_EntMonth!$B:$B,J$4))</f>
        <v/>
      </c>
      <c r="K43" s="31">
        <f>IF($A43="","",SUMIFS(Data_EntMonth!$D:$D,Data_EntMonth!$A:$A,$A43,Data_EntMonth!$B:$B,K$4))</f>
        <v/>
      </c>
      <c r="L43" s="31">
        <f>IF($A43="","",SUMIFS(Data_EntMonth!$D:$D,Data_EntMonth!$A:$A,$A43,Data_EntMonth!$B:$B,L$4))</f>
        <v/>
      </c>
      <c r="M43" s="31">
        <f>IF($A43="","",SUMIFS(Data_EntMonth!$D:$D,Data_EntMonth!$A:$A,$A43,Data_EntMonth!$B:$B,M$4))</f>
        <v/>
      </c>
      <c r="N43" s="31">
        <f>IF($A43="","",SUMIFS(Data_EntMonth!$D:$D,Data_EntMonth!$A:$A,$A43,Data_EntMonth!$B:$B,N$4))</f>
        <v/>
      </c>
      <c r="O43" s="31">
        <f>IF($A43="","",SUMIFS(Data_EntMonth!$D:$D,Data_EntMonth!$A:$A,$A43,Data_EntMonth!$B:$B,O$4))</f>
        <v/>
      </c>
      <c r="P43" s="31">
        <f>IF($A43="","",SUMIFS(Data_EntMonth!$D:$D,Data_EntMonth!$A:$A,$A43,Data_EntMonth!$B:$B,P$4))</f>
        <v/>
      </c>
      <c r="Q43" s="31">
        <f>IF($A43="","",SUMIFS(Data_EntMonth!$D:$D,Data_EntMonth!$A:$A,$A43,Data_EntMonth!$B:$B,Q$4))</f>
        <v/>
      </c>
      <c r="R43" s="31">
        <f>IF($A43="","",SUMIFS(Data_EntMonth!$D:$D,Data_EntMonth!$A:$A,$A43,Data_EntMonth!$B:$B,R$4))</f>
        <v/>
      </c>
      <c r="S43" s="31">
        <f>IF($A43="","",SUMIFS(Data_EntMonth!$D:$D,Data_EntMonth!$A:$A,$A43,Data_EntMonth!$B:$B,S$4))</f>
        <v/>
      </c>
    </row>
    <row r="44">
      <c r="A44" s="3">
        <f>IF(INDEX(Data_Contracts!$A:$A,40+1)="","",INDEX(Data_Contracts!$A:$A,40+1))</f>
        <v/>
      </c>
      <c r="B44" s="30">
        <f>IF(INDEX(Data_Contracts!$C:$C,40+1)="","",INDEX(Data_Contracts!$C:$C,40+1))</f>
        <v/>
      </c>
      <c r="C44" s="30">
        <f>IF(INDEX(Data_Contracts!$D:$D,40+1)="","",INDEX(Data_Contracts!$D:$D,40+1))</f>
        <v/>
      </c>
      <c r="D44" s="31">
        <f>IF(INDEX(Data_Contracts!$E:$E,40+1)="","",INDEX(Data_Contracts!$E:$E,40+1))</f>
        <v/>
      </c>
      <c r="E44" s="26">
        <f>IF(INDEX(Data_Contracts!$F:$F,40+1)="","",INDEX(Data_Contracts!$F:$F,40+1))</f>
        <v/>
      </c>
      <c r="F44" s="25">
        <f>IF(OR($A44="",N($D44)=0),"",S44/$D44)</f>
        <v/>
      </c>
      <c r="G44" s="31">
        <f>IF($A44="","",SUMIFS(Data_EntMonth!$F:$F,Data_EntMonth!$A:$A,$A44,Data_EntMonth!$B:$B,S$4))</f>
        <v/>
      </c>
      <c r="H44" s="31">
        <f>IF($A44="","",SUMIFS(Data_EntMonth!$D:$D,Data_EntMonth!$A:$A,$A44,Data_EntMonth!$B:$B,H$4))</f>
        <v/>
      </c>
      <c r="I44" s="31">
        <f>IF($A44="","",SUMIFS(Data_EntMonth!$D:$D,Data_EntMonth!$A:$A,$A44,Data_EntMonth!$B:$B,I$4))</f>
        <v/>
      </c>
      <c r="J44" s="31">
        <f>IF($A44="","",SUMIFS(Data_EntMonth!$D:$D,Data_EntMonth!$A:$A,$A44,Data_EntMonth!$B:$B,J$4))</f>
        <v/>
      </c>
      <c r="K44" s="31">
        <f>IF($A44="","",SUMIFS(Data_EntMonth!$D:$D,Data_EntMonth!$A:$A,$A44,Data_EntMonth!$B:$B,K$4))</f>
        <v/>
      </c>
      <c r="L44" s="31">
        <f>IF($A44="","",SUMIFS(Data_EntMonth!$D:$D,Data_EntMonth!$A:$A,$A44,Data_EntMonth!$B:$B,L$4))</f>
        <v/>
      </c>
      <c r="M44" s="31">
        <f>IF($A44="","",SUMIFS(Data_EntMonth!$D:$D,Data_EntMonth!$A:$A,$A44,Data_EntMonth!$B:$B,M$4))</f>
        <v/>
      </c>
      <c r="N44" s="31">
        <f>IF($A44="","",SUMIFS(Data_EntMonth!$D:$D,Data_EntMonth!$A:$A,$A44,Data_EntMonth!$B:$B,N$4))</f>
        <v/>
      </c>
      <c r="O44" s="31">
        <f>IF($A44="","",SUMIFS(Data_EntMonth!$D:$D,Data_EntMonth!$A:$A,$A44,Data_EntMonth!$B:$B,O$4))</f>
        <v/>
      </c>
      <c r="P44" s="31">
        <f>IF($A44="","",SUMIFS(Data_EntMonth!$D:$D,Data_EntMonth!$A:$A,$A44,Data_EntMonth!$B:$B,P$4))</f>
        <v/>
      </c>
      <c r="Q44" s="31">
        <f>IF($A44="","",SUMIFS(Data_EntMonth!$D:$D,Data_EntMonth!$A:$A,$A44,Data_EntMonth!$B:$B,Q$4))</f>
        <v/>
      </c>
      <c r="R44" s="31">
        <f>IF($A44="","",SUMIFS(Data_EntMonth!$D:$D,Data_EntMonth!$A:$A,$A44,Data_EntMonth!$B:$B,R$4))</f>
        <v/>
      </c>
      <c r="S44" s="31">
        <f>IF($A44="","",SUMIFS(Data_EntMonth!$D:$D,Data_EntMonth!$A:$A,$A44,Data_EntMonth!$B:$B,S$4))</f>
        <v/>
      </c>
    </row>
    <row r="45">
      <c r="A45" s="2" t="inlineStr">
        <is>
          <t>Total</t>
        </is>
      </c>
      <c r="D45" s="32">
        <f>SUM(D5:D44)</f>
        <v/>
      </c>
      <c r="G45" s="32">
        <f>SUM(G5:G44)</f>
        <v/>
      </c>
      <c r="H45" s="32">
        <f>SUM(H5:H44)</f>
        <v/>
      </c>
      <c r="I45" s="32">
        <f>SUM(I5:I44)</f>
        <v/>
      </c>
      <c r="J45" s="32">
        <f>SUM(J5:J44)</f>
        <v/>
      </c>
      <c r="K45" s="32">
        <f>SUM(K5:K44)</f>
        <v/>
      </c>
      <c r="L45" s="32">
        <f>SUM(L5:L44)</f>
        <v/>
      </c>
      <c r="M45" s="32">
        <f>SUM(M5:M44)</f>
        <v/>
      </c>
      <c r="N45" s="32">
        <f>SUM(N5:N44)</f>
        <v/>
      </c>
      <c r="O45" s="32">
        <f>SUM(O5:O44)</f>
        <v/>
      </c>
      <c r="P45" s="32">
        <f>SUM(P5:P44)</f>
        <v/>
      </c>
      <c r="Q45" s="32">
        <f>SUM(Q5:Q44)</f>
        <v/>
      </c>
      <c r="R45" s="32">
        <f>SUM(R5:R44)</f>
        <v/>
      </c>
      <c r="S45" s="32">
        <f>SUM(S5:S44)</f>
        <v/>
      </c>
    </row>
    <row r="48">
      <c r="A48" s="19" t="inlineStr">
        <is>
          <t>Open pipeline (CRM)</t>
        </is>
      </c>
      <c r="B48" s="20" t="n"/>
      <c r="C48" s="20" t="n"/>
      <c r="D48" s="20" t="n"/>
      <c r="E48" s="20" t="n"/>
      <c r="F48" s="20" t="n"/>
      <c r="G48" s="20" t="n"/>
      <c r="H48" s="20" t="n"/>
    </row>
    <row r="49">
      <c r="A49" s="8" t="inlineStr">
        <is>
          <t>Deal</t>
        </is>
      </c>
      <c r="B49" s="8" t="inlineStr">
        <is>
          <t>Customer</t>
        </is>
      </c>
      <c r="C49" s="8" t="inlineStr">
        <is>
          <t>Stage</t>
        </is>
      </c>
      <c r="D49" s="8" t="inlineStr">
        <is>
          <t>Probability</t>
        </is>
      </c>
      <c r="E49" s="8" t="inlineStr">
        <is>
          <t>Expected monthly commit ($)</t>
        </is>
      </c>
      <c r="F49" s="8" t="inlineStr">
        <is>
          <t>Expected start</t>
        </is>
      </c>
      <c r="G49" s="8" t="inlineStr">
        <is>
          <t>Weighted commit ($)</t>
        </is>
      </c>
      <c r="H49" s="8" t="inlineStr">
        <is>
          <t>Use cases</t>
        </is>
      </c>
    </row>
    <row r="50">
      <c r="A50" s="3">
        <f>IF(INDEX(Data_Pipeline!$A:$A,1+1)="","",INDEX(Data_Pipeline!$A:$A,1+1))</f>
        <v/>
      </c>
      <c r="B50" s="3">
        <f>IF(INDEX(Data_Pipeline!$B:$B,1+1)="","",INDEX(Data_Pipeline!$B:$B,1+1))</f>
        <v/>
      </c>
      <c r="C50" s="3">
        <f>IF(INDEX(Data_Pipeline!$C:$C,1+1)="","",INDEX(Data_Pipeline!$C:$C,1+1))</f>
        <v/>
      </c>
      <c r="D50" s="25">
        <f>IF(INDEX(Data_Pipeline!$D:$D,1+1)="","",INDEX(Data_Pipeline!$D:$D,1+1))</f>
        <v/>
      </c>
      <c r="E50" s="31">
        <f>IF(INDEX(Data_Pipeline!$E:$E,1+1)="","",INDEX(Data_Pipeline!$E:$E,1+1))</f>
        <v/>
      </c>
      <c r="F50" s="30">
        <f>IF(INDEX(Data_Pipeline!$F:$F,1+1)="","",INDEX(Data_Pipeline!$F:$F,1+1))</f>
        <v/>
      </c>
      <c r="G50" s="31">
        <f>IF($A50="","",D50*E50)</f>
        <v/>
      </c>
      <c r="H50" s="3">
        <f>IF(INDEX(Data_Pipeline!$H:$H,1+1)="","",INDEX(Data_Pipeline!$H:$H,1+1))</f>
        <v/>
      </c>
    </row>
    <row r="51">
      <c r="A51" s="3">
        <f>IF(INDEX(Data_Pipeline!$A:$A,2+1)="","",INDEX(Data_Pipeline!$A:$A,2+1))</f>
        <v/>
      </c>
      <c r="B51" s="3">
        <f>IF(INDEX(Data_Pipeline!$B:$B,2+1)="","",INDEX(Data_Pipeline!$B:$B,2+1))</f>
        <v/>
      </c>
      <c r="C51" s="3">
        <f>IF(INDEX(Data_Pipeline!$C:$C,2+1)="","",INDEX(Data_Pipeline!$C:$C,2+1))</f>
        <v/>
      </c>
      <c r="D51" s="25">
        <f>IF(INDEX(Data_Pipeline!$D:$D,2+1)="","",INDEX(Data_Pipeline!$D:$D,2+1))</f>
        <v/>
      </c>
      <c r="E51" s="31">
        <f>IF(INDEX(Data_Pipeline!$E:$E,2+1)="","",INDEX(Data_Pipeline!$E:$E,2+1))</f>
        <v/>
      </c>
      <c r="F51" s="30">
        <f>IF(INDEX(Data_Pipeline!$F:$F,2+1)="","",INDEX(Data_Pipeline!$F:$F,2+1))</f>
        <v/>
      </c>
      <c r="G51" s="31">
        <f>IF($A51="","",D51*E51)</f>
        <v/>
      </c>
      <c r="H51" s="3">
        <f>IF(INDEX(Data_Pipeline!$H:$H,2+1)="","",INDEX(Data_Pipeline!$H:$H,2+1))</f>
        <v/>
      </c>
    </row>
    <row r="52">
      <c r="A52" s="3">
        <f>IF(INDEX(Data_Pipeline!$A:$A,3+1)="","",INDEX(Data_Pipeline!$A:$A,3+1))</f>
        <v/>
      </c>
      <c r="B52" s="3">
        <f>IF(INDEX(Data_Pipeline!$B:$B,3+1)="","",INDEX(Data_Pipeline!$B:$B,3+1))</f>
        <v/>
      </c>
      <c r="C52" s="3">
        <f>IF(INDEX(Data_Pipeline!$C:$C,3+1)="","",INDEX(Data_Pipeline!$C:$C,3+1))</f>
        <v/>
      </c>
      <c r="D52" s="25">
        <f>IF(INDEX(Data_Pipeline!$D:$D,3+1)="","",INDEX(Data_Pipeline!$D:$D,3+1))</f>
        <v/>
      </c>
      <c r="E52" s="31">
        <f>IF(INDEX(Data_Pipeline!$E:$E,3+1)="","",INDEX(Data_Pipeline!$E:$E,3+1))</f>
        <v/>
      </c>
      <c r="F52" s="30">
        <f>IF(INDEX(Data_Pipeline!$F:$F,3+1)="","",INDEX(Data_Pipeline!$F:$F,3+1))</f>
        <v/>
      </c>
      <c r="G52" s="31">
        <f>IF($A52="","",D52*E52)</f>
        <v/>
      </c>
      <c r="H52" s="3">
        <f>IF(INDEX(Data_Pipeline!$H:$H,3+1)="","",INDEX(Data_Pipeline!$H:$H,3+1))</f>
        <v/>
      </c>
    </row>
    <row r="53">
      <c r="A53" s="3">
        <f>IF(INDEX(Data_Pipeline!$A:$A,4+1)="","",INDEX(Data_Pipeline!$A:$A,4+1))</f>
        <v/>
      </c>
      <c r="B53" s="3">
        <f>IF(INDEX(Data_Pipeline!$B:$B,4+1)="","",INDEX(Data_Pipeline!$B:$B,4+1))</f>
        <v/>
      </c>
      <c r="C53" s="3">
        <f>IF(INDEX(Data_Pipeline!$C:$C,4+1)="","",INDEX(Data_Pipeline!$C:$C,4+1))</f>
        <v/>
      </c>
      <c r="D53" s="25">
        <f>IF(INDEX(Data_Pipeline!$D:$D,4+1)="","",INDEX(Data_Pipeline!$D:$D,4+1))</f>
        <v/>
      </c>
      <c r="E53" s="31">
        <f>IF(INDEX(Data_Pipeline!$E:$E,4+1)="","",INDEX(Data_Pipeline!$E:$E,4+1))</f>
        <v/>
      </c>
      <c r="F53" s="30">
        <f>IF(INDEX(Data_Pipeline!$F:$F,4+1)="","",INDEX(Data_Pipeline!$F:$F,4+1))</f>
        <v/>
      </c>
      <c r="G53" s="31">
        <f>IF($A53="","",D53*E53)</f>
        <v/>
      </c>
      <c r="H53" s="3">
        <f>IF(INDEX(Data_Pipeline!$H:$H,4+1)="","",INDEX(Data_Pipeline!$H:$H,4+1))</f>
        <v/>
      </c>
    </row>
    <row r="54">
      <c r="A54" s="3">
        <f>IF(INDEX(Data_Pipeline!$A:$A,5+1)="","",INDEX(Data_Pipeline!$A:$A,5+1))</f>
        <v/>
      </c>
      <c r="B54" s="3">
        <f>IF(INDEX(Data_Pipeline!$B:$B,5+1)="","",INDEX(Data_Pipeline!$B:$B,5+1))</f>
        <v/>
      </c>
      <c r="C54" s="3">
        <f>IF(INDEX(Data_Pipeline!$C:$C,5+1)="","",INDEX(Data_Pipeline!$C:$C,5+1))</f>
        <v/>
      </c>
      <c r="D54" s="25">
        <f>IF(INDEX(Data_Pipeline!$D:$D,5+1)="","",INDEX(Data_Pipeline!$D:$D,5+1))</f>
        <v/>
      </c>
      <c r="E54" s="31">
        <f>IF(INDEX(Data_Pipeline!$E:$E,5+1)="","",INDEX(Data_Pipeline!$E:$E,5+1))</f>
        <v/>
      </c>
      <c r="F54" s="30">
        <f>IF(INDEX(Data_Pipeline!$F:$F,5+1)="","",INDEX(Data_Pipeline!$F:$F,5+1))</f>
        <v/>
      </c>
      <c r="G54" s="31">
        <f>IF($A54="","",D54*E54)</f>
        <v/>
      </c>
      <c r="H54" s="3">
        <f>IF(INDEX(Data_Pipeline!$H:$H,5+1)="","",INDEX(Data_Pipeline!$H:$H,5+1))</f>
        <v/>
      </c>
    </row>
    <row r="55">
      <c r="A55" s="3">
        <f>IF(INDEX(Data_Pipeline!$A:$A,6+1)="","",INDEX(Data_Pipeline!$A:$A,6+1))</f>
        <v/>
      </c>
      <c r="B55" s="3">
        <f>IF(INDEX(Data_Pipeline!$B:$B,6+1)="","",INDEX(Data_Pipeline!$B:$B,6+1))</f>
        <v/>
      </c>
      <c r="C55" s="3">
        <f>IF(INDEX(Data_Pipeline!$C:$C,6+1)="","",INDEX(Data_Pipeline!$C:$C,6+1))</f>
        <v/>
      </c>
      <c r="D55" s="25">
        <f>IF(INDEX(Data_Pipeline!$D:$D,6+1)="","",INDEX(Data_Pipeline!$D:$D,6+1))</f>
        <v/>
      </c>
      <c r="E55" s="31">
        <f>IF(INDEX(Data_Pipeline!$E:$E,6+1)="","",INDEX(Data_Pipeline!$E:$E,6+1))</f>
        <v/>
      </c>
      <c r="F55" s="30">
        <f>IF(INDEX(Data_Pipeline!$F:$F,6+1)="","",INDEX(Data_Pipeline!$F:$F,6+1))</f>
        <v/>
      </c>
      <c r="G55" s="31">
        <f>IF($A55="","",D55*E55)</f>
        <v/>
      </c>
      <c r="H55" s="3">
        <f>IF(INDEX(Data_Pipeline!$H:$H,6+1)="","",INDEX(Data_Pipeline!$H:$H,6+1))</f>
        <v/>
      </c>
    </row>
    <row r="56">
      <c r="A56" s="3">
        <f>IF(INDEX(Data_Pipeline!$A:$A,7+1)="","",INDEX(Data_Pipeline!$A:$A,7+1))</f>
        <v/>
      </c>
      <c r="B56" s="3">
        <f>IF(INDEX(Data_Pipeline!$B:$B,7+1)="","",INDEX(Data_Pipeline!$B:$B,7+1))</f>
        <v/>
      </c>
      <c r="C56" s="3">
        <f>IF(INDEX(Data_Pipeline!$C:$C,7+1)="","",INDEX(Data_Pipeline!$C:$C,7+1))</f>
        <v/>
      </c>
      <c r="D56" s="25">
        <f>IF(INDEX(Data_Pipeline!$D:$D,7+1)="","",INDEX(Data_Pipeline!$D:$D,7+1))</f>
        <v/>
      </c>
      <c r="E56" s="31">
        <f>IF(INDEX(Data_Pipeline!$E:$E,7+1)="","",INDEX(Data_Pipeline!$E:$E,7+1))</f>
        <v/>
      </c>
      <c r="F56" s="30">
        <f>IF(INDEX(Data_Pipeline!$F:$F,7+1)="","",INDEX(Data_Pipeline!$F:$F,7+1))</f>
        <v/>
      </c>
      <c r="G56" s="31">
        <f>IF($A56="","",D56*E56)</f>
        <v/>
      </c>
      <c r="H56" s="3">
        <f>IF(INDEX(Data_Pipeline!$H:$H,7+1)="","",INDEX(Data_Pipeline!$H:$H,7+1))</f>
        <v/>
      </c>
    </row>
    <row r="57">
      <c r="A57" s="3">
        <f>IF(INDEX(Data_Pipeline!$A:$A,8+1)="","",INDEX(Data_Pipeline!$A:$A,8+1))</f>
        <v/>
      </c>
      <c r="B57" s="3">
        <f>IF(INDEX(Data_Pipeline!$B:$B,8+1)="","",INDEX(Data_Pipeline!$B:$B,8+1))</f>
        <v/>
      </c>
      <c r="C57" s="3">
        <f>IF(INDEX(Data_Pipeline!$C:$C,8+1)="","",INDEX(Data_Pipeline!$C:$C,8+1))</f>
        <v/>
      </c>
      <c r="D57" s="25">
        <f>IF(INDEX(Data_Pipeline!$D:$D,8+1)="","",INDEX(Data_Pipeline!$D:$D,8+1))</f>
        <v/>
      </c>
      <c r="E57" s="31">
        <f>IF(INDEX(Data_Pipeline!$E:$E,8+1)="","",INDEX(Data_Pipeline!$E:$E,8+1))</f>
        <v/>
      </c>
      <c r="F57" s="30">
        <f>IF(INDEX(Data_Pipeline!$F:$F,8+1)="","",INDEX(Data_Pipeline!$F:$F,8+1))</f>
        <v/>
      </c>
      <c r="G57" s="31">
        <f>IF($A57="","",D57*E57)</f>
        <v/>
      </c>
      <c r="H57" s="3">
        <f>IF(INDEX(Data_Pipeline!$H:$H,8+1)="","",INDEX(Data_Pipeline!$H:$H,8+1))</f>
        <v/>
      </c>
    </row>
    <row r="58">
      <c r="A58" s="3">
        <f>IF(INDEX(Data_Pipeline!$A:$A,9+1)="","",INDEX(Data_Pipeline!$A:$A,9+1))</f>
        <v/>
      </c>
      <c r="B58" s="3">
        <f>IF(INDEX(Data_Pipeline!$B:$B,9+1)="","",INDEX(Data_Pipeline!$B:$B,9+1))</f>
        <v/>
      </c>
      <c r="C58" s="3">
        <f>IF(INDEX(Data_Pipeline!$C:$C,9+1)="","",INDEX(Data_Pipeline!$C:$C,9+1))</f>
        <v/>
      </c>
      <c r="D58" s="25">
        <f>IF(INDEX(Data_Pipeline!$D:$D,9+1)="","",INDEX(Data_Pipeline!$D:$D,9+1))</f>
        <v/>
      </c>
      <c r="E58" s="31">
        <f>IF(INDEX(Data_Pipeline!$E:$E,9+1)="","",INDEX(Data_Pipeline!$E:$E,9+1))</f>
        <v/>
      </c>
      <c r="F58" s="30">
        <f>IF(INDEX(Data_Pipeline!$F:$F,9+1)="","",INDEX(Data_Pipeline!$F:$F,9+1))</f>
        <v/>
      </c>
      <c r="G58" s="31">
        <f>IF($A58="","",D58*E58)</f>
        <v/>
      </c>
      <c r="H58" s="3">
        <f>IF(INDEX(Data_Pipeline!$H:$H,9+1)="","",INDEX(Data_Pipeline!$H:$H,9+1))</f>
        <v/>
      </c>
    </row>
    <row r="59">
      <c r="A59" s="3">
        <f>IF(INDEX(Data_Pipeline!$A:$A,10+1)="","",INDEX(Data_Pipeline!$A:$A,10+1))</f>
        <v/>
      </c>
      <c r="B59" s="3">
        <f>IF(INDEX(Data_Pipeline!$B:$B,10+1)="","",INDEX(Data_Pipeline!$B:$B,10+1))</f>
        <v/>
      </c>
      <c r="C59" s="3">
        <f>IF(INDEX(Data_Pipeline!$C:$C,10+1)="","",INDEX(Data_Pipeline!$C:$C,10+1))</f>
        <v/>
      </c>
      <c r="D59" s="25">
        <f>IF(INDEX(Data_Pipeline!$D:$D,10+1)="","",INDEX(Data_Pipeline!$D:$D,10+1))</f>
        <v/>
      </c>
      <c r="E59" s="31">
        <f>IF(INDEX(Data_Pipeline!$E:$E,10+1)="","",INDEX(Data_Pipeline!$E:$E,10+1))</f>
        <v/>
      </c>
      <c r="F59" s="30">
        <f>IF(INDEX(Data_Pipeline!$F:$F,10+1)="","",INDEX(Data_Pipeline!$F:$F,10+1))</f>
        <v/>
      </c>
      <c r="G59" s="31">
        <f>IF($A59="","",D59*E59)</f>
        <v/>
      </c>
      <c r="H59" s="3">
        <f>IF(INDEX(Data_Pipeline!$H:$H,10+1)="","",INDEX(Data_Pipeline!$H:$H,10+1))</f>
        <v/>
      </c>
    </row>
    <row r="60">
      <c r="A60" s="3">
        <f>IF(INDEX(Data_Pipeline!$A:$A,11+1)="","",INDEX(Data_Pipeline!$A:$A,11+1))</f>
        <v/>
      </c>
      <c r="B60" s="3">
        <f>IF(INDEX(Data_Pipeline!$B:$B,11+1)="","",INDEX(Data_Pipeline!$B:$B,11+1))</f>
        <v/>
      </c>
      <c r="C60" s="3">
        <f>IF(INDEX(Data_Pipeline!$C:$C,11+1)="","",INDEX(Data_Pipeline!$C:$C,11+1))</f>
        <v/>
      </c>
      <c r="D60" s="25">
        <f>IF(INDEX(Data_Pipeline!$D:$D,11+1)="","",INDEX(Data_Pipeline!$D:$D,11+1))</f>
        <v/>
      </c>
      <c r="E60" s="31">
        <f>IF(INDEX(Data_Pipeline!$E:$E,11+1)="","",INDEX(Data_Pipeline!$E:$E,11+1))</f>
        <v/>
      </c>
      <c r="F60" s="30">
        <f>IF(INDEX(Data_Pipeline!$F:$F,11+1)="","",INDEX(Data_Pipeline!$F:$F,11+1))</f>
        <v/>
      </c>
      <c r="G60" s="31">
        <f>IF($A60="","",D60*E60)</f>
        <v/>
      </c>
      <c r="H60" s="3">
        <f>IF(INDEX(Data_Pipeline!$H:$H,11+1)="","",INDEX(Data_Pipeline!$H:$H,11+1))</f>
        <v/>
      </c>
    </row>
    <row r="61">
      <c r="A61" s="3">
        <f>IF(INDEX(Data_Pipeline!$A:$A,12+1)="","",INDEX(Data_Pipeline!$A:$A,12+1))</f>
        <v/>
      </c>
      <c r="B61" s="3">
        <f>IF(INDEX(Data_Pipeline!$B:$B,12+1)="","",INDEX(Data_Pipeline!$B:$B,12+1))</f>
        <v/>
      </c>
      <c r="C61" s="3">
        <f>IF(INDEX(Data_Pipeline!$C:$C,12+1)="","",INDEX(Data_Pipeline!$C:$C,12+1))</f>
        <v/>
      </c>
      <c r="D61" s="25">
        <f>IF(INDEX(Data_Pipeline!$D:$D,12+1)="","",INDEX(Data_Pipeline!$D:$D,12+1))</f>
        <v/>
      </c>
      <c r="E61" s="31">
        <f>IF(INDEX(Data_Pipeline!$E:$E,12+1)="","",INDEX(Data_Pipeline!$E:$E,12+1))</f>
        <v/>
      </c>
      <c r="F61" s="30">
        <f>IF(INDEX(Data_Pipeline!$F:$F,12+1)="","",INDEX(Data_Pipeline!$F:$F,12+1))</f>
        <v/>
      </c>
      <c r="G61" s="31">
        <f>IF($A61="","",D61*E61)</f>
        <v/>
      </c>
      <c r="H61" s="3">
        <f>IF(INDEX(Data_Pipeline!$H:$H,12+1)="","",INDEX(Data_Pipeline!$H:$H,12+1))</f>
        <v/>
      </c>
    </row>
    <row r="62">
      <c r="A62" s="3">
        <f>IF(INDEX(Data_Pipeline!$A:$A,13+1)="","",INDEX(Data_Pipeline!$A:$A,13+1))</f>
        <v/>
      </c>
      <c r="B62" s="3">
        <f>IF(INDEX(Data_Pipeline!$B:$B,13+1)="","",INDEX(Data_Pipeline!$B:$B,13+1))</f>
        <v/>
      </c>
      <c r="C62" s="3">
        <f>IF(INDEX(Data_Pipeline!$C:$C,13+1)="","",INDEX(Data_Pipeline!$C:$C,13+1))</f>
        <v/>
      </c>
      <c r="D62" s="25">
        <f>IF(INDEX(Data_Pipeline!$D:$D,13+1)="","",INDEX(Data_Pipeline!$D:$D,13+1))</f>
        <v/>
      </c>
      <c r="E62" s="31">
        <f>IF(INDEX(Data_Pipeline!$E:$E,13+1)="","",INDEX(Data_Pipeline!$E:$E,13+1))</f>
        <v/>
      </c>
      <c r="F62" s="30">
        <f>IF(INDEX(Data_Pipeline!$F:$F,13+1)="","",INDEX(Data_Pipeline!$F:$F,13+1))</f>
        <v/>
      </c>
      <c r="G62" s="31">
        <f>IF($A62="","",D62*E62)</f>
        <v/>
      </c>
      <c r="H62" s="3">
        <f>IF(INDEX(Data_Pipeline!$H:$H,13+1)="","",INDEX(Data_Pipeline!$H:$H,13+1))</f>
        <v/>
      </c>
    </row>
    <row r="63">
      <c r="A63" s="3">
        <f>IF(INDEX(Data_Pipeline!$A:$A,14+1)="","",INDEX(Data_Pipeline!$A:$A,14+1))</f>
        <v/>
      </c>
      <c r="B63" s="3">
        <f>IF(INDEX(Data_Pipeline!$B:$B,14+1)="","",INDEX(Data_Pipeline!$B:$B,14+1))</f>
        <v/>
      </c>
      <c r="C63" s="3">
        <f>IF(INDEX(Data_Pipeline!$C:$C,14+1)="","",INDEX(Data_Pipeline!$C:$C,14+1))</f>
        <v/>
      </c>
      <c r="D63" s="25">
        <f>IF(INDEX(Data_Pipeline!$D:$D,14+1)="","",INDEX(Data_Pipeline!$D:$D,14+1))</f>
        <v/>
      </c>
      <c r="E63" s="31">
        <f>IF(INDEX(Data_Pipeline!$E:$E,14+1)="","",INDEX(Data_Pipeline!$E:$E,14+1))</f>
        <v/>
      </c>
      <c r="F63" s="30">
        <f>IF(INDEX(Data_Pipeline!$F:$F,14+1)="","",INDEX(Data_Pipeline!$F:$F,14+1))</f>
        <v/>
      </c>
      <c r="G63" s="31">
        <f>IF($A63="","",D63*E63)</f>
        <v/>
      </c>
      <c r="H63" s="3">
        <f>IF(INDEX(Data_Pipeline!$H:$H,14+1)="","",INDEX(Data_Pipeline!$H:$H,14+1))</f>
        <v/>
      </c>
    </row>
    <row r="64">
      <c r="A64" s="3">
        <f>IF(INDEX(Data_Pipeline!$A:$A,15+1)="","",INDEX(Data_Pipeline!$A:$A,15+1))</f>
        <v/>
      </c>
      <c r="B64" s="3">
        <f>IF(INDEX(Data_Pipeline!$B:$B,15+1)="","",INDEX(Data_Pipeline!$B:$B,15+1))</f>
        <v/>
      </c>
      <c r="C64" s="3">
        <f>IF(INDEX(Data_Pipeline!$C:$C,15+1)="","",INDEX(Data_Pipeline!$C:$C,15+1))</f>
        <v/>
      </c>
      <c r="D64" s="25">
        <f>IF(INDEX(Data_Pipeline!$D:$D,15+1)="","",INDEX(Data_Pipeline!$D:$D,15+1))</f>
        <v/>
      </c>
      <c r="E64" s="31">
        <f>IF(INDEX(Data_Pipeline!$E:$E,15+1)="","",INDEX(Data_Pipeline!$E:$E,15+1))</f>
        <v/>
      </c>
      <c r="F64" s="30">
        <f>IF(INDEX(Data_Pipeline!$F:$F,15+1)="","",INDEX(Data_Pipeline!$F:$F,15+1))</f>
        <v/>
      </c>
      <c r="G64" s="31">
        <f>IF($A64="","",D64*E64)</f>
        <v/>
      </c>
      <c r="H64" s="3">
        <f>IF(INDEX(Data_Pipeline!$H:$H,15+1)="","",INDEX(Data_Pipeline!$H:$H,15+1))</f>
        <v/>
      </c>
    </row>
    <row r="65">
      <c r="A65" s="3">
        <f>IF(INDEX(Data_Pipeline!$A:$A,16+1)="","",INDEX(Data_Pipeline!$A:$A,16+1))</f>
        <v/>
      </c>
      <c r="B65" s="3">
        <f>IF(INDEX(Data_Pipeline!$B:$B,16+1)="","",INDEX(Data_Pipeline!$B:$B,16+1))</f>
        <v/>
      </c>
      <c r="C65" s="3">
        <f>IF(INDEX(Data_Pipeline!$C:$C,16+1)="","",INDEX(Data_Pipeline!$C:$C,16+1))</f>
        <v/>
      </c>
      <c r="D65" s="25">
        <f>IF(INDEX(Data_Pipeline!$D:$D,16+1)="","",INDEX(Data_Pipeline!$D:$D,16+1))</f>
        <v/>
      </c>
      <c r="E65" s="31">
        <f>IF(INDEX(Data_Pipeline!$E:$E,16+1)="","",INDEX(Data_Pipeline!$E:$E,16+1))</f>
        <v/>
      </c>
      <c r="F65" s="30">
        <f>IF(INDEX(Data_Pipeline!$F:$F,16+1)="","",INDEX(Data_Pipeline!$F:$F,16+1))</f>
        <v/>
      </c>
      <c r="G65" s="31">
        <f>IF($A65="","",D65*E65)</f>
        <v/>
      </c>
      <c r="H65" s="3">
        <f>IF(INDEX(Data_Pipeline!$H:$H,16+1)="","",INDEX(Data_Pipeline!$H:$H,16+1))</f>
        <v/>
      </c>
    </row>
    <row r="66">
      <c r="A66" s="3">
        <f>IF(INDEX(Data_Pipeline!$A:$A,17+1)="","",INDEX(Data_Pipeline!$A:$A,17+1))</f>
        <v/>
      </c>
      <c r="B66" s="3">
        <f>IF(INDEX(Data_Pipeline!$B:$B,17+1)="","",INDEX(Data_Pipeline!$B:$B,17+1))</f>
        <v/>
      </c>
      <c r="C66" s="3">
        <f>IF(INDEX(Data_Pipeline!$C:$C,17+1)="","",INDEX(Data_Pipeline!$C:$C,17+1))</f>
        <v/>
      </c>
      <c r="D66" s="25">
        <f>IF(INDEX(Data_Pipeline!$D:$D,17+1)="","",INDEX(Data_Pipeline!$D:$D,17+1))</f>
        <v/>
      </c>
      <c r="E66" s="31">
        <f>IF(INDEX(Data_Pipeline!$E:$E,17+1)="","",INDEX(Data_Pipeline!$E:$E,17+1))</f>
        <v/>
      </c>
      <c r="F66" s="30">
        <f>IF(INDEX(Data_Pipeline!$F:$F,17+1)="","",INDEX(Data_Pipeline!$F:$F,17+1))</f>
        <v/>
      </c>
      <c r="G66" s="31">
        <f>IF($A66="","",D66*E66)</f>
        <v/>
      </c>
      <c r="H66" s="3">
        <f>IF(INDEX(Data_Pipeline!$H:$H,17+1)="","",INDEX(Data_Pipeline!$H:$H,17+1))</f>
        <v/>
      </c>
    </row>
    <row r="67">
      <c r="A67" s="3">
        <f>IF(INDEX(Data_Pipeline!$A:$A,18+1)="","",INDEX(Data_Pipeline!$A:$A,18+1))</f>
        <v/>
      </c>
      <c r="B67" s="3">
        <f>IF(INDEX(Data_Pipeline!$B:$B,18+1)="","",INDEX(Data_Pipeline!$B:$B,18+1))</f>
        <v/>
      </c>
      <c r="C67" s="3">
        <f>IF(INDEX(Data_Pipeline!$C:$C,18+1)="","",INDEX(Data_Pipeline!$C:$C,18+1))</f>
        <v/>
      </c>
      <c r="D67" s="25">
        <f>IF(INDEX(Data_Pipeline!$D:$D,18+1)="","",INDEX(Data_Pipeline!$D:$D,18+1))</f>
        <v/>
      </c>
      <c r="E67" s="31">
        <f>IF(INDEX(Data_Pipeline!$E:$E,18+1)="","",INDEX(Data_Pipeline!$E:$E,18+1))</f>
        <v/>
      </c>
      <c r="F67" s="30">
        <f>IF(INDEX(Data_Pipeline!$F:$F,18+1)="","",INDEX(Data_Pipeline!$F:$F,18+1))</f>
        <v/>
      </c>
      <c r="G67" s="31">
        <f>IF($A67="","",D67*E67)</f>
        <v/>
      </c>
      <c r="H67" s="3">
        <f>IF(INDEX(Data_Pipeline!$H:$H,18+1)="","",INDEX(Data_Pipeline!$H:$H,18+1))</f>
        <v/>
      </c>
    </row>
    <row r="68">
      <c r="A68" s="3">
        <f>IF(INDEX(Data_Pipeline!$A:$A,19+1)="","",INDEX(Data_Pipeline!$A:$A,19+1))</f>
        <v/>
      </c>
      <c r="B68" s="3">
        <f>IF(INDEX(Data_Pipeline!$B:$B,19+1)="","",INDEX(Data_Pipeline!$B:$B,19+1))</f>
        <v/>
      </c>
      <c r="C68" s="3">
        <f>IF(INDEX(Data_Pipeline!$C:$C,19+1)="","",INDEX(Data_Pipeline!$C:$C,19+1))</f>
        <v/>
      </c>
      <c r="D68" s="25">
        <f>IF(INDEX(Data_Pipeline!$D:$D,19+1)="","",INDEX(Data_Pipeline!$D:$D,19+1))</f>
        <v/>
      </c>
      <c r="E68" s="31">
        <f>IF(INDEX(Data_Pipeline!$E:$E,19+1)="","",INDEX(Data_Pipeline!$E:$E,19+1))</f>
        <v/>
      </c>
      <c r="F68" s="30">
        <f>IF(INDEX(Data_Pipeline!$F:$F,19+1)="","",INDEX(Data_Pipeline!$F:$F,19+1))</f>
        <v/>
      </c>
      <c r="G68" s="31">
        <f>IF($A68="","",D68*E68)</f>
        <v/>
      </c>
      <c r="H68" s="3">
        <f>IF(INDEX(Data_Pipeline!$H:$H,19+1)="","",INDEX(Data_Pipeline!$H:$H,19+1))</f>
        <v/>
      </c>
    </row>
    <row r="69">
      <c r="A69" s="3">
        <f>IF(INDEX(Data_Pipeline!$A:$A,20+1)="","",INDEX(Data_Pipeline!$A:$A,20+1))</f>
        <v/>
      </c>
      <c r="B69" s="3">
        <f>IF(INDEX(Data_Pipeline!$B:$B,20+1)="","",INDEX(Data_Pipeline!$B:$B,20+1))</f>
        <v/>
      </c>
      <c r="C69" s="3">
        <f>IF(INDEX(Data_Pipeline!$C:$C,20+1)="","",INDEX(Data_Pipeline!$C:$C,20+1))</f>
        <v/>
      </c>
      <c r="D69" s="25">
        <f>IF(INDEX(Data_Pipeline!$D:$D,20+1)="","",INDEX(Data_Pipeline!$D:$D,20+1))</f>
        <v/>
      </c>
      <c r="E69" s="31">
        <f>IF(INDEX(Data_Pipeline!$E:$E,20+1)="","",INDEX(Data_Pipeline!$E:$E,20+1))</f>
        <v/>
      </c>
      <c r="F69" s="30">
        <f>IF(INDEX(Data_Pipeline!$F:$F,20+1)="","",INDEX(Data_Pipeline!$F:$F,20+1))</f>
        <v/>
      </c>
      <c r="G69" s="31">
        <f>IF($A69="","",D69*E69)</f>
        <v/>
      </c>
      <c r="H69" s="3">
        <f>IF(INDEX(Data_Pipeline!$H:$H,20+1)="","",INDEX(Data_Pipeline!$H:$H,20+1))</f>
        <v/>
      </c>
    </row>
    <row r="70">
      <c r="A70" s="3">
        <f>IF(INDEX(Data_Pipeline!$A:$A,21+1)="","",INDEX(Data_Pipeline!$A:$A,21+1))</f>
        <v/>
      </c>
      <c r="B70" s="3">
        <f>IF(INDEX(Data_Pipeline!$B:$B,21+1)="","",INDEX(Data_Pipeline!$B:$B,21+1))</f>
        <v/>
      </c>
      <c r="C70" s="3">
        <f>IF(INDEX(Data_Pipeline!$C:$C,21+1)="","",INDEX(Data_Pipeline!$C:$C,21+1))</f>
        <v/>
      </c>
      <c r="D70" s="25">
        <f>IF(INDEX(Data_Pipeline!$D:$D,21+1)="","",INDEX(Data_Pipeline!$D:$D,21+1))</f>
        <v/>
      </c>
      <c r="E70" s="31">
        <f>IF(INDEX(Data_Pipeline!$E:$E,21+1)="","",INDEX(Data_Pipeline!$E:$E,21+1))</f>
        <v/>
      </c>
      <c r="F70" s="30">
        <f>IF(INDEX(Data_Pipeline!$F:$F,21+1)="","",INDEX(Data_Pipeline!$F:$F,21+1))</f>
        <v/>
      </c>
      <c r="G70" s="31">
        <f>IF($A70="","",D70*E70)</f>
        <v/>
      </c>
      <c r="H70" s="3">
        <f>IF(INDEX(Data_Pipeline!$H:$H,21+1)="","",INDEX(Data_Pipeline!$H:$H,21+1))</f>
        <v/>
      </c>
    </row>
    <row r="71">
      <c r="A71" s="3">
        <f>IF(INDEX(Data_Pipeline!$A:$A,22+1)="","",INDEX(Data_Pipeline!$A:$A,22+1))</f>
        <v/>
      </c>
      <c r="B71" s="3">
        <f>IF(INDEX(Data_Pipeline!$B:$B,22+1)="","",INDEX(Data_Pipeline!$B:$B,22+1))</f>
        <v/>
      </c>
      <c r="C71" s="3">
        <f>IF(INDEX(Data_Pipeline!$C:$C,22+1)="","",INDEX(Data_Pipeline!$C:$C,22+1))</f>
        <v/>
      </c>
      <c r="D71" s="25">
        <f>IF(INDEX(Data_Pipeline!$D:$D,22+1)="","",INDEX(Data_Pipeline!$D:$D,22+1))</f>
        <v/>
      </c>
      <c r="E71" s="31">
        <f>IF(INDEX(Data_Pipeline!$E:$E,22+1)="","",INDEX(Data_Pipeline!$E:$E,22+1))</f>
        <v/>
      </c>
      <c r="F71" s="30">
        <f>IF(INDEX(Data_Pipeline!$F:$F,22+1)="","",INDEX(Data_Pipeline!$F:$F,22+1))</f>
        <v/>
      </c>
      <c r="G71" s="31">
        <f>IF($A71="","",D71*E71)</f>
        <v/>
      </c>
      <c r="H71" s="3">
        <f>IF(INDEX(Data_Pipeline!$H:$H,22+1)="","",INDEX(Data_Pipeline!$H:$H,22+1))</f>
        <v/>
      </c>
    </row>
    <row r="72">
      <c r="A72" s="3">
        <f>IF(INDEX(Data_Pipeline!$A:$A,23+1)="","",INDEX(Data_Pipeline!$A:$A,23+1))</f>
        <v/>
      </c>
      <c r="B72" s="3">
        <f>IF(INDEX(Data_Pipeline!$B:$B,23+1)="","",INDEX(Data_Pipeline!$B:$B,23+1))</f>
        <v/>
      </c>
      <c r="C72" s="3">
        <f>IF(INDEX(Data_Pipeline!$C:$C,23+1)="","",INDEX(Data_Pipeline!$C:$C,23+1))</f>
        <v/>
      </c>
      <c r="D72" s="25">
        <f>IF(INDEX(Data_Pipeline!$D:$D,23+1)="","",INDEX(Data_Pipeline!$D:$D,23+1))</f>
        <v/>
      </c>
      <c r="E72" s="31">
        <f>IF(INDEX(Data_Pipeline!$E:$E,23+1)="","",INDEX(Data_Pipeline!$E:$E,23+1))</f>
        <v/>
      </c>
      <c r="F72" s="30">
        <f>IF(INDEX(Data_Pipeline!$F:$F,23+1)="","",INDEX(Data_Pipeline!$F:$F,23+1))</f>
        <v/>
      </c>
      <c r="G72" s="31">
        <f>IF($A72="","",D72*E72)</f>
        <v/>
      </c>
      <c r="H72" s="3">
        <f>IF(INDEX(Data_Pipeline!$H:$H,23+1)="","",INDEX(Data_Pipeline!$H:$H,23+1))</f>
        <v/>
      </c>
    </row>
    <row r="73">
      <c r="A73" s="3">
        <f>IF(INDEX(Data_Pipeline!$A:$A,24+1)="","",INDEX(Data_Pipeline!$A:$A,24+1))</f>
        <v/>
      </c>
      <c r="B73" s="3">
        <f>IF(INDEX(Data_Pipeline!$B:$B,24+1)="","",INDEX(Data_Pipeline!$B:$B,24+1))</f>
        <v/>
      </c>
      <c r="C73" s="3">
        <f>IF(INDEX(Data_Pipeline!$C:$C,24+1)="","",INDEX(Data_Pipeline!$C:$C,24+1))</f>
        <v/>
      </c>
      <c r="D73" s="25">
        <f>IF(INDEX(Data_Pipeline!$D:$D,24+1)="","",INDEX(Data_Pipeline!$D:$D,24+1))</f>
        <v/>
      </c>
      <c r="E73" s="31">
        <f>IF(INDEX(Data_Pipeline!$E:$E,24+1)="","",INDEX(Data_Pipeline!$E:$E,24+1))</f>
        <v/>
      </c>
      <c r="F73" s="30">
        <f>IF(INDEX(Data_Pipeline!$F:$F,24+1)="","",INDEX(Data_Pipeline!$F:$F,24+1))</f>
        <v/>
      </c>
      <c r="G73" s="31">
        <f>IF($A73="","",D73*E73)</f>
        <v/>
      </c>
      <c r="H73" s="3">
        <f>IF(INDEX(Data_Pipeline!$H:$H,24+1)="","",INDEX(Data_Pipeline!$H:$H,24+1))</f>
        <v/>
      </c>
    </row>
    <row r="74">
      <c r="A74" s="3">
        <f>IF(INDEX(Data_Pipeline!$A:$A,25+1)="","",INDEX(Data_Pipeline!$A:$A,25+1))</f>
        <v/>
      </c>
      <c r="B74" s="3">
        <f>IF(INDEX(Data_Pipeline!$B:$B,25+1)="","",INDEX(Data_Pipeline!$B:$B,25+1))</f>
        <v/>
      </c>
      <c r="C74" s="3">
        <f>IF(INDEX(Data_Pipeline!$C:$C,25+1)="","",INDEX(Data_Pipeline!$C:$C,25+1))</f>
        <v/>
      </c>
      <c r="D74" s="25">
        <f>IF(INDEX(Data_Pipeline!$D:$D,25+1)="","",INDEX(Data_Pipeline!$D:$D,25+1))</f>
        <v/>
      </c>
      <c r="E74" s="31">
        <f>IF(INDEX(Data_Pipeline!$E:$E,25+1)="","",INDEX(Data_Pipeline!$E:$E,25+1))</f>
        <v/>
      </c>
      <c r="F74" s="30">
        <f>IF(INDEX(Data_Pipeline!$F:$F,25+1)="","",INDEX(Data_Pipeline!$F:$F,25+1))</f>
        <v/>
      </c>
      <c r="G74" s="31">
        <f>IF($A74="","",D74*E74)</f>
        <v/>
      </c>
      <c r="H74" s="3">
        <f>IF(INDEX(Data_Pipeline!$H:$H,25+1)="","",INDEX(Data_Pipeline!$H:$H,25+1))</f>
        <v/>
      </c>
    </row>
    <row r="75">
      <c r="A75" s="3">
        <f>IF(INDEX(Data_Pipeline!$A:$A,26+1)="","",INDEX(Data_Pipeline!$A:$A,26+1))</f>
        <v/>
      </c>
      <c r="B75" s="3">
        <f>IF(INDEX(Data_Pipeline!$B:$B,26+1)="","",INDEX(Data_Pipeline!$B:$B,26+1))</f>
        <v/>
      </c>
      <c r="C75" s="3">
        <f>IF(INDEX(Data_Pipeline!$C:$C,26+1)="","",INDEX(Data_Pipeline!$C:$C,26+1))</f>
        <v/>
      </c>
      <c r="D75" s="25">
        <f>IF(INDEX(Data_Pipeline!$D:$D,26+1)="","",INDEX(Data_Pipeline!$D:$D,26+1))</f>
        <v/>
      </c>
      <c r="E75" s="31">
        <f>IF(INDEX(Data_Pipeline!$E:$E,26+1)="","",INDEX(Data_Pipeline!$E:$E,26+1))</f>
        <v/>
      </c>
      <c r="F75" s="30">
        <f>IF(INDEX(Data_Pipeline!$F:$F,26+1)="","",INDEX(Data_Pipeline!$F:$F,26+1))</f>
        <v/>
      </c>
      <c r="G75" s="31">
        <f>IF($A75="","",D75*E75)</f>
        <v/>
      </c>
      <c r="H75" s="3">
        <f>IF(INDEX(Data_Pipeline!$H:$H,26+1)="","",INDEX(Data_Pipeline!$H:$H,26+1))</f>
        <v/>
      </c>
    </row>
    <row r="76">
      <c r="A76" s="3">
        <f>IF(INDEX(Data_Pipeline!$A:$A,27+1)="","",INDEX(Data_Pipeline!$A:$A,27+1))</f>
        <v/>
      </c>
      <c r="B76" s="3">
        <f>IF(INDEX(Data_Pipeline!$B:$B,27+1)="","",INDEX(Data_Pipeline!$B:$B,27+1))</f>
        <v/>
      </c>
      <c r="C76" s="3">
        <f>IF(INDEX(Data_Pipeline!$C:$C,27+1)="","",INDEX(Data_Pipeline!$C:$C,27+1))</f>
        <v/>
      </c>
      <c r="D76" s="25">
        <f>IF(INDEX(Data_Pipeline!$D:$D,27+1)="","",INDEX(Data_Pipeline!$D:$D,27+1))</f>
        <v/>
      </c>
      <c r="E76" s="31">
        <f>IF(INDEX(Data_Pipeline!$E:$E,27+1)="","",INDEX(Data_Pipeline!$E:$E,27+1))</f>
        <v/>
      </c>
      <c r="F76" s="30">
        <f>IF(INDEX(Data_Pipeline!$F:$F,27+1)="","",INDEX(Data_Pipeline!$F:$F,27+1))</f>
        <v/>
      </c>
      <c r="G76" s="31">
        <f>IF($A76="","",D76*E76)</f>
        <v/>
      </c>
      <c r="H76" s="3">
        <f>IF(INDEX(Data_Pipeline!$H:$H,27+1)="","",INDEX(Data_Pipeline!$H:$H,27+1))</f>
        <v/>
      </c>
    </row>
    <row r="77">
      <c r="A77" s="3">
        <f>IF(INDEX(Data_Pipeline!$A:$A,28+1)="","",INDEX(Data_Pipeline!$A:$A,28+1))</f>
        <v/>
      </c>
      <c r="B77" s="3">
        <f>IF(INDEX(Data_Pipeline!$B:$B,28+1)="","",INDEX(Data_Pipeline!$B:$B,28+1))</f>
        <v/>
      </c>
      <c r="C77" s="3">
        <f>IF(INDEX(Data_Pipeline!$C:$C,28+1)="","",INDEX(Data_Pipeline!$C:$C,28+1))</f>
        <v/>
      </c>
      <c r="D77" s="25">
        <f>IF(INDEX(Data_Pipeline!$D:$D,28+1)="","",INDEX(Data_Pipeline!$D:$D,28+1))</f>
        <v/>
      </c>
      <c r="E77" s="31">
        <f>IF(INDEX(Data_Pipeline!$E:$E,28+1)="","",INDEX(Data_Pipeline!$E:$E,28+1))</f>
        <v/>
      </c>
      <c r="F77" s="30">
        <f>IF(INDEX(Data_Pipeline!$F:$F,28+1)="","",INDEX(Data_Pipeline!$F:$F,28+1))</f>
        <v/>
      </c>
      <c r="G77" s="31">
        <f>IF($A77="","",D77*E77)</f>
        <v/>
      </c>
      <c r="H77" s="3">
        <f>IF(INDEX(Data_Pipeline!$H:$H,28+1)="","",INDEX(Data_Pipeline!$H:$H,28+1))</f>
        <v/>
      </c>
    </row>
    <row r="78">
      <c r="A78" s="3">
        <f>IF(INDEX(Data_Pipeline!$A:$A,29+1)="","",INDEX(Data_Pipeline!$A:$A,29+1))</f>
        <v/>
      </c>
      <c r="B78" s="3">
        <f>IF(INDEX(Data_Pipeline!$B:$B,29+1)="","",INDEX(Data_Pipeline!$B:$B,29+1))</f>
        <v/>
      </c>
      <c r="C78" s="3">
        <f>IF(INDEX(Data_Pipeline!$C:$C,29+1)="","",INDEX(Data_Pipeline!$C:$C,29+1))</f>
        <v/>
      </c>
      <c r="D78" s="25">
        <f>IF(INDEX(Data_Pipeline!$D:$D,29+1)="","",INDEX(Data_Pipeline!$D:$D,29+1))</f>
        <v/>
      </c>
      <c r="E78" s="31">
        <f>IF(INDEX(Data_Pipeline!$E:$E,29+1)="","",INDEX(Data_Pipeline!$E:$E,29+1))</f>
        <v/>
      </c>
      <c r="F78" s="30">
        <f>IF(INDEX(Data_Pipeline!$F:$F,29+1)="","",INDEX(Data_Pipeline!$F:$F,29+1))</f>
        <v/>
      </c>
      <c r="G78" s="31">
        <f>IF($A78="","",D78*E78)</f>
        <v/>
      </c>
      <c r="H78" s="3">
        <f>IF(INDEX(Data_Pipeline!$H:$H,29+1)="","",INDEX(Data_Pipeline!$H:$H,29+1))</f>
        <v/>
      </c>
    </row>
    <row r="79">
      <c r="A79" s="3">
        <f>IF(INDEX(Data_Pipeline!$A:$A,30+1)="","",INDEX(Data_Pipeline!$A:$A,30+1))</f>
        <v/>
      </c>
      <c r="B79" s="3">
        <f>IF(INDEX(Data_Pipeline!$B:$B,30+1)="","",INDEX(Data_Pipeline!$B:$B,30+1))</f>
        <v/>
      </c>
      <c r="C79" s="3">
        <f>IF(INDEX(Data_Pipeline!$C:$C,30+1)="","",INDEX(Data_Pipeline!$C:$C,30+1))</f>
        <v/>
      </c>
      <c r="D79" s="25">
        <f>IF(INDEX(Data_Pipeline!$D:$D,30+1)="","",INDEX(Data_Pipeline!$D:$D,30+1))</f>
        <v/>
      </c>
      <c r="E79" s="31">
        <f>IF(INDEX(Data_Pipeline!$E:$E,30+1)="","",INDEX(Data_Pipeline!$E:$E,30+1))</f>
        <v/>
      </c>
      <c r="F79" s="30">
        <f>IF(INDEX(Data_Pipeline!$F:$F,30+1)="","",INDEX(Data_Pipeline!$F:$F,30+1))</f>
        <v/>
      </c>
      <c r="G79" s="31">
        <f>IF($A79="","",D79*E79)</f>
        <v/>
      </c>
      <c r="H79" s="3">
        <f>IF(INDEX(Data_Pipeline!$H:$H,30+1)="","",INDEX(Data_Pipeline!$H:$H,30+1))</f>
        <v/>
      </c>
    </row>
    <row r="80">
      <c r="A80" s="3">
        <f>IF(INDEX(Data_Pipeline!$A:$A,31+1)="","",INDEX(Data_Pipeline!$A:$A,31+1))</f>
        <v/>
      </c>
      <c r="B80" s="3">
        <f>IF(INDEX(Data_Pipeline!$B:$B,31+1)="","",INDEX(Data_Pipeline!$B:$B,31+1))</f>
        <v/>
      </c>
      <c r="C80" s="3">
        <f>IF(INDEX(Data_Pipeline!$C:$C,31+1)="","",INDEX(Data_Pipeline!$C:$C,31+1))</f>
        <v/>
      </c>
      <c r="D80" s="25">
        <f>IF(INDEX(Data_Pipeline!$D:$D,31+1)="","",INDEX(Data_Pipeline!$D:$D,31+1))</f>
        <v/>
      </c>
      <c r="E80" s="31">
        <f>IF(INDEX(Data_Pipeline!$E:$E,31+1)="","",INDEX(Data_Pipeline!$E:$E,31+1))</f>
        <v/>
      </c>
      <c r="F80" s="30">
        <f>IF(INDEX(Data_Pipeline!$F:$F,31+1)="","",INDEX(Data_Pipeline!$F:$F,31+1))</f>
        <v/>
      </c>
      <c r="G80" s="31">
        <f>IF($A80="","",D80*E80)</f>
        <v/>
      </c>
      <c r="H80" s="3">
        <f>IF(INDEX(Data_Pipeline!$H:$H,31+1)="","",INDEX(Data_Pipeline!$H:$H,31+1))</f>
        <v/>
      </c>
    </row>
    <row r="81">
      <c r="A81" s="3">
        <f>IF(INDEX(Data_Pipeline!$A:$A,32+1)="","",INDEX(Data_Pipeline!$A:$A,32+1))</f>
        <v/>
      </c>
      <c r="B81" s="3">
        <f>IF(INDEX(Data_Pipeline!$B:$B,32+1)="","",INDEX(Data_Pipeline!$B:$B,32+1))</f>
        <v/>
      </c>
      <c r="C81" s="3">
        <f>IF(INDEX(Data_Pipeline!$C:$C,32+1)="","",INDEX(Data_Pipeline!$C:$C,32+1))</f>
        <v/>
      </c>
      <c r="D81" s="25">
        <f>IF(INDEX(Data_Pipeline!$D:$D,32+1)="","",INDEX(Data_Pipeline!$D:$D,32+1))</f>
        <v/>
      </c>
      <c r="E81" s="31">
        <f>IF(INDEX(Data_Pipeline!$E:$E,32+1)="","",INDEX(Data_Pipeline!$E:$E,32+1))</f>
        <v/>
      </c>
      <c r="F81" s="30">
        <f>IF(INDEX(Data_Pipeline!$F:$F,32+1)="","",INDEX(Data_Pipeline!$F:$F,32+1))</f>
        <v/>
      </c>
      <c r="G81" s="31">
        <f>IF($A81="","",D81*E81)</f>
        <v/>
      </c>
      <c r="H81" s="3">
        <f>IF(INDEX(Data_Pipeline!$H:$H,32+1)="","",INDEX(Data_Pipeline!$H:$H,32+1))</f>
        <v/>
      </c>
    </row>
    <row r="82">
      <c r="A82" s="3">
        <f>IF(INDEX(Data_Pipeline!$A:$A,33+1)="","",INDEX(Data_Pipeline!$A:$A,33+1))</f>
        <v/>
      </c>
      <c r="B82" s="3">
        <f>IF(INDEX(Data_Pipeline!$B:$B,33+1)="","",INDEX(Data_Pipeline!$B:$B,33+1))</f>
        <v/>
      </c>
      <c r="C82" s="3">
        <f>IF(INDEX(Data_Pipeline!$C:$C,33+1)="","",INDEX(Data_Pipeline!$C:$C,33+1))</f>
        <v/>
      </c>
      <c r="D82" s="25">
        <f>IF(INDEX(Data_Pipeline!$D:$D,33+1)="","",INDEX(Data_Pipeline!$D:$D,33+1))</f>
        <v/>
      </c>
      <c r="E82" s="31">
        <f>IF(INDEX(Data_Pipeline!$E:$E,33+1)="","",INDEX(Data_Pipeline!$E:$E,33+1))</f>
        <v/>
      </c>
      <c r="F82" s="30">
        <f>IF(INDEX(Data_Pipeline!$F:$F,33+1)="","",INDEX(Data_Pipeline!$F:$F,33+1))</f>
        <v/>
      </c>
      <c r="G82" s="31">
        <f>IF($A82="","",D82*E82)</f>
        <v/>
      </c>
      <c r="H82" s="3">
        <f>IF(INDEX(Data_Pipeline!$H:$H,33+1)="","",INDEX(Data_Pipeline!$H:$H,33+1))</f>
        <v/>
      </c>
    </row>
    <row r="83">
      <c r="A83" s="3">
        <f>IF(INDEX(Data_Pipeline!$A:$A,34+1)="","",INDEX(Data_Pipeline!$A:$A,34+1))</f>
        <v/>
      </c>
      <c r="B83" s="3">
        <f>IF(INDEX(Data_Pipeline!$B:$B,34+1)="","",INDEX(Data_Pipeline!$B:$B,34+1))</f>
        <v/>
      </c>
      <c r="C83" s="3">
        <f>IF(INDEX(Data_Pipeline!$C:$C,34+1)="","",INDEX(Data_Pipeline!$C:$C,34+1))</f>
        <v/>
      </c>
      <c r="D83" s="25">
        <f>IF(INDEX(Data_Pipeline!$D:$D,34+1)="","",INDEX(Data_Pipeline!$D:$D,34+1))</f>
        <v/>
      </c>
      <c r="E83" s="31">
        <f>IF(INDEX(Data_Pipeline!$E:$E,34+1)="","",INDEX(Data_Pipeline!$E:$E,34+1))</f>
        <v/>
      </c>
      <c r="F83" s="30">
        <f>IF(INDEX(Data_Pipeline!$F:$F,34+1)="","",INDEX(Data_Pipeline!$F:$F,34+1))</f>
        <v/>
      </c>
      <c r="G83" s="31">
        <f>IF($A83="","",D83*E83)</f>
        <v/>
      </c>
      <c r="H83" s="3">
        <f>IF(INDEX(Data_Pipeline!$H:$H,34+1)="","",INDEX(Data_Pipeline!$H:$H,34+1))</f>
        <v/>
      </c>
    </row>
    <row r="84">
      <c r="A84" s="3">
        <f>IF(INDEX(Data_Pipeline!$A:$A,35+1)="","",INDEX(Data_Pipeline!$A:$A,35+1))</f>
        <v/>
      </c>
      <c r="B84" s="3">
        <f>IF(INDEX(Data_Pipeline!$B:$B,35+1)="","",INDEX(Data_Pipeline!$B:$B,35+1))</f>
        <v/>
      </c>
      <c r="C84" s="3">
        <f>IF(INDEX(Data_Pipeline!$C:$C,35+1)="","",INDEX(Data_Pipeline!$C:$C,35+1))</f>
        <v/>
      </c>
      <c r="D84" s="25">
        <f>IF(INDEX(Data_Pipeline!$D:$D,35+1)="","",INDEX(Data_Pipeline!$D:$D,35+1))</f>
        <v/>
      </c>
      <c r="E84" s="31">
        <f>IF(INDEX(Data_Pipeline!$E:$E,35+1)="","",INDEX(Data_Pipeline!$E:$E,35+1))</f>
        <v/>
      </c>
      <c r="F84" s="30">
        <f>IF(INDEX(Data_Pipeline!$F:$F,35+1)="","",INDEX(Data_Pipeline!$F:$F,35+1))</f>
        <v/>
      </c>
      <c r="G84" s="31">
        <f>IF($A84="","",D84*E84)</f>
        <v/>
      </c>
      <c r="H84" s="3">
        <f>IF(INDEX(Data_Pipeline!$H:$H,35+1)="","",INDEX(Data_Pipeline!$H:$H,35+1))</f>
        <v/>
      </c>
    </row>
    <row r="85">
      <c r="A85" s="3">
        <f>IF(INDEX(Data_Pipeline!$A:$A,36+1)="","",INDEX(Data_Pipeline!$A:$A,36+1))</f>
        <v/>
      </c>
      <c r="B85" s="3">
        <f>IF(INDEX(Data_Pipeline!$B:$B,36+1)="","",INDEX(Data_Pipeline!$B:$B,36+1))</f>
        <v/>
      </c>
      <c r="C85" s="3">
        <f>IF(INDEX(Data_Pipeline!$C:$C,36+1)="","",INDEX(Data_Pipeline!$C:$C,36+1))</f>
        <v/>
      </c>
      <c r="D85" s="25">
        <f>IF(INDEX(Data_Pipeline!$D:$D,36+1)="","",INDEX(Data_Pipeline!$D:$D,36+1))</f>
        <v/>
      </c>
      <c r="E85" s="31">
        <f>IF(INDEX(Data_Pipeline!$E:$E,36+1)="","",INDEX(Data_Pipeline!$E:$E,36+1))</f>
        <v/>
      </c>
      <c r="F85" s="30">
        <f>IF(INDEX(Data_Pipeline!$F:$F,36+1)="","",INDEX(Data_Pipeline!$F:$F,36+1))</f>
        <v/>
      </c>
      <c r="G85" s="31">
        <f>IF($A85="","",D85*E85)</f>
        <v/>
      </c>
      <c r="H85" s="3">
        <f>IF(INDEX(Data_Pipeline!$H:$H,36+1)="","",INDEX(Data_Pipeline!$H:$H,36+1))</f>
        <v/>
      </c>
    </row>
    <row r="86">
      <c r="A86" s="3">
        <f>IF(INDEX(Data_Pipeline!$A:$A,37+1)="","",INDEX(Data_Pipeline!$A:$A,37+1))</f>
        <v/>
      </c>
      <c r="B86" s="3">
        <f>IF(INDEX(Data_Pipeline!$B:$B,37+1)="","",INDEX(Data_Pipeline!$B:$B,37+1))</f>
        <v/>
      </c>
      <c r="C86" s="3">
        <f>IF(INDEX(Data_Pipeline!$C:$C,37+1)="","",INDEX(Data_Pipeline!$C:$C,37+1))</f>
        <v/>
      </c>
      <c r="D86" s="25">
        <f>IF(INDEX(Data_Pipeline!$D:$D,37+1)="","",INDEX(Data_Pipeline!$D:$D,37+1))</f>
        <v/>
      </c>
      <c r="E86" s="31">
        <f>IF(INDEX(Data_Pipeline!$E:$E,37+1)="","",INDEX(Data_Pipeline!$E:$E,37+1))</f>
        <v/>
      </c>
      <c r="F86" s="30">
        <f>IF(INDEX(Data_Pipeline!$F:$F,37+1)="","",INDEX(Data_Pipeline!$F:$F,37+1))</f>
        <v/>
      </c>
      <c r="G86" s="31">
        <f>IF($A86="","",D86*E86)</f>
        <v/>
      </c>
      <c r="H86" s="3">
        <f>IF(INDEX(Data_Pipeline!$H:$H,37+1)="","",INDEX(Data_Pipeline!$H:$H,37+1))</f>
        <v/>
      </c>
    </row>
    <row r="87">
      <c r="A87" s="3">
        <f>IF(INDEX(Data_Pipeline!$A:$A,38+1)="","",INDEX(Data_Pipeline!$A:$A,38+1))</f>
        <v/>
      </c>
      <c r="B87" s="3">
        <f>IF(INDEX(Data_Pipeline!$B:$B,38+1)="","",INDEX(Data_Pipeline!$B:$B,38+1))</f>
        <v/>
      </c>
      <c r="C87" s="3">
        <f>IF(INDEX(Data_Pipeline!$C:$C,38+1)="","",INDEX(Data_Pipeline!$C:$C,38+1))</f>
        <v/>
      </c>
      <c r="D87" s="25">
        <f>IF(INDEX(Data_Pipeline!$D:$D,38+1)="","",INDEX(Data_Pipeline!$D:$D,38+1))</f>
        <v/>
      </c>
      <c r="E87" s="31">
        <f>IF(INDEX(Data_Pipeline!$E:$E,38+1)="","",INDEX(Data_Pipeline!$E:$E,38+1))</f>
        <v/>
      </c>
      <c r="F87" s="30">
        <f>IF(INDEX(Data_Pipeline!$F:$F,38+1)="","",INDEX(Data_Pipeline!$F:$F,38+1))</f>
        <v/>
      </c>
      <c r="G87" s="31">
        <f>IF($A87="","",D87*E87)</f>
        <v/>
      </c>
      <c r="H87" s="3">
        <f>IF(INDEX(Data_Pipeline!$H:$H,38+1)="","",INDEX(Data_Pipeline!$H:$H,38+1))</f>
        <v/>
      </c>
    </row>
    <row r="88">
      <c r="A88" s="3">
        <f>IF(INDEX(Data_Pipeline!$A:$A,39+1)="","",INDEX(Data_Pipeline!$A:$A,39+1))</f>
        <v/>
      </c>
      <c r="B88" s="3">
        <f>IF(INDEX(Data_Pipeline!$B:$B,39+1)="","",INDEX(Data_Pipeline!$B:$B,39+1))</f>
        <v/>
      </c>
      <c r="C88" s="3">
        <f>IF(INDEX(Data_Pipeline!$C:$C,39+1)="","",INDEX(Data_Pipeline!$C:$C,39+1))</f>
        <v/>
      </c>
      <c r="D88" s="25">
        <f>IF(INDEX(Data_Pipeline!$D:$D,39+1)="","",INDEX(Data_Pipeline!$D:$D,39+1))</f>
        <v/>
      </c>
      <c r="E88" s="31">
        <f>IF(INDEX(Data_Pipeline!$E:$E,39+1)="","",INDEX(Data_Pipeline!$E:$E,39+1))</f>
        <v/>
      </c>
      <c r="F88" s="30">
        <f>IF(INDEX(Data_Pipeline!$F:$F,39+1)="","",INDEX(Data_Pipeline!$F:$F,39+1))</f>
        <v/>
      </c>
      <c r="G88" s="31">
        <f>IF($A88="","",D88*E88)</f>
        <v/>
      </c>
      <c r="H88" s="3">
        <f>IF(INDEX(Data_Pipeline!$H:$H,39+1)="","",INDEX(Data_Pipeline!$H:$H,39+1))</f>
        <v/>
      </c>
    </row>
    <row r="89">
      <c r="A89" s="3">
        <f>IF(INDEX(Data_Pipeline!$A:$A,40+1)="","",INDEX(Data_Pipeline!$A:$A,40+1))</f>
        <v/>
      </c>
      <c r="B89" s="3">
        <f>IF(INDEX(Data_Pipeline!$B:$B,40+1)="","",INDEX(Data_Pipeline!$B:$B,40+1))</f>
        <v/>
      </c>
      <c r="C89" s="3">
        <f>IF(INDEX(Data_Pipeline!$C:$C,40+1)="","",INDEX(Data_Pipeline!$C:$C,40+1))</f>
        <v/>
      </c>
      <c r="D89" s="25">
        <f>IF(INDEX(Data_Pipeline!$D:$D,40+1)="","",INDEX(Data_Pipeline!$D:$D,40+1))</f>
        <v/>
      </c>
      <c r="E89" s="31">
        <f>IF(INDEX(Data_Pipeline!$E:$E,40+1)="","",INDEX(Data_Pipeline!$E:$E,40+1))</f>
        <v/>
      </c>
      <c r="F89" s="30">
        <f>IF(INDEX(Data_Pipeline!$F:$F,40+1)="","",INDEX(Data_Pipeline!$F:$F,40+1))</f>
        <v/>
      </c>
      <c r="G89" s="31">
        <f>IF($A89="","",D89*E89)</f>
        <v/>
      </c>
      <c r="H89" s="3">
        <f>IF(INDEX(Data_Pipeline!$H:$H,40+1)="","",INDEX(Data_Pipeline!$H:$H,40+1))</f>
        <v/>
      </c>
    </row>
    <row r="90">
      <c r="A90" s="2" t="inlineStr">
        <is>
          <t>Total</t>
        </is>
      </c>
      <c r="E90" s="32">
        <f>SUM(E50:E89)</f>
        <v/>
      </c>
      <c r="G90" s="32">
        <f>SUM(G50:G89)</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9"/>
  <sheetViews>
    <sheetView showGridLines="0" workbookViewId="0">
      <selection activeCell="A1" sqref="A1"/>
    </sheetView>
  </sheetViews>
  <sheetFormatPr baseColWidth="8" defaultRowHeight="15"/>
  <cols>
    <col width="6" customWidth="1" min="1" max="1"/>
    <col width="36" customWidth="1" min="2" max="2"/>
    <col width="18" customWidth="1" min="3" max="3"/>
    <col width="14" customWidth="1" min="4" max="4"/>
    <col width="16" customWidth="1" min="5" max="5"/>
    <col width="16" customWidth="1" min="6" max="6"/>
    <col width="14" customWidth="1" min="7" max="7"/>
    <col width="14" customWidth="1" min="8" max="8"/>
    <col width="30" customWidth="1" min="10" max="10"/>
  </cols>
  <sheetData>
    <row r="1">
      <c r="A1" s="1">
        <f>Data_Params!$B$14&amp;" | Customer concentration, latest month"</f>
        <v/>
      </c>
    </row>
    <row r="2">
      <c r="A2" s="7" t="inlineStr">
        <is>
          <t>Top accounts by net revenue. A gateway that doesn't pass customer IDs counts as one account.</t>
        </is>
      </c>
    </row>
    <row r="4">
      <c r="A4" s="8" t="inlineStr">
        <is>
          <t>Rank</t>
        </is>
      </c>
      <c r="B4" s="8" t="inlineStr">
        <is>
          <t>Account</t>
        </is>
      </c>
      <c r="C4" s="8" t="inlineStr">
        <is>
          <t>Segment</t>
        </is>
      </c>
      <c r="D4" s="8" t="inlineStr">
        <is>
          <t>Channel</t>
        </is>
      </c>
      <c r="E4" s="8" t="inlineStr">
        <is>
          <t>Billable tokens (B)</t>
        </is>
      </c>
      <c r="F4" s="8" t="inlineStr">
        <is>
          <t>Net revenue ($)</t>
        </is>
      </c>
      <c r="G4" s="8" t="inlineStr">
        <is>
          <t>Share of revenue</t>
        </is>
      </c>
      <c r="H4" s="8" t="inlineStr">
        <is>
          <t>Cumulative share</t>
        </is>
      </c>
      <c r="J4" s="2" t="inlineStr">
        <is>
          <t>Net revenue, all accounts ($)</t>
        </is>
      </c>
    </row>
    <row r="5">
      <c r="A5" s="3">
        <f>IF(INDEX(Data_Concentration!$A:$A,1+1)="","",INDEX(Data_Concentration!$A:$A,1+1))</f>
        <v/>
      </c>
      <c r="B5" s="3">
        <f>IF(INDEX(Data_Concentration!$C:$C,1+1)="","",INDEX(Data_Concentration!$C:$C,1+1))</f>
        <v/>
      </c>
      <c r="C5" s="3">
        <f>IF(INDEX(Data_Concentration!$D:$D,1+1)="","",INDEX(Data_Concentration!$D:$D,1+1))</f>
        <v/>
      </c>
      <c r="D5" s="3">
        <f>IF(INDEX(Data_Concentration!$E:$E,1+1)="","",INDEX(Data_Concentration!$E:$E,1+1))</f>
        <v/>
      </c>
      <c r="E5" s="21">
        <f>IF($A5="","",INDEX(Data_Concentration!$F:$F,1+1)/1E9)</f>
        <v/>
      </c>
      <c r="F5" s="31">
        <f>IF(INDEX(Data_Concentration!$G:$G,1+1)="","",INDEX(Data_Concentration!$G:$G,1+1))</f>
        <v/>
      </c>
      <c r="G5" s="25">
        <f>IF(OR($A5="",Data_Params!$B$8=0),"",F5/Data_Params!$B$8)</f>
        <v/>
      </c>
      <c r="H5" s="25">
        <f>IF($A5="","",SUM($G$5:G5))</f>
        <v/>
      </c>
      <c r="J5" s="33">
        <f>Data_Params!$B$8</f>
        <v/>
      </c>
    </row>
    <row r="6">
      <c r="A6" s="3">
        <f>IF(INDEX(Data_Concentration!$A:$A,2+1)="","",INDEX(Data_Concentration!$A:$A,2+1))</f>
        <v/>
      </c>
      <c r="B6" s="3">
        <f>IF(INDEX(Data_Concentration!$C:$C,2+1)="","",INDEX(Data_Concentration!$C:$C,2+1))</f>
        <v/>
      </c>
      <c r="C6" s="3">
        <f>IF(INDEX(Data_Concentration!$D:$D,2+1)="","",INDEX(Data_Concentration!$D:$D,2+1))</f>
        <v/>
      </c>
      <c r="D6" s="3">
        <f>IF(INDEX(Data_Concentration!$E:$E,2+1)="","",INDEX(Data_Concentration!$E:$E,2+1))</f>
        <v/>
      </c>
      <c r="E6" s="21">
        <f>IF($A6="","",INDEX(Data_Concentration!$F:$F,2+1)/1E9)</f>
        <v/>
      </c>
      <c r="F6" s="31">
        <f>IF(INDEX(Data_Concentration!$G:$G,2+1)="","",INDEX(Data_Concentration!$G:$G,2+1))</f>
        <v/>
      </c>
      <c r="G6" s="25">
        <f>IF(OR($A6="",Data_Params!$B$8=0),"",F6/Data_Params!$B$8)</f>
        <v/>
      </c>
      <c r="H6" s="25">
        <f>IF($A6="","",SUM($G$5:G6))</f>
        <v/>
      </c>
    </row>
    <row r="7">
      <c r="A7" s="3">
        <f>IF(INDEX(Data_Concentration!$A:$A,3+1)="","",INDEX(Data_Concentration!$A:$A,3+1))</f>
        <v/>
      </c>
      <c r="B7" s="3">
        <f>IF(INDEX(Data_Concentration!$C:$C,3+1)="","",INDEX(Data_Concentration!$C:$C,3+1))</f>
        <v/>
      </c>
      <c r="C7" s="3">
        <f>IF(INDEX(Data_Concentration!$D:$D,3+1)="","",INDEX(Data_Concentration!$D:$D,3+1))</f>
        <v/>
      </c>
      <c r="D7" s="3">
        <f>IF(INDEX(Data_Concentration!$E:$E,3+1)="","",INDEX(Data_Concentration!$E:$E,3+1))</f>
        <v/>
      </c>
      <c r="E7" s="21">
        <f>IF($A7="","",INDEX(Data_Concentration!$F:$F,3+1)/1E9)</f>
        <v/>
      </c>
      <c r="F7" s="31">
        <f>IF(INDEX(Data_Concentration!$G:$G,3+1)="","",INDEX(Data_Concentration!$G:$G,3+1))</f>
        <v/>
      </c>
      <c r="G7" s="25">
        <f>IF(OR($A7="",Data_Params!$B$8=0),"",F7/Data_Params!$B$8)</f>
        <v/>
      </c>
      <c r="H7" s="25">
        <f>IF($A7="","",SUM($G$5:G7))</f>
        <v/>
      </c>
    </row>
    <row r="8">
      <c r="A8" s="3">
        <f>IF(INDEX(Data_Concentration!$A:$A,4+1)="","",INDEX(Data_Concentration!$A:$A,4+1))</f>
        <v/>
      </c>
      <c r="B8" s="3">
        <f>IF(INDEX(Data_Concentration!$C:$C,4+1)="","",INDEX(Data_Concentration!$C:$C,4+1))</f>
        <v/>
      </c>
      <c r="C8" s="3">
        <f>IF(INDEX(Data_Concentration!$D:$D,4+1)="","",INDEX(Data_Concentration!$D:$D,4+1))</f>
        <v/>
      </c>
      <c r="D8" s="3">
        <f>IF(INDEX(Data_Concentration!$E:$E,4+1)="","",INDEX(Data_Concentration!$E:$E,4+1))</f>
        <v/>
      </c>
      <c r="E8" s="21">
        <f>IF($A8="","",INDEX(Data_Concentration!$F:$F,4+1)/1E9)</f>
        <v/>
      </c>
      <c r="F8" s="31">
        <f>IF(INDEX(Data_Concentration!$G:$G,4+1)="","",INDEX(Data_Concentration!$G:$G,4+1))</f>
        <v/>
      </c>
      <c r="G8" s="25">
        <f>IF(OR($A8="",Data_Params!$B$8=0),"",F8/Data_Params!$B$8)</f>
        <v/>
      </c>
      <c r="H8" s="25">
        <f>IF($A8="","",SUM($G$5:G8))</f>
        <v/>
      </c>
    </row>
    <row r="9">
      <c r="A9" s="3">
        <f>IF(INDEX(Data_Concentration!$A:$A,5+1)="","",INDEX(Data_Concentration!$A:$A,5+1))</f>
        <v/>
      </c>
      <c r="B9" s="3">
        <f>IF(INDEX(Data_Concentration!$C:$C,5+1)="","",INDEX(Data_Concentration!$C:$C,5+1))</f>
        <v/>
      </c>
      <c r="C9" s="3">
        <f>IF(INDEX(Data_Concentration!$D:$D,5+1)="","",INDEX(Data_Concentration!$D:$D,5+1))</f>
        <v/>
      </c>
      <c r="D9" s="3">
        <f>IF(INDEX(Data_Concentration!$E:$E,5+1)="","",INDEX(Data_Concentration!$E:$E,5+1))</f>
        <v/>
      </c>
      <c r="E9" s="21">
        <f>IF($A9="","",INDEX(Data_Concentration!$F:$F,5+1)/1E9)</f>
        <v/>
      </c>
      <c r="F9" s="31">
        <f>IF(INDEX(Data_Concentration!$G:$G,5+1)="","",INDEX(Data_Concentration!$G:$G,5+1))</f>
        <v/>
      </c>
      <c r="G9" s="25">
        <f>IF(OR($A9="",Data_Params!$B$8=0),"",F9/Data_Params!$B$8)</f>
        <v/>
      </c>
      <c r="H9" s="25">
        <f>IF($A9="","",SUM($G$5:G9))</f>
        <v/>
      </c>
    </row>
    <row r="10">
      <c r="A10" s="3">
        <f>IF(INDEX(Data_Concentration!$A:$A,6+1)="","",INDEX(Data_Concentration!$A:$A,6+1))</f>
        <v/>
      </c>
      <c r="B10" s="3">
        <f>IF(INDEX(Data_Concentration!$C:$C,6+1)="","",INDEX(Data_Concentration!$C:$C,6+1))</f>
        <v/>
      </c>
      <c r="C10" s="3">
        <f>IF(INDEX(Data_Concentration!$D:$D,6+1)="","",INDEX(Data_Concentration!$D:$D,6+1))</f>
        <v/>
      </c>
      <c r="D10" s="3">
        <f>IF(INDEX(Data_Concentration!$E:$E,6+1)="","",INDEX(Data_Concentration!$E:$E,6+1))</f>
        <v/>
      </c>
      <c r="E10" s="21">
        <f>IF($A10="","",INDEX(Data_Concentration!$F:$F,6+1)/1E9)</f>
        <v/>
      </c>
      <c r="F10" s="31">
        <f>IF(INDEX(Data_Concentration!$G:$G,6+1)="","",INDEX(Data_Concentration!$G:$G,6+1))</f>
        <v/>
      </c>
      <c r="G10" s="25">
        <f>IF(OR($A10="",Data_Params!$B$8=0),"",F10/Data_Params!$B$8)</f>
        <v/>
      </c>
      <c r="H10" s="25">
        <f>IF($A10="","",SUM($G$5:G10))</f>
        <v/>
      </c>
    </row>
    <row r="11">
      <c r="A11" s="3">
        <f>IF(INDEX(Data_Concentration!$A:$A,7+1)="","",INDEX(Data_Concentration!$A:$A,7+1))</f>
        <v/>
      </c>
      <c r="B11" s="3">
        <f>IF(INDEX(Data_Concentration!$C:$C,7+1)="","",INDEX(Data_Concentration!$C:$C,7+1))</f>
        <v/>
      </c>
      <c r="C11" s="3">
        <f>IF(INDEX(Data_Concentration!$D:$D,7+1)="","",INDEX(Data_Concentration!$D:$D,7+1))</f>
        <v/>
      </c>
      <c r="D11" s="3">
        <f>IF(INDEX(Data_Concentration!$E:$E,7+1)="","",INDEX(Data_Concentration!$E:$E,7+1))</f>
        <v/>
      </c>
      <c r="E11" s="21">
        <f>IF($A11="","",INDEX(Data_Concentration!$F:$F,7+1)/1E9)</f>
        <v/>
      </c>
      <c r="F11" s="31">
        <f>IF(INDEX(Data_Concentration!$G:$G,7+1)="","",INDEX(Data_Concentration!$G:$G,7+1))</f>
        <v/>
      </c>
      <c r="G11" s="25">
        <f>IF(OR($A11="",Data_Params!$B$8=0),"",F11/Data_Params!$B$8)</f>
        <v/>
      </c>
      <c r="H11" s="25">
        <f>IF($A11="","",SUM($G$5:G11))</f>
        <v/>
      </c>
    </row>
    <row r="12">
      <c r="A12" s="3">
        <f>IF(INDEX(Data_Concentration!$A:$A,8+1)="","",INDEX(Data_Concentration!$A:$A,8+1))</f>
        <v/>
      </c>
      <c r="B12" s="3">
        <f>IF(INDEX(Data_Concentration!$C:$C,8+1)="","",INDEX(Data_Concentration!$C:$C,8+1))</f>
        <v/>
      </c>
      <c r="C12" s="3">
        <f>IF(INDEX(Data_Concentration!$D:$D,8+1)="","",INDEX(Data_Concentration!$D:$D,8+1))</f>
        <v/>
      </c>
      <c r="D12" s="3">
        <f>IF(INDEX(Data_Concentration!$E:$E,8+1)="","",INDEX(Data_Concentration!$E:$E,8+1))</f>
        <v/>
      </c>
      <c r="E12" s="21">
        <f>IF($A12="","",INDEX(Data_Concentration!$F:$F,8+1)/1E9)</f>
        <v/>
      </c>
      <c r="F12" s="31">
        <f>IF(INDEX(Data_Concentration!$G:$G,8+1)="","",INDEX(Data_Concentration!$G:$G,8+1))</f>
        <v/>
      </c>
      <c r="G12" s="25">
        <f>IF(OR($A12="",Data_Params!$B$8=0),"",F12/Data_Params!$B$8)</f>
        <v/>
      </c>
      <c r="H12" s="25">
        <f>IF($A12="","",SUM($G$5:G12))</f>
        <v/>
      </c>
    </row>
    <row r="13">
      <c r="A13" s="3">
        <f>IF(INDEX(Data_Concentration!$A:$A,9+1)="","",INDEX(Data_Concentration!$A:$A,9+1))</f>
        <v/>
      </c>
      <c r="B13" s="3">
        <f>IF(INDEX(Data_Concentration!$C:$C,9+1)="","",INDEX(Data_Concentration!$C:$C,9+1))</f>
        <v/>
      </c>
      <c r="C13" s="3">
        <f>IF(INDEX(Data_Concentration!$D:$D,9+1)="","",INDEX(Data_Concentration!$D:$D,9+1))</f>
        <v/>
      </c>
      <c r="D13" s="3">
        <f>IF(INDEX(Data_Concentration!$E:$E,9+1)="","",INDEX(Data_Concentration!$E:$E,9+1))</f>
        <v/>
      </c>
      <c r="E13" s="21">
        <f>IF($A13="","",INDEX(Data_Concentration!$F:$F,9+1)/1E9)</f>
        <v/>
      </c>
      <c r="F13" s="31">
        <f>IF(INDEX(Data_Concentration!$G:$G,9+1)="","",INDEX(Data_Concentration!$G:$G,9+1))</f>
        <v/>
      </c>
      <c r="G13" s="25">
        <f>IF(OR($A13="",Data_Params!$B$8=0),"",F13/Data_Params!$B$8)</f>
        <v/>
      </c>
      <c r="H13" s="25">
        <f>IF($A13="","",SUM($G$5:G13))</f>
        <v/>
      </c>
    </row>
    <row r="14">
      <c r="A14" s="3">
        <f>IF(INDEX(Data_Concentration!$A:$A,10+1)="","",INDEX(Data_Concentration!$A:$A,10+1))</f>
        <v/>
      </c>
      <c r="B14" s="3">
        <f>IF(INDEX(Data_Concentration!$C:$C,10+1)="","",INDEX(Data_Concentration!$C:$C,10+1))</f>
        <v/>
      </c>
      <c r="C14" s="3">
        <f>IF(INDEX(Data_Concentration!$D:$D,10+1)="","",INDEX(Data_Concentration!$D:$D,10+1))</f>
        <v/>
      </c>
      <c r="D14" s="3">
        <f>IF(INDEX(Data_Concentration!$E:$E,10+1)="","",INDEX(Data_Concentration!$E:$E,10+1))</f>
        <v/>
      </c>
      <c r="E14" s="21">
        <f>IF($A14="","",INDEX(Data_Concentration!$F:$F,10+1)/1E9)</f>
        <v/>
      </c>
      <c r="F14" s="31">
        <f>IF(INDEX(Data_Concentration!$G:$G,10+1)="","",INDEX(Data_Concentration!$G:$G,10+1))</f>
        <v/>
      </c>
      <c r="G14" s="25">
        <f>IF(OR($A14="",Data_Params!$B$8=0),"",F14/Data_Params!$B$8)</f>
        <v/>
      </c>
      <c r="H14" s="25">
        <f>IF($A14="","",SUM($G$5:G14))</f>
        <v/>
      </c>
    </row>
    <row r="15">
      <c r="A15" s="3">
        <f>IF(INDEX(Data_Concentration!$A:$A,11+1)="","",INDEX(Data_Concentration!$A:$A,11+1))</f>
        <v/>
      </c>
      <c r="B15" s="3">
        <f>IF(INDEX(Data_Concentration!$C:$C,11+1)="","",INDEX(Data_Concentration!$C:$C,11+1))</f>
        <v/>
      </c>
      <c r="C15" s="3">
        <f>IF(INDEX(Data_Concentration!$D:$D,11+1)="","",INDEX(Data_Concentration!$D:$D,11+1))</f>
        <v/>
      </c>
      <c r="D15" s="3">
        <f>IF(INDEX(Data_Concentration!$E:$E,11+1)="","",INDEX(Data_Concentration!$E:$E,11+1))</f>
        <v/>
      </c>
      <c r="E15" s="21">
        <f>IF($A15="","",INDEX(Data_Concentration!$F:$F,11+1)/1E9)</f>
        <v/>
      </c>
      <c r="F15" s="31">
        <f>IF(INDEX(Data_Concentration!$G:$G,11+1)="","",INDEX(Data_Concentration!$G:$G,11+1))</f>
        <v/>
      </c>
      <c r="G15" s="25">
        <f>IF(OR($A15="",Data_Params!$B$8=0),"",F15/Data_Params!$B$8)</f>
        <v/>
      </c>
      <c r="H15" s="25">
        <f>IF($A15="","",SUM($G$5:G15))</f>
        <v/>
      </c>
    </row>
    <row r="16">
      <c r="A16" s="3">
        <f>IF(INDEX(Data_Concentration!$A:$A,12+1)="","",INDEX(Data_Concentration!$A:$A,12+1))</f>
        <v/>
      </c>
      <c r="B16" s="3">
        <f>IF(INDEX(Data_Concentration!$C:$C,12+1)="","",INDEX(Data_Concentration!$C:$C,12+1))</f>
        <v/>
      </c>
      <c r="C16" s="3">
        <f>IF(INDEX(Data_Concentration!$D:$D,12+1)="","",INDEX(Data_Concentration!$D:$D,12+1))</f>
        <v/>
      </c>
      <c r="D16" s="3">
        <f>IF(INDEX(Data_Concentration!$E:$E,12+1)="","",INDEX(Data_Concentration!$E:$E,12+1))</f>
        <v/>
      </c>
      <c r="E16" s="21">
        <f>IF($A16="","",INDEX(Data_Concentration!$F:$F,12+1)/1E9)</f>
        <v/>
      </c>
      <c r="F16" s="31">
        <f>IF(INDEX(Data_Concentration!$G:$G,12+1)="","",INDEX(Data_Concentration!$G:$G,12+1))</f>
        <v/>
      </c>
      <c r="G16" s="25">
        <f>IF(OR($A16="",Data_Params!$B$8=0),"",F16/Data_Params!$B$8)</f>
        <v/>
      </c>
      <c r="H16" s="25">
        <f>IF($A16="","",SUM($G$5:G16))</f>
        <v/>
      </c>
    </row>
    <row r="17">
      <c r="A17" s="3">
        <f>IF(INDEX(Data_Concentration!$A:$A,13+1)="","",INDEX(Data_Concentration!$A:$A,13+1))</f>
        <v/>
      </c>
      <c r="B17" s="3">
        <f>IF(INDEX(Data_Concentration!$C:$C,13+1)="","",INDEX(Data_Concentration!$C:$C,13+1))</f>
        <v/>
      </c>
      <c r="C17" s="3">
        <f>IF(INDEX(Data_Concentration!$D:$D,13+1)="","",INDEX(Data_Concentration!$D:$D,13+1))</f>
        <v/>
      </c>
      <c r="D17" s="3">
        <f>IF(INDEX(Data_Concentration!$E:$E,13+1)="","",INDEX(Data_Concentration!$E:$E,13+1))</f>
        <v/>
      </c>
      <c r="E17" s="21">
        <f>IF($A17="","",INDEX(Data_Concentration!$F:$F,13+1)/1E9)</f>
        <v/>
      </c>
      <c r="F17" s="31">
        <f>IF(INDEX(Data_Concentration!$G:$G,13+1)="","",INDEX(Data_Concentration!$G:$G,13+1))</f>
        <v/>
      </c>
      <c r="G17" s="25">
        <f>IF(OR($A17="",Data_Params!$B$8=0),"",F17/Data_Params!$B$8)</f>
        <v/>
      </c>
      <c r="H17" s="25">
        <f>IF($A17="","",SUM($G$5:G17))</f>
        <v/>
      </c>
    </row>
    <row r="18">
      <c r="A18" s="3">
        <f>IF(INDEX(Data_Concentration!$A:$A,14+1)="","",INDEX(Data_Concentration!$A:$A,14+1))</f>
        <v/>
      </c>
      <c r="B18" s="3">
        <f>IF(INDEX(Data_Concentration!$C:$C,14+1)="","",INDEX(Data_Concentration!$C:$C,14+1))</f>
        <v/>
      </c>
      <c r="C18" s="3">
        <f>IF(INDEX(Data_Concentration!$D:$D,14+1)="","",INDEX(Data_Concentration!$D:$D,14+1))</f>
        <v/>
      </c>
      <c r="D18" s="3">
        <f>IF(INDEX(Data_Concentration!$E:$E,14+1)="","",INDEX(Data_Concentration!$E:$E,14+1))</f>
        <v/>
      </c>
      <c r="E18" s="21">
        <f>IF($A18="","",INDEX(Data_Concentration!$F:$F,14+1)/1E9)</f>
        <v/>
      </c>
      <c r="F18" s="31">
        <f>IF(INDEX(Data_Concentration!$G:$G,14+1)="","",INDEX(Data_Concentration!$G:$G,14+1))</f>
        <v/>
      </c>
      <c r="G18" s="25">
        <f>IF(OR($A18="",Data_Params!$B$8=0),"",F18/Data_Params!$B$8)</f>
        <v/>
      </c>
      <c r="H18" s="25">
        <f>IF($A18="","",SUM($G$5:G18))</f>
        <v/>
      </c>
    </row>
    <row r="19">
      <c r="A19" s="3">
        <f>IF(INDEX(Data_Concentration!$A:$A,15+1)="","",INDEX(Data_Concentration!$A:$A,15+1))</f>
        <v/>
      </c>
      <c r="B19" s="3">
        <f>IF(INDEX(Data_Concentration!$C:$C,15+1)="","",INDEX(Data_Concentration!$C:$C,15+1))</f>
        <v/>
      </c>
      <c r="C19" s="3">
        <f>IF(INDEX(Data_Concentration!$D:$D,15+1)="","",INDEX(Data_Concentration!$D:$D,15+1))</f>
        <v/>
      </c>
      <c r="D19" s="3">
        <f>IF(INDEX(Data_Concentration!$E:$E,15+1)="","",INDEX(Data_Concentration!$E:$E,15+1))</f>
        <v/>
      </c>
      <c r="E19" s="21">
        <f>IF($A19="","",INDEX(Data_Concentration!$F:$F,15+1)/1E9)</f>
        <v/>
      </c>
      <c r="F19" s="31">
        <f>IF(INDEX(Data_Concentration!$G:$G,15+1)="","",INDEX(Data_Concentration!$G:$G,15+1))</f>
        <v/>
      </c>
      <c r="G19" s="25">
        <f>IF(OR($A19="",Data_Params!$B$8=0),"",F19/Data_Params!$B$8)</f>
        <v/>
      </c>
      <c r="H19" s="25">
        <f>IF($A19="","",SUM($G$5:G19))</f>
        <v/>
      </c>
    </row>
    <row r="20">
      <c r="A20" s="3">
        <f>IF(INDEX(Data_Concentration!$A:$A,16+1)="","",INDEX(Data_Concentration!$A:$A,16+1))</f>
        <v/>
      </c>
      <c r="B20" s="3">
        <f>IF(INDEX(Data_Concentration!$C:$C,16+1)="","",INDEX(Data_Concentration!$C:$C,16+1))</f>
        <v/>
      </c>
      <c r="C20" s="3">
        <f>IF(INDEX(Data_Concentration!$D:$D,16+1)="","",INDEX(Data_Concentration!$D:$D,16+1))</f>
        <v/>
      </c>
      <c r="D20" s="3">
        <f>IF(INDEX(Data_Concentration!$E:$E,16+1)="","",INDEX(Data_Concentration!$E:$E,16+1))</f>
        <v/>
      </c>
      <c r="E20" s="21">
        <f>IF($A20="","",INDEX(Data_Concentration!$F:$F,16+1)/1E9)</f>
        <v/>
      </c>
      <c r="F20" s="31">
        <f>IF(INDEX(Data_Concentration!$G:$G,16+1)="","",INDEX(Data_Concentration!$G:$G,16+1))</f>
        <v/>
      </c>
      <c r="G20" s="25">
        <f>IF(OR($A20="",Data_Params!$B$8=0),"",F20/Data_Params!$B$8)</f>
        <v/>
      </c>
      <c r="H20" s="25">
        <f>IF($A20="","",SUM($G$5:G20))</f>
        <v/>
      </c>
    </row>
    <row r="21">
      <c r="A21" s="3">
        <f>IF(INDEX(Data_Concentration!$A:$A,17+1)="","",INDEX(Data_Concentration!$A:$A,17+1))</f>
        <v/>
      </c>
      <c r="B21" s="3">
        <f>IF(INDEX(Data_Concentration!$C:$C,17+1)="","",INDEX(Data_Concentration!$C:$C,17+1))</f>
        <v/>
      </c>
      <c r="C21" s="3">
        <f>IF(INDEX(Data_Concentration!$D:$D,17+1)="","",INDEX(Data_Concentration!$D:$D,17+1))</f>
        <v/>
      </c>
      <c r="D21" s="3">
        <f>IF(INDEX(Data_Concentration!$E:$E,17+1)="","",INDEX(Data_Concentration!$E:$E,17+1))</f>
        <v/>
      </c>
      <c r="E21" s="21">
        <f>IF($A21="","",INDEX(Data_Concentration!$F:$F,17+1)/1E9)</f>
        <v/>
      </c>
      <c r="F21" s="31">
        <f>IF(INDEX(Data_Concentration!$G:$G,17+1)="","",INDEX(Data_Concentration!$G:$G,17+1))</f>
        <v/>
      </c>
      <c r="G21" s="25">
        <f>IF(OR($A21="",Data_Params!$B$8=0),"",F21/Data_Params!$B$8)</f>
        <v/>
      </c>
      <c r="H21" s="25">
        <f>IF($A21="","",SUM($G$5:G21))</f>
        <v/>
      </c>
    </row>
    <row r="22">
      <c r="A22" s="3">
        <f>IF(INDEX(Data_Concentration!$A:$A,18+1)="","",INDEX(Data_Concentration!$A:$A,18+1))</f>
        <v/>
      </c>
      <c r="B22" s="3">
        <f>IF(INDEX(Data_Concentration!$C:$C,18+1)="","",INDEX(Data_Concentration!$C:$C,18+1))</f>
        <v/>
      </c>
      <c r="C22" s="3">
        <f>IF(INDEX(Data_Concentration!$D:$D,18+1)="","",INDEX(Data_Concentration!$D:$D,18+1))</f>
        <v/>
      </c>
      <c r="D22" s="3">
        <f>IF(INDEX(Data_Concentration!$E:$E,18+1)="","",INDEX(Data_Concentration!$E:$E,18+1))</f>
        <v/>
      </c>
      <c r="E22" s="21">
        <f>IF($A22="","",INDEX(Data_Concentration!$F:$F,18+1)/1E9)</f>
        <v/>
      </c>
      <c r="F22" s="31">
        <f>IF(INDEX(Data_Concentration!$G:$G,18+1)="","",INDEX(Data_Concentration!$G:$G,18+1))</f>
        <v/>
      </c>
      <c r="G22" s="25">
        <f>IF(OR($A22="",Data_Params!$B$8=0),"",F22/Data_Params!$B$8)</f>
        <v/>
      </c>
      <c r="H22" s="25">
        <f>IF($A22="","",SUM($G$5:G22))</f>
        <v/>
      </c>
    </row>
    <row r="23">
      <c r="A23" s="3">
        <f>IF(INDEX(Data_Concentration!$A:$A,19+1)="","",INDEX(Data_Concentration!$A:$A,19+1))</f>
        <v/>
      </c>
      <c r="B23" s="3">
        <f>IF(INDEX(Data_Concentration!$C:$C,19+1)="","",INDEX(Data_Concentration!$C:$C,19+1))</f>
        <v/>
      </c>
      <c r="C23" s="3">
        <f>IF(INDEX(Data_Concentration!$D:$D,19+1)="","",INDEX(Data_Concentration!$D:$D,19+1))</f>
        <v/>
      </c>
      <c r="D23" s="3">
        <f>IF(INDEX(Data_Concentration!$E:$E,19+1)="","",INDEX(Data_Concentration!$E:$E,19+1))</f>
        <v/>
      </c>
      <c r="E23" s="21">
        <f>IF($A23="","",INDEX(Data_Concentration!$F:$F,19+1)/1E9)</f>
        <v/>
      </c>
      <c r="F23" s="31">
        <f>IF(INDEX(Data_Concentration!$G:$G,19+1)="","",INDEX(Data_Concentration!$G:$G,19+1))</f>
        <v/>
      </c>
      <c r="G23" s="25">
        <f>IF(OR($A23="",Data_Params!$B$8=0),"",F23/Data_Params!$B$8)</f>
        <v/>
      </c>
      <c r="H23" s="25">
        <f>IF($A23="","",SUM($G$5:G23))</f>
        <v/>
      </c>
    </row>
    <row r="24">
      <c r="A24" s="3">
        <f>IF(INDEX(Data_Concentration!$A:$A,20+1)="","",INDEX(Data_Concentration!$A:$A,20+1))</f>
        <v/>
      </c>
      <c r="B24" s="3">
        <f>IF(INDEX(Data_Concentration!$C:$C,20+1)="","",INDEX(Data_Concentration!$C:$C,20+1))</f>
        <v/>
      </c>
      <c r="C24" s="3">
        <f>IF(INDEX(Data_Concentration!$D:$D,20+1)="","",INDEX(Data_Concentration!$D:$D,20+1))</f>
        <v/>
      </c>
      <c r="D24" s="3">
        <f>IF(INDEX(Data_Concentration!$E:$E,20+1)="","",INDEX(Data_Concentration!$E:$E,20+1))</f>
        <v/>
      </c>
      <c r="E24" s="21">
        <f>IF($A24="","",INDEX(Data_Concentration!$F:$F,20+1)/1E9)</f>
        <v/>
      </c>
      <c r="F24" s="31">
        <f>IF(INDEX(Data_Concentration!$G:$G,20+1)="","",INDEX(Data_Concentration!$G:$G,20+1))</f>
        <v/>
      </c>
      <c r="G24" s="25">
        <f>IF(OR($A24="",Data_Params!$B$8=0),"",F24/Data_Params!$B$8)</f>
        <v/>
      </c>
      <c r="H24" s="25">
        <f>IF($A24="","",SUM($G$5:G24))</f>
        <v/>
      </c>
    </row>
    <row r="25">
      <c r="A25" s="3">
        <f>IF(INDEX(Data_Concentration!$A:$A,21+1)="","",INDEX(Data_Concentration!$A:$A,21+1))</f>
        <v/>
      </c>
      <c r="B25" s="3">
        <f>IF(INDEX(Data_Concentration!$C:$C,21+1)="","",INDEX(Data_Concentration!$C:$C,21+1))</f>
        <v/>
      </c>
      <c r="C25" s="3">
        <f>IF(INDEX(Data_Concentration!$D:$D,21+1)="","",INDEX(Data_Concentration!$D:$D,21+1))</f>
        <v/>
      </c>
      <c r="D25" s="3">
        <f>IF(INDEX(Data_Concentration!$E:$E,21+1)="","",INDEX(Data_Concentration!$E:$E,21+1))</f>
        <v/>
      </c>
      <c r="E25" s="21">
        <f>IF($A25="","",INDEX(Data_Concentration!$F:$F,21+1)/1E9)</f>
        <v/>
      </c>
      <c r="F25" s="31">
        <f>IF(INDEX(Data_Concentration!$G:$G,21+1)="","",INDEX(Data_Concentration!$G:$G,21+1))</f>
        <v/>
      </c>
      <c r="G25" s="25">
        <f>IF(OR($A25="",Data_Params!$B$8=0),"",F25/Data_Params!$B$8)</f>
        <v/>
      </c>
      <c r="H25" s="25">
        <f>IF($A25="","",SUM($G$5:G25))</f>
        <v/>
      </c>
    </row>
    <row r="26">
      <c r="A26" s="3">
        <f>IF(INDEX(Data_Concentration!$A:$A,22+1)="","",INDEX(Data_Concentration!$A:$A,22+1))</f>
        <v/>
      </c>
      <c r="B26" s="3">
        <f>IF(INDEX(Data_Concentration!$C:$C,22+1)="","",INDEX(Data_Concentration!$C:$C,22+1))</f>
        <v/>
      </c>
      <c r="C26" s="3">
        <f>IF(INDEX(Data_Concentration!$D:$D,22+1)="","",INDEX(Data_Concentration!$D:$D,22+1))</f>
        <v/>
      </c>
      <c r="D26" s="3">
        <f>IF(INDEX(Data_Concentration!$E:$E,22+1)="","",INDEX(Data_Concentration!$E:$E,22+1))</f>
        <v/>
      </c>
      <c r="E26" s="21">
        <f>IF($A26="","",INDEX(Data_Concentration!$F:$F,22+1)/1E9)</f>
        <v/>
      </c>
      <c r="F26" s="31">
        <f>IF(INDEX(Data_Concentration!$G:$G,22+1)="","",INDEX(Data_Concentration!$G:$G,22+1))</f>
        <v/>
      </c>
      <c r="G26" s="25">
        <f>IF(OR($A26="",Data_Params!$B$8=0),"",F26/Data_Params!$B$8)</f>
        <v/>
      </c>
      <c r="H26" s="25">
        <f>IF($A26="","",SUM($G$5:G26))</f>
        <v/>
      </c>
    </row>
    <row r="27">
      <c r="A27" s="3">
        <f>IF(INDEX(Data_Concentration!$A:$A,23+1)="","",INDEX(Data_Concentration!$A:$A,23+1))</f>
        <v/>
      </c>
      <c r="B27" s="3">
        <f>IF(INDEX(Data_Concentration!$C:$C,23+1)="","",INDEX(Data_Concentration!$C:$C,23+1))</f>
        <v/>
      </c>
      <c r="C27" s="3">
        <f>IF(INDEX(Data_Concentration!$D:$D,23+1)="","",INDEX(Data_Concentration!$D:$D,23+1))</f>
        <v/>
      </c>
      <c r="D27" s="3">
        <f>IF(INDEX(Data_Concentration!$E:$E,23+1)="","",INDEX(Data_Concentration!$E:$E,23+1))</f>
        <v/>
      </c>
      <c r="E27" s="21">
        <f>IF($A27="","",INDEX(Data_Concentration!$F:$F,23+1)/1E9)</f>
        <v/>
      </c>
      <c r="F27" s="31">
        <f>IF(INDEX(Data_Concentration!$G:$G,23+1)="","",INDEX(Data_Concentration!$G:$G,23+1))</f>
        <v/>
      </c>
      <c r="G27" s="25">
        <f>IF(OR($A27="",Data_Params!$B$8=0),"",F27/Data_Params!$B$8)</f>
        <v/>
      </c>
      <c r="H27" s="25">
        <f>IF($A27="","",SUM($G$5:G27))</f>
        <v/>
      </c>
    </row>
    <row r="28">
      <c r="A28" s="3">
        <f>IF(INDEX(Data_Concentration!$A:$A,24+1)="","",INDEX(Data_Concentration!$A:$A,24+1))</f>
        <v/>
      </c>
      <c r="B28" s="3">
        <f>IF(INDEX(Data_Concentration!$C:$C,24+1)="","",INDEX(Data_Concentration!$C:$C,24+1))</f>
        <v/>
      </c>
      <c r="C28" s="3">
        <f>IF(INDEX(Data_Concentration!$D:$D,24+1)="","",INDEX(Data_Concentration!$D:$D,24+1))</f>
        <v/>
      </c>
      <c r="D28" s="3">
        <f>IF(INDEX(Data_Concentration!$E:$E,24+1)="","",INDEX(Data_Concentration!$E:$E,24+1))</f>
        <v/>
      </c>
      <c r="E28" s="21">
        <f>IF($A28="","",INDEX(Data_Concentration!$F:$F,24+1)/1E9)</f>
        <v/>
      </c>
      <c r="F28" s="31">
        <f>IF(INDEX(Data_Concentration!$G:$G,24+1)="","",INDEX(Data_Concentration!$G:$G,24+1))</f>
        <v/>
      </c>
      <c r="G28" s="25">
        <f>IF(OR($A28="",Data_Params!$B$8=0),"",F28/Data_Params!$B$8)</f>
        <v/>
      </c>
      <c r="H28" s="25">
        <f>IF($A28="","",SUM($G$5:G28))</f>
        <v/>
      </c>
    </row>
    <row r="29">
      <c r="A29" s="3">
        <f>IF(INDEX(Data_Concentration!$A:$A,25+1)="","",INDEX(Data_Concentration!$A:$A,25+1))</f>
        <v/>
      </c>
      <c r="B29" s="3">
        <f>IF(INDEX(Data_Concentration!$C:$C,25+1)="","",INDEX(Data_Concentration!$C:$C,25+1))</f>
        <v/>
      </c>
      <c r="C29" s="3">
        <f>IF(INDEX(Data_Concentration!$D:$D,25+1)="","",INDEX(Data_Concentration!$D:$D,25+1))</f>
        <v/>
      </c>
      <c r="D29" s="3">
        <f>IF(INDEX(Data_Concentration!$E:$E,25+1)="","",INDEX(Data_Concentration!$E:$E,25+1))</f>
        <v/>
      </c>
      <c r="E29" s="21">
        <f>IF($A29="","",INDEX(Data_Concentration!$F:$F,25+1)/1E9)</f>
        <v/>
      </c>
      <c r="F29" s="31">
        <f>IF(INDEX(Data_Concentration!$G:$G,25+1)="","",INDEX(Data_Concentration!$G:$G,25+1))</f>
        <v/>
      </c>
      <c r="G29" s="25">
        <f>IF(OR($A29="",Data_Params!$B$8=0),"",F29/Data_Params!$B$8)</f>
        <v/>
      </c>
      <c r="H29" s="25">
        <f>IF($A29="","",SUM($G$5:G29))</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4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2" customWidth="1" min="2" max="2"/>
    <col width="12" customWidth="1" min="3" max="3"/>
    <col width="12" customWidth="1" min="4" max="4"/>
    <col width="12"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s>
  <sheetData>
    <row r="1">
      <c r="A1" s="1">
        <f>Data_Params!$B$14&amp;" | Demand forecast: next three months"</f>
        <v/>
      </c>
    </row>
    <row r="2">
      <c r="A2" s="7" t="inlineStr">
        <is>
          <t>Self-serve by cohort (chain-ladder) + gateway trend + enterprise contracts and pipeline (Forecast_Ent). Green input cells link to the Overrides tab, where the values are set.</t>
        </is>
      </c>
    </row>
    <row r="3"/>
    <row r="4">
      <c r="A4" s="2" t="inlineStr">
        <is>
          <t>Assumptions</t>
        </is>
      </c>
    </row>
    <row r="5">
      <c r="A5" s="8" t="inlineStr">
        <is>
          <t>Input</t>
        </is>
      </c>
      <c r="B5" s="8" t="inlineStr">
        <is>
          <t>Low</t>
        </is>
      </c>
      <c r="C5" s="8" t="inlineStr">
        <is>
          <t>Base</t>
        </is>
      </c>
      <c r="D5" s="8" t="inlineStr">
        <is>
          <t>High</t>
        </is>
      </c>
      <c r="E5" s="8" t="inlineStr">
        <is>
          <t>Why</t>
        </is>
      </c>
    </row>
    <row r="6">
      <c r="A6" s="3" t="inlineStr">
        <is>
          <t>Cohort development factor beyond observed history</t>
        </is>
      </c>
      <c r="B6" s="34">
        <f>Overrides!$E$8</f>
        <v/>
      </c>
      <c r="C6" s="35">
        <f>Overrides!$E$9</f>
        <v/>
      </c>
      <c r="D6" s="34">
        <f>Overrides!$E$10</f>
        <v/>
      </c>
      <c r="E6" s="7" t="inlineStr">
        <is>
          <t>Applies to cohort ages not yet observed, and to the combined older cohorts.</t>
        </is>
      </c>
    </row>
    <row r="7">
      <c r="A7" s="3" t="inlineStr">
        <is>
          <t>New signups, monthly growth</t>
        </is>
      </c>
      <c r="B7" s="11">
        <f>Overrides!$E$20</f>
        <v/>
      </c>
      <c r="C7" s="25">
        <f>IF(AND(B29&gt;0,B32&gt;0),(B32/B29)^(1/3)-1,0)</f>
        <v/>
      </c>
      <c r="D7" s="25">
        <f>2*C7</f>
        <v/>
      </c>
      <c r="E7" s="7" t="inlineStr">
        <is>
          <t>Base = average growth over the last 3 months. Low = flat (blue). High = double.</t>
        </is>
      </c>
    </row>
    <row r="8">
      <c r="A8" s="3" t="inlineStr">
        <is>
          <t>Month-0 tokens/day per signup (B)</t>
        </is>
      </c>
      <c r="B8" s="36">
        <f>IF(COUNT(C30:C32)=0,0,MIN(C30:C32))</f>
        <v/>
      </c>
      <c r="C8" s="36">
        <f>IF(COUNT(C30:C32)=0,0,AVERAGE(C30:C32))</f>
        <v/>
      </c>
      <c r="D8" s="36">
        <f>IF(COUNT(C30:C32)=0,0,MAX(C30:C32))</f>
        <v/>
      </c>
      <c r="E8" s="7" t="inlineStr">
        <is>
          <t>Min / average / max of the last 3 cohorts.</t>
        </is>
      </c>
    </row>
    <row r="9">
      <c r="A9" s="3" t="inlineStr">
        <is>
          <t>Gateway (no customer IDs) monthly growth</t>
        </is>
      </c>
      <c r="B9" s="25">
        <f>MIN(0,B118)</f>
        <v/>
      </c>
      <c r="C9" s="25">
        <f>B118*C10</f>
        <v/>
      </c>
      <c r="D9" s="25">
        <f>MAX(0,B118)</f>
        <v/>
      </c>
      <c r="E9" s="7" t="inlineStr">
        <is>
          <t>From last month's growth: low = min(0, it), base = it x decay, high = max(0, it).</t>
        </is>
      </c>
    </row>
    <row r="10">
      <c r="A10" s="3" t="inlineStr">
        <is>
          <t>Gateway growth decay (base)</t>
        </is>
      </c>
      <c r="C10" s="35">
        <f>Overrides!$E$21</f>
        <v/>
      </c>
      <c r="E10" s="7" t="inlineStr">
        <is>
          <t>Judgment: share of last month's growth expected to continue.</t>
        </is>
      </c>
    </row>
    <row r="11">
      <c r="A11" s="3" t="inlineStr">
        <is>
          <t>Enterprise steady-state usage vs commitment</t>
        </is>
      </c>
      <c r="B11" s="11">
        <f>Overrides!$E$11</f>
        <v/>
      </c>
      <c r="C11" s="37">
        <f>Overrides!$E$12</f>
        <v/>
      </c>
      <c r="D11" s="11">
        <f>Overrides!$E$13</f>
        <v/>
      </c>
      <c r="E11" s="7" t="inlineStr">
        <is>
          <t>For contracts still ramping. Replace with the account team's view.</t>
        </is>
      </c>
    </row>
    <row r="12">
      <c r="A12" s="3" t="inlineStr">
        <is>
          <t>Enterprise monthly growth after ramp</t>
        </is>
      </c>
      <c r="B12" s="11">
        <f>Overrides!$E$14</f>
        <v/>
      </c>
      <c r="C12" s="11">
        <f>Overrides!$E$15</f>
        <v/>
      </c>
      <c r="D12" s="11">
        <f>Overrides!$E$16</f>
        <v/>
      </c>
      <c r="E12" s="7" t="inlineStr"/>
    </row>
    <row r="13">
      <c r="A13" s="3" t="inlineStr">
        <is>
          <t>Enterprise ramp length (days)</t>
        </is>
      </c>
      <c r="C13" s="12">
        <f>Overrides!$E$22</f>
        <v/>
      </c>
      <c r="E13" s="7" t="inlineStr">
        <is>
          <t>Contracts younger than this ramp toward steady state.</t>
        </is>
      </c>
    </row>
    <row r="14">
      <c r="A14" s="3" t="inlineStr">
        <is>
          <t>Self-serve realized $ per M tokens (latest month)</t>
        </is>
      </c>
      <c r="C14" s="13">
        <f>Overrides!$E$23</f>
        <v/>
      </c>
      <c r="E14" s="7" t="inlineStr">
        <is>
          <t>Net revenue / billable tokens. Below list price because of free credit and gateway fees.</t>
        </is>
      </c>
    </row>
    <row r="15">
      <c r="A15" s="3" t="inlineStr">
        <is>
          <t>Gateway (no IDs) realized $ per M tokens (latest month)</t>
        </is>
      </c>
      <c r="C15" s="13">
        <f>Overrides!$E$24</f>
        <v/>
      </c>
      <c r="E15" s="7" t="inlineStr"/>
    </row>
    <row r="16">
      <c r="A16" s="3" t="inlineStr">
        <is>
          <t>Older cohorts (before window), tokens/day latest month (B)</t>
        </is>
      </c>
      <c r="C16" s="29">
        <f>SUMIFS(Data_EarlierCohorts!$B:$B,Data_EarlierCohorts!$A:$A,Data_Params!$B$2)/MAX(1,SUMIFS(Data_Months!$B:$B,Data_Months!$A:$A,Data_Params!$B$2))/1E9</f>
        <v/>
      </c>
      <c r="E16" s="7" t="inlineStr">
        <is>
          <t>Forecast = this x development factor each month.</t>
        </is>
      </c>
    </row>
    <row r="17">
      <c r="A17" s="3" t="inlineStr">
        <is>
          <t>Self-serve tokens lost to competitors, per month</t>
        </is>
      </c>
      <c r="B17" s="11">
        <f>Overrides!$E$17</f>
        <v/>
      </c>
      <c r="C17" s="37">
        <f>Overrides!$E$18</f>
        <v/>
      </c>
      <c r="D17" s="11">
        <f>Overrides!$E$19</f>
        <v/>
      </c>
      <c r="E17" s="7" t="inlineStr">
        <is>
          <t>Rival decision APIs (OpenAI Decisions API, AWS Strands Decider). Compounds monthly.</t>
        </is>
      </c>
    </row>
    <row r="18"/>
    <row r="19">
      <c r="A19" s="2" t="inlineStr">
        <is>
          <t>Self-serve cohort triangle, actuals (B tokens per day)</t>
        </is>
      </c>
    </row>
    <row r="20">
      <c r="A20" s="8" t="inlineStr">
        <is>
          <t>Cohort</t>
        </is>
      </c>
      <c r="B20" s="8" t="inlineStr">
        <is>
          <t>Signups</t>
        </is>
      </c>
      <c r="C20" s="8" t="inlineStr">
        <is>
          <t>Month-0 per signup</t>
        </is>
      </c>
      <c r="D20" s="8" t="inlineStr">
        <is>
          <t>Month 0</t>
        </is>
      </c>
      <c r="E20" s="8" t="inlineStr">
        <is>
          <t>Month 1</t>
        </is>
      </c>
      <c r="F20" s="8" t="inlineStr">
        <is>
          <t>Month 2</t>
        </is>
      </c>
      <c r="G20" s="8" t="inlineStr">
        <is>
          <t>Month 3</t>
        </is>
      </c>
      <c r="H20" s="8" t="inlineStr">
        <is>
          <t>Month 4</t>
        </is>
      </c>
      <c r="I20" s="8" t="inlineStr">
        <is>
          <t>Month 5</t>
        </is>
      </c>
      <c r="J20" s="8" t="inlineStr">
        <is>
          <t>Month 6</t>
        </is>
      </c>
      <c r="K20" s="8" t="inlineStr">
        <is>
          <t>Month 7</t>
        </is>
      </c>
      <c r="L20" s="8" t="inlineStr">
        <is>
          <t>Month 8</t>
        </is>
      </c>
      <c r="M20" s="8" t="inlineStr">
        <is>
          <t>Month 9</t>
        </is>
      </c>
      <c r="N20" s="8" t="inlineStr">
        <is>
          <t>Month 10</t>
        </is>
      </c>
      <c r="O20" s="8" t="inlineStr">
        <is>
          <t>Month 11</t>
        </is>
      </c>
    </row>
    <row r="21">
      <c r="A21" s="28">
        <f>EDATE(Data_Params!$B$3,0)</f>
        <v/>
      </c>
      <c r="B21" s="23">
        <f>SUMIFS(Data_Signups!$B:$B,Data_Signups!$A:$A,$A21)</f>
        <v/>
      </c>
      <c r="C21" s="36">
        <f>IF(B21&gt;0,D21/B21,"")</f>
        <v/>
      </c>
      <c r="D21" s="29">
        <f>SUMIFS(Data_Cohort!$C:$C,Data_Cohort!$A:$A,$A21,Data_Cohort!$B:$B,0)/MAX(1,SUMIFS(Data_Months!$B:$B,Data_Months!$A:$A,EDATE($A21,0)))/1E9</f>
        <v/>
      </c>
      <c r="E21" s="29">
        <f>SUMIFS(Data_Cohort!$C:$C,Data_Cohort!$A:$A,$A21,Data_Cohort!$B:$B,1)/MAX(1,SUMIFS(Data_Months!$B:$B,Data_Months!$A:$A,EDATE($A21,1)))/1E9</f>
        <v/>
      </c>
      <c r="F21" s="29">
        <f>SUMIFS(Data_Cohort!$C:$C,Data_Cohort!$A:$A,$A21,Data_Cohort!$B:$B,2)/MAX(1,SUMIFS(Data_Months!$B:$B,Data_Months!$A:$A,EDATE($A21,2)))/1E9</f>
        <v/>
      </c>
      <c r="G21" s="29">
        <f>SUMIFS(Data_Cohort!$C:$C,Data_Cohort!$A:$A,$A21,Data_Cohort!$B:$B,3)/MAX(1,SUMIFS(Data_Months!$B:$B,Data_Months!$A:$A,EDATE($A21,3)))/1E9</f>
        <v/>
      </c>
      <c r="H21" s="29">
        <f>SUMIFS(Data_Cohort!$C:$C,Data_Cohort!$A:$A,$A21,Data_Cohort!$B:$B,4)/MAX(1,SUMIFS(Data_Months!$B:$B,Data_Months!$A:$A,EDATE($A21,4)))/1E9</f>
        <v/>
      </c>
      <c r="I21" s="29">
        <f>SUMIFS(Data_Cohort!$C:$C,Data_Cohort!$A:$A,$A21,Data_Cohort!$B:$B,5)/MAX(1,SUMIFS(Data_Months!$B:$B,Data_Months!$A:$A,EDATE($A21,5)))/1E9</f>
        <v/>
      </c>
      <c r="J21" s="29">
        <f>SUMIFS(Data_Cohort!$C:$C,Data_Cohort!$A:$A,$A21,Data_Cohort!$B:$B,6)/MAX(1,SUMIFS(Data_Months!$B:$B,Data_Months!$A:$A,EDATE($A21,6)))/1E9</f>
        <v/>
      </c>
      <c r="K21" s="29">
        <f>SUMIFS(Data_Cohort!$C:$C,Data_Cohort!$A:$A,$A21,Data_Cohort!$B:$B,7)/MAX(1,SUMIFS(Data_Months!$B:$B,Data_Months!$A:$A,EDATE($A21,7)))/1E9</f>
        <v/>
      </c>
      <c r="L21" s="29">
        <f>SUMIFS(Data_Cohort!$C:$C,Data_Cohort!$A:$A,$A21,Data_Cohort!$B:$B,8)/MAX(1,SUMIFS(Data_Months!$B:$B,Data_Months!$A:$A,EDATE($A21,8)))/1E9</f>
        <v/>
      </c>
      <c r="M21" s="29">
        <f>SUMIFS(Data_Cohort!$C:$C,Data_Cohort!$A:$A,$A21,Data_Cohort!$B:$B,9)/MAX(1,SUMIFS(Data_Months!$B:$B,Data_Months!$A:$A,EDATE($A21,9)))/1E9</f>
        <v/>
      </c>
      <c r="N21" s="29">
        <f>SUMIFS(Data_Cohort!$C:$C,Data_Cohort!$A:$A,$A21,Data_Cohort!$B:$B,10)/MAX(1,SUMIFS(Data_Months!$B:$B,Data_Months!$A:$A,EDATE($A21,10)))/1E9</f>
        <v/>
      </c>
      <c r="O21" s="29">
        <f>SUMIFS(Data_Cohort!$C:$C,Data_Cohort!$A:$A,$A21,Data_Cohort!$B:$B,11)/MAX(1,SUMIFS(Data_Months!$B:$B,Data_Months!$A:$A,EDATE($A21,11)))/1E9</f>
        <v/>
      </c>
    </row>
    <row r="22">
      <c r="A22" s="28">
        <f>EDATE(Data_Params!$B$3,1)</f>
        <v/>
      </c>
      <c r="B22" s="23">
        <f>SUMIFS(Data_Signups!$B:$B,Data_Signups!$A:$A,$A22)</f>
        <v/>
      </c>
      <c r="C22" s="36">
        <f>IF(B22&gt;0,D22/B22,"")</f>
        <v/>
      </c>
      <c r="D22" s="29">
        <f>SUMIFS(Data_Cohort!$C:$C,Data_Cohort!$A:$A,$A22,Data_Cohort!$B:$B,0)/MAX(1,SUMIFS(Data_Months!$B:$B,Data_Months!$A:$A,EDATE($A22,0)))/1E9</f>
        <v/>
      </c>
      <c r="E22" s="29">
        <f>SUMIFS(Data_Cohort!$C:$C,Data_Cohort!$A:$A,$A22,Data_Cohort!$B:$B,1)/MAX(1,SUMIFS(Data_Months!$B:$B,Data_Months!$A:$A,EDATE($A22,1)))/1E9</f>
        <v/>
      </c>
      <c r="F22" s="29">
        <f>SUMIFS(Data_Cohort!$C:$C,Data_Cohort!$A:$A,$A22,Data_Cohort!$B:$B,2)/MAX(1,SUMIFS(Data_Months!$B:$B,Data_Months!$A:$A,EDATE($A22,2)))/1E9</f>
        <v/>
      </c>
      <c r="G22" s="29">
        <f>SUMIFS(Data_Cohort!$C:$C,Data_Cohort!$A:$A,$A22,Data_Cohort!$B:$B,3)/MAX(1,SUMIFS(Data_Months!$B:$B,Data_Months!$A:$A,EDATE($A22,3)))/1E9</f>
        <v/>
      </c>
      <c r="H22" s="29">
        <f>SUMIFS(Data_Cohort!$C:$C,Data_Cohort!$A:$A,$A22,Data_Cohort!$B:$B,4)/MAX(1,SUMIFS(Data_Months!$B:$B,Data_Months!$A:$A,EDATE($A22,4)))/1E9</f>
        <v/>
      </c>
      <c r="I22" s="29">
        <f>SUMIFS(Data_Cohort!$C:$C,Data_Cohort!$A:$A,$A22,Data_Cohort!$B:$B,5)/MAX(1,SUMIFS(Data_Months!$B:$B,Data_Months!$A:$A,EDATE($A22,5)))/1E9</f>
        <v/>
      </c>
      <c r="J22" s="29">
        <f>SUMIFS(Data_Cohort!$C:$C,Data_Cohort!$A:$A,$A22,Data_Cohort!$B:$B,6)/MAX(1,SUMIFS(Data_Months!$B:$B,Data_Months!$A:$A,EDATE($A22,6)))/1E9</f>
        <v/>
      </c>
      <c r="K22" s="29">
        <f>SUMIFS(Data_Cohort!$C:$C,Data_Cohort!$A:$A,$A22,Data_Cohort!$B:$B,7)/MAX(1,SUMIFS(Data_Months!$B:$B,Data_Months!$A:$A,EDATE($A22,7)))/1E9</f>
        <v/>
      </c>
      <c r="L22" s="29">
        <f>SUMIFS(Data_Cohort!$C:$C,Data_Cohort!$A:$A,$A22,Data_Cohort!$B:$B,8)/MAX(1,SUMIFS(Data_Months!$B:$B,Data_Months!$A:$A,EDATE($A22,8)))/1E9</f>
        <v/>
      </c>
      <c r="M22" s="29">
        <f>SUMIFS(Data_Cohort!$C:$C,Data_Cohort!$A:$A,$A22,Data_Cohort!$B:$B,9)/MAX(1,SUMIFS(Data_Months!$B:$B,Data_Months!$A:$A,EDATE($A22,9)))/1E9</f>
        <v/>
      </c>
      <c r="N22" s="29">
        <f>SUMIFS(Data_Cohort!$C:$C,Data_Cohort!$A:$A,$A22,Data_Cohort!$B:$B,10)/MAX(1,SUMIFS(Data_Months!$B:$B,Data_Months!$A:$A,EDATE($A22,10)))/1E9</f>
        <v/>
      </c>
    </row>
    <row r="23">
      <c r="A23" s="28">
        <f>EDATE(Data_Params!$B$3,2)</f>
        <v/>
      </c>
      <c r="B23" s="23">
        <f>SUMIFS(Data_Signups!$B:$B,Data_Signups!$A:$A,$A23)</f>
        <v/>
      </c>
      <c r="C23" s="36">
        <f>IF(B23&gt;0,D23/B23,"")</f>
        <v/>
      </c>
      <c r="D23" s="29">
        <f>SUMIFS(Data_Cohort!$C:$C,Data_Cohort!$A:$A,$A23,Data_Cohort!$B:$B,0)/MAX(1,SUMIFS(Data_Months!$B:$B,Data_Months!$A:$A,EDATE($A23,0)))/1E9</f>
        <v/>
      </c>
      <c r="E23" s="29">
        <f>SUMIFS(Data_Cohort!$C:$C,Data_Cohort!$A:$A,$A23,Data_Cohort!$B:$B,1)/MAX(1,SUMIFS(Data_Months!$B:$B,Data_Months!$A:$A,EDATE($A23,1)))/1E9</f>
        <v/>
      </c>
      <c r="F23" s="29">
        <f>SUMIFS(Data_Cohort!$C:$C,Data_Cohort!$A:$A,$A23,Data_Cohort!$B:$B,2)/MAX(1,SUMIFS(Data_Months!$B:$B,Data_Months!$A:$A,EDATE($A23,2)))/1E9</f>
        <v/>
      </c>
      <c r="G23" s="29">
        <f>SUMIFS(Data_Cohort!$C:$C,Data_Cohort!$A:$A,$A23,Data_Cohort!$B:$B,3)/MAX(1,SUMIFS(Data_Months!$B:$B,Data_Months!$A:$A,EDATE($A23,3)))/1E9</f>
        <v/>
      </c>
      <c r="H23" s="29">
        <f>SUMIFS(Data_Cohort!$C:$C,Data_Cohort!$A:$A,$A23,Data_Cohort!$B:$B,4)/MAX(1,SUMIFS(Data_Months!$B:$B,Data_Months!$A:$A,EDATE($A23,4)))/1E9</f>
        <v/>
      </c>
      <c r="I23" s="29">
        <f>SUMIFS(Data_Cohort!$C:$C,Data_Cohort!$A:$A,$A23,Data_Cohort!$B:$B,5)/MAX(1,SUMIFS(Data_Months!$B:$B,Data_Months!$A:$A,EDATE($A23,5)))/1E9</f>
        <v/>
      </c>
      <c r="J23" s="29">
        <f>SUMIFS(Data_Cohort!$C:$C,Data_Cohort!$A:$A,$A23,Data_Cohort!$B:$B,6)/MAX(1,SUMIFS(Data_Months!$B:$B,Data_Months!$A:$A,EDATE($A23,6)))/1E9</f>
        <v/>
      </c>
      <c r="K23" s="29">
        <f>SUMIFS(Data_Cohort!$C:$C,Data_Cohort!$A:$A,$A23,Data_Cohort!$B:$B,7)/MAX(1,SUMIFS(Data_Months!$B:$B,Data_Months!$A:$A,EDATE($A23,7)))/1E9</f>
        <v/>
      </c>
      <c r="L23" s="29">
        <f>SUMIFS(Data_Cohort!$C:$C,Data_Cohort!$A:$A,$A23,Data_Cohort!$B:$B,8)/MAX(1,SUMIFS(Data_Months!$B:$B,Data_Months!$A:$A,EDATE($A23,8)))/1E9</f>
        <v/>
      </c>
      <c r="M23" s="29">
        <f>SUMIFS(Data_Cohort!$C:$C,Data_Cohort!$A:$A,$A23,Data_Cohort!$B:$B,9)/MAX(1,SUMIFS(Data_Months!$B:$B,Data_Months!$A:$A,EDATE($A23,9)))/1E9</f>
        <v/>
      </c>
    </row>
    <row r="24">
      <c r="A24" s="28">
        <f>EDATE(Data_Params!$B$3,3)</f>
        <v/>
      </c>
      <c r="B24" s="23">
        <f>SUMIFS(Data_Signups!$B:$B,Data_Signups!$A:$A,$A24)</f>
        <v/>
      </c>
      <c r="C24" s="36">
        <f>IF(B24&gt;0,D24/B24,"")</f>
        <v/>
      </c>
      <c r="D24" s="29">
        <f>SUMIFS(Data_Cohort!$C:$C,Data_Cohort!$A:$A,$A24,Data_Cohort!$B:$B,0)/MAX(1,SUMIFS(Data_Months!$B:$B,Data_Months!$A:$A,EDATE($A24,0)))/1E9</f>
        <v/>
      </c>
      <c r="E24" s="29">
        <f>SUMIFS(Data_Cohort!$C:$C,Data_Cohort!$A:$A,$A24,Data_Cohort!$B:$B,1)/MAX(1,SUMIFS(Data_Months!$B:$B,Data_Months!$A:$A,EDATE($A24,1)))/1E9</f>
        <v/>
      </c>
      <c r="F24" s="29">
        <f>SUMIFS(Data_Cohort!$C:$C,Data_Cohort!$A:$A,$A24,Data_Cohort!$B:$B,2)/MAX(1,SUMIFS(Data_Months!$B:$B,Data_Months!$A:$A,EDATE($A24,2)))/1E9</f>
        <v/>
      </c>
      <c r="G24" s="29">
        <f>SUMIFS(Data_Cohort!$C:$C,Data_Cohort!$A:$A,$A24,Data_Cohort!$B:$B,3)/MAX(1,SUMIFS(Data_Months!$B:$B,Data_Months!$A:$A,EDATE($A24,3)))/1E9</f>
        <v/>
      </c>
      <c r="H24" s="29">
        <f>SUMIFS(Data_Cohort!$C:$C,Data_Cohort!$A:$A,$A24,Data_Cohort!$B:$B,4)/MAX(1,SUMIFS(Data_Months!$B:$B,Data_Months!$A:$A,EDATE($A24,4)))/1E9</f>
        <v/>
      </c>
      <c r="I24" s="29">
        <f>SUMIFS(Data_Cohort!$C:$C,Data_Cohort!$A:$A,$A24,Data_Cohort!$B:$B,5)/MAX(1,SUMIFS(Data_Months!$B:$B,Data_Months!$A:$A,EDATE($A24,5)))/1E9</f>
        <v/>
      </c>
      <c r="J24" s="29">
        <f>SUMIFS(Data_Cohort!$C:$C,Data_Cohort!$A:$A,$A24,Data_Cohort!$B:$B,6)/MAX(1,SUMIFS(Data_Months!$B:$B,Data_Months!$A:$A,EDATE($A24,6)))/1E9</f>
        <v/>
      </c>
      <c r="K24" s="29">
        <f>SUMIFS(Data_Cohort!$C:$C,Data_Cohort!$A:$A,$A24,Data_Cohort!$B:$B,7)/MAX(1,SUMIFS(Data_Months!$B:$B,Data_Months!$A:$A,EDATE($A24,7)))/1E9</f>
        <v/>
      </c>
      <c r="L24" s="29">
        <f>SUMIFS(Data_Cohort!$C:$C,Data_Cohort!$A:$A,$A24,Data_Cohort!$B:$B,8)/MAX(1,SUMIFS(Data_Months!$B:$B,Data_Months!$A:$A,EDATE($A24,8)))/1E9</f>
        <v/>
      </c>
    </row>
    <row r="25">
      <c r="A25" s="28">
        <f>EDATE(Data_Params!$B$3,4)</f>
        <v/>
      </c>
      <c r="B25" s="23">
        <f>SUMIFS(Data_Signups!$B:$B,Data_Signups!$A:$A,$A25)</f>
        <v/>
      </c>
      <c r="C25" s="36">
        <f>IF(B25&gt;0,D25/B25,"")</f>
        <v/>
      </c>
      <c r="D25" s="29">
        <f>SUMIFS(Data_Cohort!$C:$C,Data_Cohort!$A:$A,$A25,Data_Cohort!$B:$B,0)/MAX(1,SUMIFS(Data_Months!$B:$B,Data_Months!$A:$A,EDATE($A25,0)))/1E9</f>
        <v/>
      </c>
      <c r="E25" s="29">
        <f>SUMIFS(Data_Cohort!$C:$C,Data_Cohort!$A:$A,$A25,Data_Cohort!$B:$B,1)/MAX(1,SUMIFS(Data_Months!$B:$B,Data_Months!$A:$A,EDATE($A25,1)))/1E9</f>
        <v/>
      </c>
      <c r="F25" s="29">
        <f>SUMIFS(Data_Cohort!$C:$C,Data_Cohort!$A:$A,$A25,Data_Cohort!$B:$B,2)/MAX(1,SUMIFS(Data_Months!$B:$B,Data_Months!$A:$A,EDATE($A25,2)))/1E9</f>
        <v/>
      </c>
      <c r="G25" s="29">
        <f>SUMIFS(Data_Cohort!$C:$C,Data_Cohort!$A:$A,$A25,Data_Cohort!$B:$B,3)/MAX(1,SUMIFS(Data_Months!$B:$B,Data_Months!$A:$A,EDATE($A25,3)))/1E9</f>
        <v/>
      </c>
      <c r="H25" s="29">
        <f>SUMIFS(Data_Cohort!$C:$C,Data_Cohort!$A:$A,$A25,Data_Cohort!$B:$B,4)/MAX(1,SUMIFS(Data_Months!$B:$B,Data_Months!$A:$A,EDATE($A25,4)))/1E9</f>
        <v/>
      </c>
      <c r="I25" s="29">
        <f>SUMIFS(Data_Cohort!$C:$C,Data_Cohort!$A:$A,$A25,Data_Cohort!$B:$B,5)/MAX(1,SUMIFS(Data_Months!$B:$B,Data_Months!$A:$A,EDATE($A25,5)))/1E9</f>
        <v/>
      </c>
      <c r="J25" s="29">
        <f>SUMIFS(Data_Cohort!$C:$C,Data_Cohort!$A:$A,$A25,Data_Cohort!$B:$B,6)/MAX(1,SUMIFS(Data_Months!$B:$B,Data_Months!$A:$A,EDATE($A25,6)))/1E9</f>
        <v/>
      </c>
      <c r="K25" s="29">
        <f>SUMIFS(Data_Cohort!$C:$C,Data_Cohort!$A:$A,$A25,Data_Cohort!$B:$B,7)/MAX(1,SUMIFS(Data_Months!$B:$B,Data_Months!$A:$A,EDATE($A25,7)))/1E9</f>
        <v/>
      </c>
    </row>
    <row r="26">
      <c r="A26" s="28">
        <f>EDATE(Data_Params!$B$3,5)</f>
        <v/>
      </c>
      <c r="B26" s="23">
        <f>SUMIFS(Data_Signups!$B:$B,Data_Signups!$A:$A,$A26)</f>
        <v/>
      </c>
      <c r="C26" s="36">
        <f>IF(B26&gt;0,D26/B26,"")</f>
        <v/>
      </c>
      <c r="D26" s="29">
        <f>SUMIFS(Data_Cohort!$C:$C,Data_Cohort!$A:$A,$A26,Data_Cohort!$B:$B,0)/MAX(1,SUMIFS(Data_Months!$B:$B,Data_Months!$A:$A,EDATE($A26,0)))/1E9</f>
        <v/>
      </c>
      <c r="E26" s="29">
        <f>SUMIFS(Data_Cohort!$C:$C,Data_Cohort!$A:$A,$A26,Data_Cohort!$B:$B,1)/MAX(1,SUMIFS(Data_Months!$B:$B,Data_Months!$A:$A,EDATE($A26,1)))/1E9</f>
        <v/>
      </c>
      <c r="F26" s="29">
        <f>SUMIFS(Data_Cohort!$C:$C,Data_Cohort!$A:$A,$A26,Data_Cohort!$B:$B,2)/MAX(1,SUMIFS(Data_Months!$B:$B,Data_Months!$A:$A,EDATE($A26,2)))/1E9</f>
        <v/>
      </c>
      <c r="G26" s="29">
        <f>SUMIFS(Data_Cohort!$C:$C,Data_Cohort!$A:$A,$A26,Data_Cohort!$B:$B,3)/MAX(1,SUMIFS(Data_Months!$B:$B,Data_Months!$A:$A,EDATE($A26,3)))/1E9</f>
        <v/>
      </c>
      <c r="H26" s="29">
        <f>SUMIFS(Data_Cohort!$C:$C,Data_Cohort!$A:$A,$A26,Data_Cohort!$B:$B,4)/MAX(1,SUMIFS(Data_Months!$B:$B,Data_Months!$A:$A,EDATE($A26,4)))/1E9</f>
        <v/>
      </c>
      <c r="I26" s="29">
        <f>SUMIFS(Data_Cohort!$C:$C,Data_Cohort!$A:$A,$A26,Data_Cohort!$B:$B,5)/MAX(1,SUMIFS(Data_Months!$B:$B,Data_Months!$A:$A,EDATE($A26,5)))/1E9</f>
        <v/>
      </c>
      <c r="J26" s="29">
        <f>SUMIFS(Data_Cohort!$C:$C,Data_Cohort!$A:$A,$A26,Data_Cohort!$B:$B,6)/MAX(1,SUMIFS(Data_Months!$B:$B,Data_Months!$A:$A,EDATE($A26,6)))/1E9</f>
        <v/>
      </c>
    </row>
    <row r="27">
      <c r="A27" s="28">
        <f>EDATE(Data_Params!$B$3,6)</f>
        <v/>
      </c>
      <c r="B27" s="23">
        <f>SUMIFS(Data_Signups!$B:$B,Data_Signups!$A:$A,$A27)</f>
        <v/>
      </c>
      <c r="C27" s="36">
        <f>IF(B27&gt;0,D27/B27,"")</f>
        <v/>
      </c>
      <c r="D27" s="29">
        <f>SUMIFS(Data_Cohort!$C:$C,Data_Cohort!$A:$A,$A27,Data_Cohort!$B:$B,0)/MAX(1,SUMIFS(Data_Months!$B:$B,Data_Months!$A:$A,EDATE($A27,0)))/1E9</f>
        <v/>
      </c>
      <c r="E27" s="29">
        <f>SUMIFS(Data_Cohort!$C:$C,Data_Cohort!$A:$A,$A27,Data_Cohort!$B:$B,1)/MAX(1,SUMIFS(Data_Months!$B:$B,Data_Months!$A:$A,EDATE($A27,1)))/1E9</f>
        <v/>
      </c>
      <c r="F27" s="29">
        <f>SUMIFS(Data_Cohort!$C:$C,Data_Cohort!$A:$A,$A27,Data_Cohort!$B:$B,2)/MAX(1,SUMIFS(Data_Months!$B:$B,Data_Months!$A:$A,EDATE($A27,2)))/1E9</f>
        <v/>
      </c>
      <c r="G27" s="29">
        <f>SUMIFS(Data_Cohort!$C:$C,Data_Cohort!$A:$A,$A27,Data_Cohort!$B:$B,3)/MAX(1,SUMIFS(Data_Months!$B:$B,Data_Months!$A:$A,EDATE($A27,3)))/1E9</f>
        <v/>
      </c>
      <c r="H27" s="29">
        <f>SUMIFS(Data_Cohort!$C:$C,Data_Cohort!$A:$A,$A27,Data_Cohort!$B:$B,4)/MAX(1,SUMIFS(Data_Months!$B:$B,Data_Months!$A:$A,EDATE($A27,4)))/1E9</f>
        <v/>
      </c>
      <c r="I27" s="29">
        <f>SUMIFS(Data_Cohort!$C:$C,Data_Cohort!$A:$A,$A27,Data_Cohort!$B:$B,5)/MAX(1,SUMIFS(Data_Months!$B:$B,Data_Months!$A:$A,EDATE($A27,5)))/1E9</f>
        <v/>
      </c>
    </row>
    <row r="28">
      <c r="A28" s="28">
        <f>EDATE(Data_Params!$B$3,7)</f>
        <v/>
      </c>
      <c r="B28" s="23">
        <f>SUMIFS(Data_Signups!$B:$B,Data_Signups!$A:$A,$A28)</f>
        <v/>
      </c>
      <c r="C28" s="36">
        <f>IF(B28&gt;0,D28/B28,"")</f>
        <v/>
      </c>
      <c r="D28" s="29">
        <f>SUMIFS(Data_Cohort!$C:$C,Data_Cohort!$A:$A,$A28,Data_Cohort!$B:$B,0)/MAX(1,SUMIFS(Data_Months!$B:$B,Data_Months!$A:$A,EDATE($A28,0)))/1E9</f>
        <v/>
      </c>
      <c r="E28" s="29">
        <f>SUMIFS(Data_Cohort!$C:$C,Data_Cohort!$A:$A,$A28,Data_Cohort!$B:$B,1)/MAX(1,SUMIFS(Data_Months!$B:$B,Data_Months!$A:$A,EDATE($A28,1)))/1E9</f>
        <v/>
      </c>
      <c r="F28" s="29">
        <f>SUMIFS(Data_Cohort!$C:$C,Data_Cohort!$A:$A,$A28,Data_Cohort!$B:$B,2)/MAX(1,SUMIFS(Data_Months!$B:$B,Data_Months!$A:$A,EDATE($A28,2)))/1E9</f>
        <v/>
      </c>
      <c r="G28" s="29">
        <f>SUMIFS(Data_Cohort!$C:$C,Data_Cohort!$A:$A,$A28,Data_Cohort!$B:$B,3)/MAX(1,SUMIFS(Data_Months!$B:$B,Data_Months!$A:$A,EDATE($A28,3)))/1E9</f>
        <v/>
      </c>
      <c r="H28" s="29">
        <f>SUMIFS(Data_Cohort!$C:$C,Data_Cohort!$A:$A,$A28,Data_Cohort!$B:$B,4)/MAX(1,SUMIFS(Data_Months!$B:$B,Data_Months!$A:$A,EDATE($A28,4)))/1E9</f>
        <v/>
      </c>
    </row>
    <row r="29">
      <c r="A29" s="28">
        <f>EDATE(Data_Params!$B$3,8)</f>
        <v/>
      </c>
      <c r="B29" s="23">
        <f>SUMIFS(Data_Signups!$B:$B,Data_Signups!$A:$A,$A29)</f>
        <v/>
      </c>
      <c r="C29" s="36">
        <f>IF(B29&gt;0,D29/B29,"")</f>
        <v/>
      </c>
      <c r="D29" s="29">
        <f>SUMIFS(Data_Cohort!$C:$C,Data_Cohort!$A:$A,$A29,Data_Cohort!$B:$B,0)/MAX(1,SUMIFS(Data_Months!$B:$B,Data_Months!$A:$A,EDATE($A29,0)))/1E9</f>
        <v/>
      </c>
      <c r="E29" s="29">
        <f>SUMIFS(Data_Cohort!$C:$C,Data_Cohort!$A:$A,$A29,Data_Cohort!$B:$B,1)/MAX(1,SUMIFS(Data_Months!$B:$B,Data_Months!$A:$A,EDATE($A29,1)))/1E9</f>
        <v/>
      </c>
      <c r="F29" s="29">
        <f>SUMIFS(Data_Cohort!$C:$C,Data_Cohort!$A:$A,$A29,Data_Cohort!$B:$B,2)/MAX(1,SUMIFS(Data_Months!$B:$B,Data_Months!$A:$A,EDATE($A29,2)))/1E9</f>
        <v/>
      </c>
      <c r="G29" s="29">
        <f>SUMIFS(Data_Cohort!$C:$C,Data_Cohort!$A:$A,$A29,Data_Cohort!$B:$B,3)/MAX(1,SUMIFS(Data_Months!$B:$B,Data_Months!$A:$A,EDATE($A29,3)))/1E9</f>
        <v/>
      </c>
    </row>
    <row r="30">
      <c r="A30" s="28">
        <f>EDATE(Data_Params!$B$3,9)</f>
        <v/>
      </c>
      <c r="B30" s="23">
        <f>SUMIFS(Data_Signups!$B:$B,Data_Signups!$A:$A,$A30)</f>
        <v/>
      </c>
      <c r="C30" s="36">
        <f>IF(B30&gt;0,D30/B30,"")</f>
        <v/>
      </c>
      <c r="D30" s="29">
        <f>SUMIFS(Data_Cohort!$C:$C,Data_Cohort!$A:$A,$A30,Data_Cohort!$B:$B,0)/MAX(1,SUMIFS(Data_Months!$B:$B,Data_Months!$A:$A,EDATE($A30,0)))/1E9</f>
        <v/>
      </c>
      <c r="E30" s="29">
        <f>SUMIFS(Data_Cohort!$C:$C,Data_Cohort!$A:$A,$A30,Data_Cohort!$B:$B,1)/MAX(1,SUMIFS(Data_Months!$B:$B,Data_Months!$A:$A,EDATE($A30,1)))/1E9</f>
        <v/>
      </c>
      <c r="F30" s="29">
        <f>SUMIFS(Data_Cohort!$C:$C,Data_Cohort!$A:$A,$A30,Data_Cohort!$B:$B,2)/MAX(1,SUMIFS(Data_Months!$B:$B,Data_Months!$A:$A,EDATE($A30,2)))/1E9</f>
        <v/>
      </c>
    </row>
    <row r="31">
      <c r="A31" s="28">
        <f>EDATE(Data_Params!$B$3,10)</f>
        <v/>
      </c>
      <c r="B31" s="23">
        <f>SUMIFS(Data_Signups!$B:$B,Data_Signups!$A:$A,$A31)</f>
        <v/>
      </c>
      <c r="C31" s="36">
        <f>IF(B31&gt;0,D31/B31,"")</f>
        <v/>
      </c>
      <c r="D31" s="29">
        <f>SUMIFS(Data_Cohort!$C:$C,Data_Cohort!$A:$A,$A31,Data_Cohort!$B:$B,0)/MAX(1,SUMIFS(Data_Months!$B:$B,Data_Months!$A:$A,EDATE($A31,0)))/1E9</f>
        <v/>
      </c>
      <c r="E31" s="29">
        <f>SUMIFS(Data_Cohort!$C:$C,Data_Cohort!$A:$A,$A31,Data_Cohort!$B:$B,1)/MAX(1,SUMIFS(Data_Months!$B:$B,Data_Months!$A:$A,EDATE($A31,1)))/1E9</f>
        <v/>
      </c>
    </row>
    <row r="32">
      <c r="A32" s="28">
        <f>EDATE(Data_Params!$B$3,11)</f>
        <v/>
      </c>
      <c r="B32" s="23">
        <f>SUMIFS(Data_Signups!$B:$B,Data_Signups!$A:$A,$A32)</f>
        <v/>
      </c>
      <c r="C32" s="36">
        <f>IF(B32&gt;0,D32/B32,"")</f>
        <v/>
      </c>
      <c r="D32" s="29">
        <f>SUMIFS(Data_Cohort!$C:$C,Data_Cohort!$A:$A,$A32,Data_Cohort!$B:$B,0)/MAX(1,SUMIFS(Data_Months!$B:$B,Data_Months!$A:$A,EDATE($A32,0)))/1E9</f>
        <v/>
      </c>
    </row>
    <row r="33"/>
    <row r="34">
      <c r="A34" s="2" t="inlineStr">
        <is>
          <t>Month-to-month development ratios, by cohort</t>
        </is>
      </c>
    </row>
    <row r="35">
      <c r="A35" s="8" t="inlineStr">
        <is>
          <t>Cohort</t>
        </is>
      </c>
      <c r="B35" s="8" t="inlineStr"/>
      <c r="C35" s="8" t="inlineStr"/>
      <c r="D35" s="8" t="inlineStr">
        <is>
          <t>0 to 1</t>
        </is>
      </c>
      <c r="E35" s="8" t="inlineStr">
        <is>
          <t>1 to 2</t>
        </is>
      </c>
      <c r="F35" s="8" t="inlineStr">
        <is>
          <t>2 to 3</t>
        </is>
      </c>
      <c r="G35" s="8" t="inlineStr">
        <is>
          <t>3 to 4</t>
        </is>
      </c>
      <c r="H35" s="8" t="inlineStr">
        <is>
          <t>4 to 5</t>
        </is>
      </c>
      <c r="I35" s="8" t="inlineStr">
        <is>
          <t>5 to 6</t>
        </is>
      </c>
      <c r="J35" s="8" t="inlineStr">
        <is>
          <t>6 to 7</t>
        </is>
      </c>
      <c r="K35" s="8" t="inlineStr">
        <is>
          <t>7 to 8</t>
        </is>
      </c>
      <c r="L35" s="8" t="inlineStr">
        <is>
          <t>8 to 9</t>
        </is>
      </c>
      <c r="M35" s="8" t="inlineStr">
        <is>
          <t>9 to 10</t>
        </is>
      </c>
      <c r="N35" s="8" t="inlineStr">
        <is>
          <t>10 to 11</t>
        </is>
      </c>
    </row>
    <row r="36">
      <c r="A36" s="28">
        <f>A21</f>
        <v/>
      </c>
      <c r="D36" s="38">
        <f>IF(D21&gt;0,E21/D21,"")</f>
        <v/>
      </c>
      <c r="E36" s="38">
        <f>IF(E21&gt;0,F21/E21,"")</f>
        <v/>
      </c>
      <c r="F36" s="38">
        <f>IF(F21&gt;0,G21/F21,"")</f>
        <v/>
      </c>
      <c r="G36" s="38">
        <f>IF(G21&gt;0,H21/G21,"")</f>
        <v/>
      </c>
      <c r="H36" s="38">
        <f>IF(H21&gt;0,I21/H21,"")</f>
        <v/>
      </c>
      <c r="I36" s="38">
        <f>IF(I21&gt;0,J21/I21,"")</f>
        <v/>
      </c>
      <c r="J36" s="38">
        <f>IF(J21&gt;0,K21/J21,"")</f>
        <v/>
      </c>
      <c r="K36" s="38">
        <f>IF(K21&gt;0,L21/K21,"")</f>
        <v/>
      </c>
      <c r="L36" s="38">
        <f>IF(L21&gt;0,M21/L21,"")</f>
        <v/>
      </c>
      <c r="M36" s="38">
        <f>IF(M21&gt;0,N21/M21,"")</f>
        <v/>
      </c>
      <c r="N36" s="38">
        <f>IF(N21&gt;0,O21/N21,"")</f>
        <v/>
      </c>
    </row>
    <row r="37">
      <c r="A37" s="28">
        <f>A22</f>
        <v/>
      </c>
      <c r="D37" s="38">
        <f>IF(D22&gt;0,E22/D22,"")</f>
        <v/>
      </c>
      <c r="E37" s="38">
        <f>IF(E22&gt;0,F22/E22,"")</f>
        <v/>
      </c>
      <c r="F37" s="38">
        <f>IF(F22&gt;0,G22/F22,"")</f>
        <v/>
      </c>
      <c r="G37" s="38">
        <f>IF(G22&gt;0,H22/G22,"")</f>
        <v/>
      </c>
      <c r="H37" s="38">
        <f>IF(H22&gt;0,I22/H22,"")</f>
        <v/>
      </c>
      <c r="I37" s="38">
        <f>IF(I22&gt;0,J22/I22,"")</f>
        <v/>
      </c>
      <c r="J37" s="38">
        <f>IF(J22&gt;0,K22/J22,"")</f>
        <v/>
      </c>
      <c r="K37" s="38">
        <f>IF(K22&gt;0,L22/K22,"")</f>
        <v/>
      </c>
      <c r="L37" s="38">
        <f>IF(L22&gt;0,M22/L22,"")</f>
        <v/>
      </c>
      <c r="M37" s="38">
        <f>IF(M22&gt;0,N22/M22,"")</f>
        <v/>
      </c>
    </row>
    <row r="38">
      <c r="A38" s="28">
        <f>A23</f>
        <v/>
      </c>
      <c r="D38" s="38">
        <f>IF(D23&gt;0,E23/D23,"")</f>
        <v/>
      </c>
      <c r="E38" s="38">
        <f>IF(E23&gt;0,F23/E23,"")</f>
        <v/>
      </c>
      <c r="F38" s="38">
        <f>IF(F23&gt;0,G23/F23,"")</f>
        <v/>
      </c>
      <c r="G38" s="38">
        <f>IF(G23&gt;0,H23/G23,"")</f>
        <v/>
      </c>
      <c r="H38" s="38">
        <f>IF(H23&gt;0,I23/H23,"")</f>
        <v/>
      </c>
      <c r="I38" s="38">
        <f>IF(I23&gt;0,J23/I23,"")</f>
        <v/>
      </c>
      <c r="J38" s="38">
        <f>IF(J23&gt;0,K23/J23,"")</f>
        <v/>
      </c>
      <c r="K38" s="38">
        <f>IF(K23&gt;0,L23/K23,"")</f>
        <v/>
      </c>
      <c r="L38" s="38">
        <f>IF(L23&gt;0,M23/L23,"")</f>
        <v/>
      </c>
    </row>
    <row r="39">
      <c r="A39" s="28">
        <f>A24</f>
        <v/>
      </c>
      <c r="D39" s="38">
        <f>IF(D24&gt;0,E24/D24,"")</f>
        <v/>
      </c>
      <c r="E39" s="38">
        <f>IF(E24&gt;0,F24/E24,"")</f>
        <v/>
      </c>
      <c r="F39" s="38">
        <f>IF(F24&gt;0,G24/F24,"")</f>
        <v/>
      </c>
      <c r="G39" s="38">
        <f>IF(G24&gt;0,H24/G24,"")</f>
        <v/>
      </c>
      <c r="H39" s="38">
        <f>IF(H24&gt;0,I24/H24,"")</f>
        <v/>
      </c>
      <c r="I39" s="38">
        <f>IF(I24&gt;0,J24/I24,"")</f>
        <v/>
      </c>
      <c r="J39" s="38">
        <f>IF(J24&gt;0,K24/J24,"")</f>
        <v/>
      </c>
      <c r="K39" s="38">
        <f>IF(K24&gt;0,L24/K24,"")</f>
        <v/>
      </c>
    </row>
    <row r="40">
      <c r="A40" s="28">
        <f>A25</f>
        <v/>
      </c>
      <c r="D40" s="38">
        <f>IF(D25&gt;0,E25/D25,"")</f>
        <v/>
      </c>
      <c r="E40" s="38">
        <f>IF(E25&gt;0,F25/E25,"")</f>
        <v/>
      </c>
      <c r="F40" s="38">
        <f>IF(F25&gt;0,G25/F25,"")</f>
        <v/>
      </c>
      <c r="G40" s="38">
        <f>IF(G25&gt;0,H25/G25,"")</f>
        <v/>
      </c>
      <c r="H40" s="38">
        <f>IF(H25&gt;0,I25/H25,"")</f>
        <v/>
      </c>
      <c r="I40" s="38">
        <f>IF(I25&gt;0,J25/I25,"")</f>
        <v/>
      </c>
      <c r="J40" s="38">
        <f>IF(J25&gt;0,K25/J25,"")</f>
        <v/>
      </c>
    </row>
    <row r="41">
      <c r="A41" s="28">
        <f>A26</f>
        <v/>
      </c>
      <c r="D41" s="38">
        <f>IF(D26&gt;0,E26/D26,"")</f>
        <v/>
      </c>
      <c r="E41" s="38">
        <f>IF(E26&gt;0,F26/E26,"")</f>
        <v/>
      </c>
      <c r="F41" s="38">
        <f>IF(F26&gt;0,G26/F26,"")</f>
        <v/>
      </c>
      <c r="G41" s="38">
        <f>IF(G26&gt;0,H26/G26,"")</f>
        <v/>
      </c>
      <c r="H41" s="38">
        <f>IF(H26&gt;0,I26/H26,"")</f>
        <v/>
      </c>
      <c r="I41" s="38">
        <f>IF(I26&gt;0,J26/I26,"")</f>
        <v/>
      </c>
    </row>
    <row r="42">
      <c r="A42" s="28">
        <f>A27</f>
        <v/>
      </c>
      <c r="D42" s="38">
        <f>IF(D27&gt;0,E27/D27,"")</f>
        <v/>
      </c>
      <c r="E42" s="38">
        <f>IF(E27&gt;0,F27/E27,"")</f>
        <v/>
      </c>
      <c r="F42" s="38">
        <f>IF(F27&gt;0,G27/F27,"")</f>
        <v/>
      </c>
      <c r="G42" s="38">
        <f>IF(G27&gt;0,H27/G27,"")</f>
        <v/>
      </c>
      <c r="H42" s="38">
        <f>IF(H27&gt;0,I27/H27,"")</f>
        <v/>
      </c>
    </row>
    <row r="43">
      <c r="A43" s="28">
        <f>A28</f>
        <v/>
      </c>
      <c r="D43" s="38">
        <f>IF(D28&gt;0,E28/D28,"")</f>
        <v/>
      </c>
      <c r="E43" s="38">
        <f>IF(E28&gt;0,F28/E28,"")</f>
        <v/>
      </c>
      <c r="F43" s="38">
        <f>IF(F28&gt;0,G28/F28,"")</f>
        <v/>
      </c>
      <c r="G43" s="38">
        <f>IF(G28&gt;0,H28/G28,"")</f>
        <v/>
      </c>
    </row>
    <row r="44">
      <c r="A44" s="28">
        <f>A29</f>
        <v/>
      </c>
      <c r="D44" s="38">
        <f>IF(D29&gt;0,E29/D29,"")</f>
        <v/>
      </c>
      <c r="E44" s="38">
        <f>IF(E29&gt;0,F29/E29,"")</f>
        <v/>
      </c>
      <c r="F44" s="38">
        <f>IF(F29&gt;0,G29/F29,"")</f>
        <v/>
      </c>
    </row>
    <row r="45">
      <c r="A45" s="28">
        <f>A30</f>
        <v/>
      </c>
      <c r="D45" s="38">
        <f>IF(D30&gt;0,E30/D30,"")</f>
        <v/>
      </c>
      <c r="E45" s="38">
        <f>IF(E30&gt;0,F30/E30,"")</f>
        <v/>
      </c>
    </row>
    <row r="46">
      <c r="A46" s="28">
        <f>A31</f>
        <v/>
      </c>
      <c r="D46" s="38">
        <f>IF(D31&gt;0,E31/D31,"")</f>
        <v/>
      </c>
    </row>
    <row r="47"/>
    <row r="48"/>
    <row r="49">
      <c r="A49" s="2" t="inlineStr">
        <is>
          <t>Projected cohorts, low case (B tokens per day)</t>
        </is>
      </c>
    </row>
    <row r="50">
      <c r="A50" s="8" t="inlineStr">
        <is>
          <t>Cohort</t>
        </is>
      </c>
      <c r="B50" s="8" t="inlineStr">
        <is>
          <t>Signups</t>
        </is>
      </c>
      <c r="C50" s="8" t="inlineStr"/>
      <c r="D50" s="8" t="inlineStr">
        <is>
          <t>Month 0</t>
        </is>
      </c>
      <c r="E50" s="8" t="inlineStr">
        <is>
          <t>Month 1</t>
        </is>
      </c>
      <c r="F50" s="8" t="inlineStr">
        <is>
          <t>Month 2</t>
        </is>
      </c>
      <c r="G50" s="8" t="inlineStr">
        <is>
          <t>Month 3</t>
        </is>
      </c>
      <c r="H50" s="8" t="inlineStr">
        <is>
          <t>Month 4</t>
        </is>
      </c>
      <c r="I50" s="8" t="inlineStr">
        <is>
          <t>Month 5</t>
        </is>
      </c>
      <c r="J50" s="8" t="inlineStr">
        <is>
          <t>Month 6</t>
        </is>
      </c>
      <c r="K50" s="8" t="inlineStr">
        <is>
          <t>Month 7</t>
        </is>
      </c>
      <c r="L50" s="8" t="inlineStr">
        <is>
          <t>Month 8</t>
        </is>
      </c>
      <c r="M50" s="8" t="inlineStr">
        <is>
          <t>Month 9</t>
        </is>
      </c>
      <c r="N50" s="8" t="inlineStr">
        <is>
          <t>Month 10</t>
        </is>
      </c>
      <c r="O50" s="8" t="inlineStr">
        <is>
          <t>Month 11</t>
        </is>
      </c>
      <c r="P50" s="8" t="inlineStr">
        <is>
          <t>Month 12</t>
        </is>
      </c>
      <c r="Q50" s="8" t="inlineStr">
        <is>
          <t>Month 13</t>
        </is>
      </c>
      <c r="R50" s="8" t="inlineStr">
        <is>
          <t>Month 14</t>
        </is>
      </c>
    </row>
    <row r="51">
      <c r="A51" s="28">
        <f>EDATE(Data_Params!$B$3,0)</f>
        <v/>
      </c>
      <c r="B51" s="23">
        <f>B21</f>
        <v/>
      </c>
      <c r="D51" s="29">
        <f>D21</f>
        <v/>
      </c>
      <c r="E51" s="29">
        <f>E21</f>
        <v/>
      </c>
      <c r="F51" s="29">
        <f>F21</f>
        <v/>
      </c>
      <c r="G51" s="29">
        <f>G21</f>
        <v/>
      </c>
      <c r="H51" s="29">
        <f>H21</f>
        <v/>
      </c>
      <c r="I51" s="29">
        <f>I21</f>
        <v/>
      </c>
      <c r="J51" s="29">
        <f>J21</f>
        <v/>
      </c>
      <c r="K51" s="29">
        <f>K21</f>
        <v/>
      </c>
      <c r="L51" s="29">
        <f>L21</f>
        <v/>
      </c>
      <c r="M51" s="29">
        <f>M21</f>
        <v/>
      </c>
      <c r="N51" s="29">
        <f>N21</f>
        <v/>
      </c>
      <c r="O51" s="29">
        <f>O21</f>
        <v/>
      </c>
      <c r="P51" s="29">
        <f>O51*O$66</f>
        <v/>
      </c>
      <c r="Q51" s="29">
        <f>P51*P$66</f>
        <v/>
      </c>
      <c r="R51" s="29">
        <f>Q51*Q$66</f>
        <v/>
      </c>
    </row>
    <row r="52">
      <c r="A52" s="28">
        <f>EDATE(Data_Params!$B$3,1)</f>
        <v/>
      </c>
      <c r="B52" s="23">
        <f>B22</f>
        <v/>
      </c>
      <c r="D52" s="29">
        <f>D22</f>
        <v/>
      </c>
      <c r="E52" s="29">
        <f>E22</f>
        <v/>
      </c>
      <c r="F52" s="29">
        <f>F22</f>
        <v/>
      </c>
      <c r="G52" s="29">
        <f>G22</f>
        <v/>
      </c>
      <c r="H52" s="29">
        <f>H22</f>
        <v/>
      </c>
      <c r="I52" s="29">
        <f>I22</f>
        <v/>
      </c>
      <c r="J52" s="29">
        <f>J22</f>
        <v/>
      </c>
      <c r="K52" s="29">
        <f>K22</f>
        <v/>
      </c>
      <c r="L52" s="29">
        <f>L22</f>
        <v/>
      </c>
      <c r="M52" s="29">
        <f>M22</f>
        <v/>
      </c>
      <c r="N52" s="29">
        <f>N22</f>
        <v/>
      </c>
      <c r="O52" s="29">
        <f>N52*N$66</f>
        <v/>
      </c>
      <c r="P52" s="29">
        <f>O52*O$66</f>
        <v/>
      </c>
      <c r="Q52" s="29">
        <f>P52*P$66</f>
        <v/>
      </c>
    </row>
    <row r="53">
      <c r="A53" s="28">
        <f>EDATE(Data_Params!$B$3,2)</f>
        <v/>
      </c>
      <c r="B53" s="23">
        <f>B23</f>
        <v/>
      </c>
      <c r="D53" s="29">
        <f>D23</f>
        <v/>
      </c>
      <c r="E53" s="29">
        <f>E23</f>
        <v/>
      </c>
      <c r="F53" s="29">
        <f>F23</f>
        <v/>
      </c>
      <c r="G53" s="29">
        <f>G23</f>
        <v/>
      </c>
      <c r="H53" s="29">
        <f>H23</f>
        <v/>
      </c>
      <c r="I53" s="29">
        <f>I23</f>
        <v/>
      </c>
      <c r="J53" s="29">
        <f>J23</f>
        <v/>
      </c>
      <c r="K53" s="29">
        <f>K23</f>
        <v/>
      </c>
      <c r="L53" s="29">
        <f>L23</f>
        <v/>
      </c>
      <c r="M53" s="29">
        <f>M23</f>
        <v/>
      </c>
      <c r="N53" s="29">
        <f>M53*M$66</f>
        <v/>
      </c>
      <c r="O53" s="29">
        <f>N53*N$66</f>
        <v/>
      </c>
      <c r="P53" s="29">
        <f>O53*O$66</f>
        <v/>
      </c>
    </row>
    <row r="54">
      <c r="A54" s="28">
        <f>EDATE(Data_Params!$B$3,3)</f>
        <v/>
      </c>
      <c r="B54" s="23">
        <f>B24</f>
        <v/>
      </c>
      <c r="D54" s="29">
        <f>D24</f>
        <v/>
      </c>
      <c r="E54" s="29">
        <f>E24</f>
        <v/>
      </c>
      <c r="F54" s="29">
        <f>F24</f>
        <v/>
      </c>
      <c r="G54" s="29">
        <f>G24</f>
        <v/>
      </c>
      <c r="H54" s="29">
        <f>H24</f>
        <v/>
      </c>
      <c r="I54" s="29">
        <f>I24</f>
        <v/>
      </c>
      <c r="J54" s="29">
        <f>J24</f>
        <v/>
      </c>
      <c r="K54" s="29">
        <f>K24</f>
        <v/>
      </c>
      <c r="L54" s="29">
        <f>L24</f>
        <v/>
      </c>
      <c r="M54" s="29">
        <f>L54*L$66</f>
        <v/>
      </c>
      <c r="N54" s="29">
        <f>M54*M$66</f>
        <v/>
      </c>
      <c r="O54" s="29">
        <f>N54*N$66</f>
        <v/>
      </c>
    </row>
    <row r="55">
      <c r="A55" s="28">
        <f>EDATE(Data_Params!$B$3,4)</f>
        <v/>
      </c>
      <c r="B55" s="23">
        <f>B25</f>
        <v/>
      </c>
      <c r="D55" s="29">
        <f>D25</f>
        <v/>
      </c>
      <c r="E55" s="29">
        <f>E25</f>
        <v/>
      </c>
      <c r="F55" s="29">
        <f>F25</f>
        <v/>
      </c>
      <c r="G55" s="29">
        <f>G25</f>
        <v/>
      </c>
      <c r="H55" s="29">
        <f>H25</f>
        <v/>
      </c>
      <c r="I55" s="29">
        <f>I25</f>
        <v/>
      </c>
      <c r="J55" s="29">
        <f>J25</f>
        <v/>
      </c>
      <c r="K55" s="29">
        <f>K25</f>
        <v/>
      </c>
      <c r="L55" s="29">
        <f>K55*K$66</f>
        <v/>
      </c>
      <c r="M55" s="29">
        <f>L55*L$66</f>
        <v/>
      </c>
      <c r="N55" s="29">
        <f>M55*M$66</f>
        <v/>
      </c>
    </row>
    <row r="56">
      <c r="A56" s="28">
        <f>EDATE(Data_Params!$B$3,5)</f>
        <v/>
      </c>
      <c r="B56" s="23">
        <f>B26</f>
        <v/>
      </c>
      <c r="D56" s="29">
        <f>D26</f>
        <v/>
      </c>
      <c r="E56" s="29">
        <f>E26</f>
        <v/>
      </c>
      <c r="F56" s="29">
        <f>F26</f>
        <v/>
      </c>
      <c r="G56" s="29">
        <f>G26</f>
        <v/>
      </c>
      <c r="H56" s="29">
        <f>H26</f>
        <v/>
      </c>
      <c r="I56" s="29">
        <f>I26</f>
        <v/>
      </c>
      <c r="J56" s="29">
        <f>J26</f>
        <v/>
      </c>
      <c r="K56" s="29">
        <f>J56*J$66</f>
        <v/>
      </c>
      <c r="L56" s="29">
        <f>K56*K$66</f>
        <v/>
      </c>
      <c r="M56" s="29">
        <f>L56*L$66</f>
        <v/>
      </c>
    </row>
    <row r="57">
      <c r="A57" s="28">
        <f>EDATE(Data_Params!$B$3,6)</f>
        <v/>
      </c>
      <c r="B57" s="23">
        <f>B27</f>
        <v/>
      </c>
      <c r="D57" s="29">
        <f>D27</f>
        <v/>
      </c>
      <c r="E57" s="29">
        <f>E27</f>
        <v/>
      </c>
      <c r="F57" s="29">
        <f>F27</f>
        <v/>
      </c>
      <c r="G57" s="29">
        <f>G27</f>
        <v/>
      </c>
      <c r="H57" s="29">
        <f>H27</f>
        <v/>
      </c>
      <c r="I57" s="29">
        <f>I27</f>
        <v/>
      </c>
      <c r="J57" s="29">
        <f>I57*I$66</f>
        <v/>
      </c>
      <c r="K57" s="29">
        <f>J57*J$66</f>
        <v/>
      </c>
      <c r="L57" s="29">
        <f>K57*K$66</f>
        <v/>
      </c>
    </row>
    <row r="58">
      <c r="A58" s="28">
        <f>EDATE(Data_Params!$B$3,7)</f>
        <v/>
      </c>
      <c r="B58" s="23">
        <f>B28</f>
        <v/>
      </c>
      <c r="D58" s="29">
        <f>D28</f>
        <v/>
      </c>
      <c r="E58" s="29">
        <f>E28</f>
        <v/>
      </c>
      <c r="F58" s="29">
        <f>F28</f>
        <v/>
      </c>
      <c r="G58" s="29">
        <f>G28</f>
        <v/>
      </c>
      <c r="H58" s="29">
        <f>H28</f>
        <v/>
      </c>
      <c r="I58" s="29">
        <f>H58*H$66</f>
        <v/>
      </c>
      <c r="J58" s="29">
        <f>I58*I$66</f>
        <v/>
      </c>
      <c r="K58" s="29">
        <f>J58*J$66</f>
        <v/>
      </c>
    </row>
    <row r="59">
      <c r="A59" s="28">
        <f>EDATE(Data_Params!$B$3,8)</f>
        <v/>
      </c>
      <c r="B59" s="23">
        <f>B29</f>
        <v/>
      </c>
      <c r="D59" s="29">
        <f>D29</f>
        <v/>
      </c>
      <c r="E59" s="29">
        <f>E29</f>
        <v/>
      </c>
      <c r="F59" s="29">
        <f>F29</f>
        <v/>
      </c>
      <c r="G59" s="29">
        <f>G29</f>
        <v/>
      </c>
      <c r="H59" s="29">
        <f>G59*G$66</f>
        <v/>
      </c>
      <c r="I59" s="29">
        <f>H59*H$66</f>
        <v/>
      </c>
      <c r="J59" s="29">
        <f>I59*I$66</f>
        <v/>
      </c>
    </row>
    <row r="60">
      <c r="A60" s="28">
        <f>EDATE(Data_Params!$B$3,9)</f>
        <v/>
      </c>
      <c r="B60" s="23">
        <f>B30</f>
        <v/>
      </c>
      <c r="D60" s="29">
        <f>D30</f>
        <v/>
      </c>
      <c r="E60" s="29">
        <f>E30</f>
        <v/>
      </c>
      <c r="F60" s="29">
        <f>F30</f>
        <v/>
      </c>
      <c r="G60" s="29">
        <f>F60*F$66</f>
        <v/>
      </c>
      <c r="H60" s="29">
        <f>G60*G$66</f>
        <v/>
      </c>
      <c r="I60" s="29">
        <f>H60*H$66</f>
        <v/>
      </c>
    </row>
    <row r="61">
      <c r="A61" s="28">
        <f>EDATE(Data_Params!$B$3,10)</f>
        <v/>
      </c>
      <c r="B61" s="23">
        <f>B31</f>
        <v/>
      </c>
      <c r="D61" s="29">
        <f>D31</f>
        <v/>
      </c>
      <c r="E61" s="29">
        <f>E31</f>
        <v/>
      </c>
      <c r="F61" s="29">
        <f>E61*E$66</f>
        <v/>
      </c>
      <c r="G61" s="29">
        <f>F61*F$66</f>
        <v/>
      </c>
      <c r="H61" s="29">
        <f>G61*G$66</f>
        <v/>
      </c>
    </row>
    <row r="62">
      <c r="A62" s="28">
        <f>EDATE(Data_Params!$B$3,11)</f>
        <v/>
      </c>
      <c r="B62" s="23">
        <f>B32</f>
        <v/>
      </c>
      <c r="D62" s="29">
        <f>D32</f>
        <v/>
      </c>
      <c r="E62" s="29">
        <f>D62*D$66</f>
        <v/>
      </c>
      <c r="F62" s="29">
        <f>E62*E$66</f>
        <v/>
      </c>
      <c r="G62" s="29">
        <f>F62*F$66</f>
        <v/>
      </c>
    </row>
    <row r="63">
      <c r="A63" s="28">
        <f>EDATE(Data_Params!$B$3,12)</f>
        <v/>
      </c>
      <c r="B63" s="23">
        <f>B62*(1+$B$7)</f>
        <v/>
      </c>
      <c r="D63" s="29">
        <f>B63*$B$8</f>
        <v/>
      </c>
      <c r="E63" s="29">
        <f>D63*D$66</f>
        <v/>
      </c>
      <c r="F63" s="29">
        <f>E63*E$66</f>
        <v/>
      </c>
    </row>
    <row r="64">
      <c r="A64" s="28">
        <f>EDATE(Data_Params!$B$3,13)</f>
        <v/>
      </c>
      <c r="B64" s="23">
        <f>B63*(1+$B$7)</f>
        <v/>
      </c>
      <c r="D64" s="29">
        <f>B64*$B$8</f>
        <v/>
      </c>
      <c r="E64" s="29">
        <f>D64*D$66</f>
        <v/>
      </c>
    </row>
    <row r="65">
      <c r="A65" s="28">
        <f>EDATE(Data_Params!$B$3,14)</f>
        <v/>
      </c>
      <c r="B65" s="23">
        <f>B64*(1+$B$7)</f>
        <v/>
      </c>
      <c r="D65" s="29">
        <f>B65*$B$8</f>
        <v/>
      </c>
    </row>
    <row r="66">
      <c r="A66" s="2" t="inlineStr">
        <is>
          <t>Development factor, month k to k+1</t>
        </is>
      </c>
      <c r="D66" s="38">
        <f>IF(COUNT(D36:D46)=0,$B$6,MIN(D36:D46))</f>
        <v/>
      </c>
      <c r="E66" s="38">
        <f>IF(COUNT(E36:E45)=0,$B$6,MIN(E36:E45))</f>
        <v/>
      </c>
      <c r="F66" s="38">
        <f>IF(COUNT(F36:F44)=0,$B$6,MIN(F36:F44))</f>
        <v/>
      </c>
      <c r="G66" s="38">
        <f>IF(COUNT(G36:G43)=0,$B$6,MIN(G36:G43))</f>
        <v/>
      </c>
      <c r="H66" s="38">
        <f>IF(COUNT(H36:H42)=0,$B$6,MIN(H36:H42))</f>
        <v/>
      </c>
      <c r="I66" s="38">
        <f>IF(COUNT(I36:I41)=0,$B$6,MIN(I36:I41))</f>
        <v/>
      </c>
      <c r="J66" s="38">
        <f>IF(COUNT(J36:J40)=0,$B$6,MIN(J36:J40))</f>
        <v/>
      </c>
      <c r="K66" s="38">
        <f>IF(COUNT(K36:K39)=0,$B$6,MIN(K36:K39))</f>
        <v/>
      </c>
      <c r="L66" s="38">
        <f>IF(COUNT(L36:L38)=0,$B$6,MIN(L36:L38))</f>
        <v/>
      </c>
      <c r="M66" s="38">
        <f>IF(COUNT(M36:M37)=0,$B$6,MIN(M36:M37))</f>
        <v/>
      </c>
      <c r="N66" s="38">
        <f>IF(COUNT(N36:N36)=0,$B$6,MIN(N36:N36))</f>
        <v/>
      </c>
      <c r="O66" s="38">
        <f>$B$6</f>
        <v/>
      </c>
      <c r="P66" s="38">
        <f>$B$6</f>
        <v/>
      </c>
      <c r="Q66" s="38">
        <f>$B$6</f>
        <v/>
      </c>
    </row>
    <row r="67"/>
    <row r="68"/>
    <row r="69">
      <c r="A69" s="2" t="inlineStr">
        <is>
          <t>Projected cohorts, base case (B tokens per day)</t>
        </is>
      </c>
    </row>
    <row r="70">
      <c r="A70" s="8" t="inlineStr">
        <is>
          <t>Cohort</t>
        </is>
      </c>
      <c r="B70" s="8" t="inlineStr">
        <is>
          <t>Signups</t>
        </is>
      </c>
      <c r="C70" s="8" t="inlineStr"/>
      <c r="D70" s="8" t="inlineStr">
        <is>
          <t>Month 0</t>
        </is>
      </c>
      <c r="E70" s="8" t="inlineStr">
        <is>
          <t>Month 1</t>
        </is>
      </c>
      <c r="F70" s="8" t="inlineStr">
        <is>
          <t>Month 2</t>
        </is>
      </c>
      <c r="G70" s="8" t="inlineStr">
        <is>
          <t>Month 3</t>
        </is>
      </c>
      <c r="H70" s="8" t="inlineStr">
        <is>
          <t>Month 4</t>
        </is>
      </c>
      <c r="I70" s="8" t="inlineStr">
        <is>
          <t>Month 5</t>
        </is>
      </c>
      <c r="J70" s="8" t="inlineStr">
        <is>
          <t>Month 6</t>
        </is>
      </c>
      <c r="K70" s="8" t="inlineStr">
        <is>
          <t>Month 7</t>
        </is>
      </c>
      <c r="L70" s="8" t="inlineStr">
        <is>
          <t>Month 8</t>
        </is>
      </c>
      <c r="M70" s="8" t="inlineStr">
        <is>
          <t>Month 9</t>
        </is>
      </c>
      <c r="N70" s="8" t="inlineStr">
        <is>
          <t>Month 10</t>
        </is>
      </c>
      <c r="O70" s="8" t="inlineStr">
        <is>
          <t>Month 11</t>
        </is>
      </c>
      <c r="P70" s="8" t="inlineStr">
        <is>
          <t>Month 12</t>
        </is>
      </c>
      <c r="Q70" s="8" t="inlineStr">
        <is>
          <t>Month 13</t>
        </is>
      </c>
      <c r="R70" s="8" t="inlineStr">
        <is>
          <t>Month 14</t>
        </is>
      </c>
    </row>
    <row r="71">
      <c r="A71" s="28">
        <f>EDATE(Data_Params!$B$3,0)</f>
        <v/>
      </c>
      <c r="B71" s="23">
        <f>B21</f>
        <v/>
      </c>
      <c r="D71" s="29">
        <f>D21</f>
        <v/>
      </c>
      <c r="E71" s="29">
        <f>E21</f>
        <v/>
      </c>
      <c r="F71" s="29">
        <f>F21</f>
        <v/>
      </c>
      <c r="G71" s="29">
        <f>G21</f>
        <v/>
      </c>
      <c r="H71" s="29">
        <f>H21</f>
        <v/>
      </c>
      <c r="I71" s="29">
        <f>I21</f>
        <v/>
      </c>
      <c r="J71" s="29">
        <f>J21</f>
        <v/>
      </c>
      <c r="K71" s="29">
        <f>K21</f>
        <v/>
      </c>
      <c r="L71" s="29">
        <f>L21</f>
        <v/>
      </c>
      <c r="M71" s="29">
        <f>M21</f>
        <v/>
      </c>
      <c r="N71" s="29">
        <f>N21</f>
        <v/>
      </c>
      <c r="O71" s="29">
        <f>O21</f>
        <v/>
      </c>
      <c r="P71" s="29">
        <f>O71*O$86</f>
        <v/>
      </c>
      <c r="Q71" s="29">
        <f>P71*P$86</f>
        <v/>
      </c>
      <c r="R71" s="29">
        <f>Q71*Q$86</f>
        <v/>
      </c>
    </row>
    <row r="72">
      <c r="A72" s="28">
        <f>EDATE(Data_Params!$B$3,1)</f>
        <v/>
      </c>
      <c r="B72" s="23">
        <f>B22</f>
        <v/>
      </c>
      <c r="D72" s="29">
        <f>D22</f>
        <v/>
      </c>
      <c r="E72" s="29">
        <f>E22</f>
        <v/>
      </c>
      <c r="F72" s="29">
        <f>F22</f>
        <v/>
      </c>
      <c r="G72" s="29">
        <f>G22</f>
        <v/>
      </c>
      <c r="H72" s="29">
        <f>H22</f>
        <v/>
      </c>
      <c r="I72" s="29">
        <f>I22</f>
        <v/>
      </c>
      <c r="J72" s="29">
        <f>J22</f>
        <v/>
      </c>
      <c r="K72" s="29">
        <f>K22</f>
        <v/>
      </c>
      <c r="L72" s="29">
        <f>L22</f>
        <v/>
      </c>
      <c r="M72" s="29">
        <f>M22</f>
        <v/>
      </c>
      <c r="N72" s="29">
        <f>N22</f>
        <v/>
      </c>
      <c r="O72" s="29">
        <f>N72*N$86</f>
        <v/>
      </c>
      <c r="P72" s="29">
        <f>O72*O$86</f>
        <v/>
      </c>
      <c r="Q72" s="29">
        <f>P72*P$86</f>
        <v/>
      </c>
    </row>
    <row r="73">
      <c r="A73" s="28">
        <f>EDATE(Data_Params!$B$3,2)</f>
        <v/>
      </c>
      <c r="B73" s="23">
        <f>B23</f>
        <v/>
      </c>
      <c r="D73" s="29">
        <f>D23</f>
        <v/>
      </c>
      <c r="E73" s="29">
        <f>E23</f>
        <v/>
      </c>
      <c r="F73" s="29">
        <f>F23</f>
        <v/>
      </c>
      <c r="G73" s="29">
        <f>G23</f>
        <v/>
      </c>
      <c r="H73" s="29">
        <f>H23</f>
        <v/>
      </c>
      <c r="I73" s="29">
        <f>I23</f>
        <v/>
      </c>
      <c r="J73" s="29">
        <f>J23</f>
        <v/>
      </c>
      <c r="K73" s="29">
        <f>K23</f>
        <v/>
      </c>
      <c r="L73" s="29">
        <f>L23</f>
        <v/>
      </c>
      <c r="M73" s="29">
        <f>M23</f>
        <v/>
      </c>
      <c r="N73" s="29">
        <f>M73*M$86</f>
        <v/>
      </c>
      <c r="O73" s="29">
        <f>N73*N$86</f>
        <v/>
      </c>
      <c r="P73" s="29">
        <f>O73*O$86</f>
        <v/>
      </c>
    </row>
    <row r="74">
      <c r="A74" s="28">
        <f>EDATE(Data_Params!$B$3,3)</f>
        <v/>
      </c>
      <c r="B74" s="23">
        <f>B24</f>
        <v/>
      </c>
      <c r="D74" s="29">
        <f>D24</f>
        <v/>
      </c>
      <c r="E74" s="29">
        <f>E24</f>
        <v/>
      </c>
      <c r="F74" s="29">
        <f>F24</f>
        <v/>
      </c>
      <c r="G74" s="29">
        <f>G24</f>
        <v/>
      </c>
      <c r="H74" s="29">
        <f>H24</f>
        <v/>
      </c>
      <c r="I74" s="29">
        <f>I24</f>
        <v/>
      </c>
      <c r="J74" s="29">
        <f>J24</f>
        <v/>
      </c>
      <c r="K74" s="29">
        <f>K24</f>
        <v/>
      </c>
      <c r="L74" s="29">
        <f>L24</f>
        <v/>
      </c>
      <c r="M74" s="29">
        <f>L74*L$86</f>
        <v/>
      </c>
      <c r="N74" s="29">
        <f>M74*M$86</f>
        <v/>
      </c>
      <c r="O74" s="29">
        <f>N74*N$86</f>
        <v/>
      </c>
    </row>
    <row r="75">
      <c r="A75" s="28">
        <f>EDATE(Data_Params!$B$3,4)</f>
        <v/>
      </c>
      <c r="B75" s="23">
        <f>B25</f>
        <v/>
      </c>
      <c r="D75" s="29">
        <f>D25</f>
        <v/>
      </c>
      <c r="E75" s="29">
        <f>E25</f>
        <v/>
      </c>
      <c r="F75" s="29">
        <f>F25</f>
        <v/>
      </c>
      <c r="G75" s="29">
        <f>G25</f>
        <v/>
      </c>
      <c r="H75" s="29">
        <f>H25</f>
        <v/>
      </c>
      <c r="I75" s="29">
        <f>I25</f>
        <v/>
      </c>
      <c r="J75" s="29">
        <f>J25</f>
        <v/>
      </c>
      <c r="K75" s="29">
        <f>K25</f>
        <v/>
      </c>
      <c r="L75" s="29">
        <f>K75*K$86</f>
        <v/>
      </c>
      <c r="M75" s="29">
        <f>L75*L$86</f>
        <v/>
      </c>
      <c r="N75" s="29">
        <f>M75*M$86</f>
        <v/>
      </c>
    </row>
    <row r="76">
      <c r="A76" s="28">
        <f>EDATE(Data_Params!$B$3,5)</f>
        <v/>
      </c>
      <c r="B76" s="23">
        <f>B26</f>
        <v/>
      </c>
      <c r="D76" s="29">
        <f>D26</f>
        <v/>
      </c>
      <c r="E76" s="29">
        <f>E26</f>
        <v/>
      </c>
      <c r="F76" s="29">
        <f>F26</f>
        <v/>
      </c>
      <c r="G76" s="29">
        <f>G26</f>
        <v/>
      </c>
      <c r="H76" s="29">
        <f>H26</f>
        <v/>
      </c>
      <c r="I76" s="29">
        <f>I26</f>
        <v/>
      </c>
      <c r="J76" s="29">
        <f>J26</f>
        <v/>
      </c>
      <c r="K76" s="29">
        <f>J76*J$86</f>
        <v/>
      </c>
      <c r="L76" s="29">
        <f>K76*K$86</f>
        <v/>
      </c>
      <c r="M76" s="29">
        <f>L76*L$86</f>
        <v/>
      </c>
    </row>
    <row r="77">
      <c r="A77" s="28">
        <f>EDATE(Data_Params!$B$3,6)</f>
        <v/>
      </c>
      <c r="B77" s="23">
        <f>B27</f>
        <v/>
      </c>
      <c r="D77" s="29">
        <f>D27</f>
        <v/>
      </c>
      <c r="E77" s="29">
        <f>E27</f>
        <v/>
      </c>
      <c r="F77" s="29">
        <f>F27</f>
        <v/>
      </c>
      <c r="G77" s="29">
        <f>G27</f>
        <v/>
      </c>
      <c r="H77" s="29">
        <f>H27</f>
        <v/>
      </c>
      <c r="I77" s="29">
        <f>I27</f>
        <v/>
      </c>
      <c r="J77" s="29">
        <f>I77*I$86</f>
        <v/>
      </c>
      <c r="K77" s="29">
        <f>J77*J$86</f>
        <v/>
      </c>
      <c r="L77" s="29">
        <f>K77*K$86</f>
        <v/>
      </c>
    </row>
    <row r="78">
      <c r="A78" s="28">
        <f>EDATE(Data_Params!$B$3,7)</f>
        <v/>
      </c>
      <c r="B78" s="23">
        <f>B28</f>
        <v/>
      </c>
      <c r="D78" s="29">
        <f>D28</f>
        <v/>
      </c>
      <c r="E78" s="29">
        <f>E28</f>
        <v/>
      </c>
      <c r="F78" s="29">
        <f>F28</f>
        <v/>
      </c>
      <c r="G78" s="29">
        <f>G28</f>
        <v/>
      </c>
      <c r="H78" s="29">
        <f>H28</f>
        <v/>
      </c>
      <c r="I78" s="29">
        <f>H78*H$86</f>
        <v/>
      </c>
      <c r="J78" s="29">
        <f>I78*I$86</f>
        <v/>
      </c>
      <c r="K78" s="29">
        <f>J78*J$86</f>
        <v/>
      </c>
    </row>
    <row r="79">
      <c r="A79" s="28">
        <f>EDATE(Data_Params!$B$3,8)</f>
        <v/>
      </c>
      <c r="B79" s="23">
        <f>B29</f>
        <v/>
      </c>
      <c r="D79" s="29">
        <f>D29</f>
        <v/>
      </c>
      <c r="E79" s="29">
        <f>E29</f>
        <v/>
      </c>
      <c r="F79" s="29">
        <f>F29</f>
        <v/>
      </c>
      <c r="G79" s="29">
        <f>G29</f>
        <v/>
      </c>
      <c r="H79" s="29">
        <f>G79*G$86</f>
        <v/>
      </c>
      <c r="I79" s="29">
        <f>H79*H$86</f>
        <v/>
      </c>
      <c r="J79" s="29">
        <f>I79*I$86</f>
        <v/>
      </c>
    </row>
    <row r="80">
      <c r="A80" s="28">
        <f>EDATE(Data_Params!$B$3,9)</f>
        <v/>
      </c>
      <c r="B80" s="23">
        <f>B30</f>
        <v/>
      </c>
      <c r="D80" s="29">
        <f>D30</f>
        <v/>
      </c>
      <c r="E80" s="29">
        <f>E30</f>
        <v/>
      </c>
      <c r="F80" s="29">
        <f>F30</f>
        <v/>
      </c>
      <c r="G80" s="29">
        <f>F80*F$86</f>
        <v/>
      </c>
      <c r="H80" s="29">
        <f>G80*G$86</f>
        <v/>
      </c>
      <c r="I80" s="29">
        <f>H80*H$86</f>
        <v/>
      </c>
    </row>
    <row r="81">
      <c r="A81" s="28">
        <f>EDATE(Data_Params!$B$3,10)</f>
        <v/>
      </c>
      <c r="B81" s="23">
        <f>B31</f>
        <v/>
      </c>
      <c r="D81" s="29">
        <f>D31</f>
        <v/>
      </c>
      <c r="E81" s="29">
        <f>E31</f>
        <v/>
      </c>
      <c r="F81" s="29">
        <f>E81*E$86</f>
        <v/>
      </c>
      <c r="G81" s="29">
        <f>F81*F$86</f>
        <v/>
      </c>
      <c r="H81" s="29">
        <f>G81*G$86</f>
        <v/>
      </c>
    </row>
    <row r="82">
      <c r="A82" s="28">
        <f>EDATE(Data_Params!$B$3,11)</f>
        <v/>
      </c>
      <c r="B82" s="23">
        <f>B32</f>
        <v/>
      </c>
      <c r="D82" s="29">
        <f>D32</f>
        <v/>
      </c>
      <c r="E82" s="29">
        <f>D82*D$86</f>
        <v/>
      </c>
      <c r="F82" s="29">
        <f>E82*E$86</f>
        <v/>
      </c>
      <c r="G82" s="29">
        <f>F82*F$86</f>
        <v/>
      </c>
    </row>
    <row r="83">
      <c r="A83" s="28">
        <f>EDATE(Data_Params!$B$3,12)</f>
        <v/>
      </c>
      <c r="B83" s="23">
        <f>B82*(1+$C$7)</f>
        <v/>
      </c>
      <c r="D83" s="29">
        <f>B83*$C$8</f>
        <v/>
      </c>
      <c r="E83" s="29">
        <f>D83*D$86</f>
        <v/>
      </c>
      <c r="F83" s="29">
        <f>E83*E$86</f>
        <v/>
      </c>
    </row>
    <row r="84">
      <c r="A84" s="28">
        <f>EDATE(Data_Params!$B$3,13)</f>
        <v/>
      </c>
      <c r="B84" s="23">
        <f>B83*(1+$C$7)</f>
        <v/>
      </c>
      <c r="D84" s="29">
        <f>B84*$C$8</f>
        <v/>
      </c>
      <c r="E84" s="29">
        <f>D84*D$86</f>
        <v/>
      </c>
    </row>
    <row r="85">
      <c r="A85" s="28">
        <f>EDATE(Data_Params!$B$3,14)</f>
        <v/>
      </c>
      <c r="B85" s="23">
        <f>B84*(1+$C$7)</f>
        <v/>
      </c>
      <c r="D85" s="29">
        <f>B85*$C$8</f>
        <v/>
      </c>
    </row>
    <row r="86">
      <c r="A86" s="2" t="inlineStr">
        <is>
          <t>Development factor, month k to k+1</t>
        </is>
      </c>
      <c r="D86" s="38">
        <f>IF(SUM(D21:D31)=0,$C$6,SUMPRODUCT((D21:D31&gt;0)*E21:E31)/SUM(D21:D31))</f>
        <v/>
      </c>
      <c r="E86" s="38">
        <f>IF(SUM(E21:E30)=0,$C$6,SUMPRODUCT((E21:E30&gt;0)*F21:F30)/SUM(E21:E30))</f>
        <v/>
      </c>
      <c r="F86" s="38">
        <f>IF(SUM(F21:F29)=0,$C$6,SUMPRODUCT((F21:F29&gt;0)*G21:G29)/SUM(F21:F29))</f>
        <v/>
      </c>
      <c r="G86" s="38">
        <f>IF(SUM(G21:G28)=0,$C$6,SUMPRODUCT((G21:G28&gt;0)*H21:H28)/SUM(G21:G28))</f>
        <v/>
      </c>
      <c r="H86" s="38">
        <f>IF(SUM(H21:H27)=0,$C$6,SUMPRODUCT((H21:H27&gt;0)*I21:I27)/SUM(H21:H27))</f>
        <v/>
      </c>
      <c r="I86" s="38">
        <f>IF(SUM(I21:I26)=0,$C$6,SUMPRODUCT((I21:I26&gt;0)*J21:J26)/SUM(I21:I26))</f>
        <v/>
      </c>
      <c r="J86" s="38">
        <f>IF(SUM(J21:J25)=0,$C$6,SUMPRODUCT((J21:J25&gt;0)*K21:K25)/SUM(J21:J25))</f>
        <v/>
      </c>
      <c r="K86" s="38">
        <f>IF(SUM(K21:K24)=0,$C$6,SUMPRODUCT((K21:K24&gt;0)*L21:L24)/SUM(K21:K24))</f>
        <v/>
      </c>
      <c r="L86" s="38">
        <f>IF(SUM(L21:L23)=0,$C$6,SUMPRODUCT((L21:L23&gt;0)*M21:M23)/SUM(L21:L23))</f>
        <v/>
      </c>
      <c r="M86" s="38">
        <f>IF(SUM(M21:M22)=0,$C$6,SUMPRODUCT((M21:M22&gt;0)*N21:N22)/SUM(M21:M22))</f>
        <v/>
      </c>
      <c r="N86" s="38">
        <f>IF(SUM(N21:N21)=0,$C$6,SUMPRODUCT((N21:N21&gt;0)*O21:O21)/SUM(N21:N21))</f>
        <v/>
      </c>
      <c r="O86" s="38">
        <f>$C$6</f>
        <v/>
      </c>
      <c r="P86" s="38">
        <f>$C$6</f>
        <v/>
      </c>
      <c r="Q86" s="38">
        <f>$C$6</f>
        <v/>
      </c>
    </row>
    <row r="87"/>
    <row r="88"/>
    <row r="89">
      <c r="A89" s="2" t="inlineStr">
        <is>
          <t>Projected cohorts, high case (B tokens per day)</t>
        </is>
      </c>
    </row>
    <row r="90">
      <c r="A90" s="8" t="inlineStr">
        <is>
          <t>Cohort</t>
        </is>
      </c>
      <c r="B90" s="8" t="inlineStr">
        <is>
          <t>Signups</t>
        </is>
      </c>
      <c r="C90" s="8" t="inlineStr"/>
      <c r="D90" s="8" t="inlineStr">
        <is>
          <t>Month 0</t>
        </is>
      </c>
      <c r="E90" s="8" t="inlineStr">
        <is>
          <t>Month 1</t>
        </is>
      </c>
      <c r="F90" s="8" t="inlineStr">
        <is>
          <t>Month 2</t>
        </is>
      </c>
      <c r="G90" s="8" t="inlineStr">
        <is>
          <t>Month 3</t>
        </is>
      </c>
      <c r="H90" s="8" t="inlineStr">
        <is>
          <t>Month 4</t>
        </is>
      </c>
      <c r="I90" s="8" t="inlineStr">
        <is>
          <t>Month 5</t>
        </is>
      </c>
      <c r="J90" s="8" t="inlineStr">
        <is>
          <t>Month 6</t>
        </is>
      </c>
      <c r="K90" s="8" t="inlineStr">
        <is>
          <t>Month 7</t>
        </is>
      </c>
      <c r="L90" s="8" t="inlineStr">
        <is>
          <t>Month 8</t>
        </is>
      </c>
      <c r="M90" s="8" t="inlineStr">
        <is>
          <t>Month 9</t>
        </is>
      </c>
      <c r="N90" s="8" t="inlineStr">
        <is>
          <t>Month 10</t>
        </is>
      </c>
      <c r="O90" s="8" t="inlineStr">
        <is>
          <t>Month 11</t>
        </is>
      </c>
      <c r="P90" s="8" t="inlineStr">
        <is>
          <t>Month 12</t>
        </is>
      </c>
      <c r="Q90" s="8" t="inlineStr">
        <is>
          <t>Month 13</t>
        </is>
      </c>
      <c r="R90" s="8" t="inlineStr">
        <is>
          <t>Month 14</t>
        </is>
      </c>
    </row>
    <row r="91">
      <c r="A91" s="28">
        <f>EDATE(Data_Params!$B$3,0)</f>
        <v/>
      </c>
      <c r="B91" s="23">
        <f>B21</f>
        <v/>
      </c>
      <c r="D91" s="29">
        <f>D21</f>
        <v/>
      </c>
      <c r="E91" s="29">
        <f>E21</f>
        <v/>
      </c>
      <c r="F91" s="29">
        <f>F21</f>
        <v/>
      </c>
      <c r="G91" s="29">
        <f>G21</f>
        <v/>
      </c>
      <c r="H91" s="29">
        <f>H21</f>
        <v/>
      </c>
      <c r="I91" s="29">
        <f>I21</f>
        <v/>
      </c>
      <c r="J91" s="29">
        <f>J21</f>
        <v/>
      </c>
      <c r="K91" s="29">
        <f>K21</f>
        <v/>
      </c>
      <c r="L91" s="29">
        <f>L21</f>
        <v/>
      </c>
      <c r="M91" s="29">
        <f>M21</f>
        <v/>
      </c>
      <c r="N91" s="29">
        <f>N21</f>
        <v/>
      </c>
      <c r="O91" s="29">
        <f>O21</f>
        <v/>
      </c>
      <c r="P91" s="29">
        <f>O91*O$106</f>
        <v/>
      </c>
      <c r="Q91" s="29">
        <f>P91*P$106</f>
        <v/>
      </c>
      <c r="R91" s="29">
        <f>Q91*Q$106</f>
        <v/>
      </c>
    </row>
    <row r="92">
      <c r="A92" s="28">
        <f>EDATE(Data_Params!$B$3,1)</f>
        <v/>
      </c>
      <c r="B92" s="23">
        <f>B22</f>
        <v/>
      </c>
      <c r="D92" s="29">
        <f>D22</f>
        <v/>
      </c>
      <c r="E92" s="29">
        <f>E22</f>
        <v/>
      </c>
      <c r="F92" s="29">
        <f>F22</f>
        <v/>
      </c>
      <c r="G92" s="29">
        <f>G22</f>
        <v/>
      </c>
      <c r="H92" s="29">
        <f>H22</f>
        <v/>
      </c>
      <c r="I92" s="29">
        <f>I22</f>
        <v/>
      </c>
      <c r="J92" s="29">
        <f>J22</f>
        <v/>
      </c>
      <c r="K92" s="29">
        <f>K22</f>
        <v/>
      </c>
      <c r="L92" s="29">
        <f>L22</f>
        <v/>
      </c>
      <c r="M92" s="29">
        <f>M22</f>
        <v/>
      </c>
      <c r="N92" s="29">
        <f>N22</f>
        <v/>
      </c>
      <c r="O92" s="29">
        <f>N92*N$106</f>
        <v/>
      </c>
      <c r="P92" s="29">
        <f>O92*O$106</f>
        <v/>
      </c>
      <c r="Q92" s="29">
        <f>P92*P$106</f>
        <v/>
      </c>
    </row>
    <row r="93">
      <c r="A93" s="28">
        <f>EDATE(Data_Params!$B$3,2)</f>
        <v/>
      </c>
      <c r="B93" s="23">
        <f>B23</f>
        <v/>
      </c>
      <c r="D93" s="29">
        <f>D23</f>
        <v/>
      </c>
      <c r="E93" s="29">
        <f>E23</f>
        <v/>
      </c>
      <c r="F93" s="29">
        <f>F23</f>
        <v/>
      </c>
      <c r="G93" s="29">
        <f>G23</f>
        <v/>
      </c>
      <c r="H93" s="29">
        <f>H23</f>
        <v/>
      </c>
      <c r="I93" s="29">
        <f>I23</f>
        <v/>
      </c>
      <c r="J93" s="29">
        <f>J23</f>
        <v/>
      </c>
      <c r="K93" s="29">
        <f>K23</f>
        <v/>
      </c>
      <c r="L93" s="29">
        <f>L23</f>
        <v/>
      </c>
      <c r="M93" s="29">
        <f>M23</f>
        <v/>
      </c>
      <c r="N93" s="29">
        <f>M93*M$106</f>
        <v/>
      </c>
      <c r="O93" s="29">
        <f>N93*N$106</f>
        <v/>
      </c>
      <c r="P93" s="29">
        <f>O93*O$106</f>
        <v/>
      </c>
    </row>
    <row r="94">
      <c r="A94" s="28">
        <f>EDATE(Data_Params!$B$3,3)</f>
        <v/>
      </c>
      <c r="B94" s="23">
        <f>B24</f>
        <v/>
      </c>
      <c r="D94" s="29">
        <f>D24</f>
        <v/>
      </c>
      <c r="E94" s="29">
        <f>E24</f>
        <v/>
      </c>
      <c r="F94" s="29">
        <f>F24</f>
        <v/>
      </c>
      <c r="G94" s="29">
        <f>G24</f>
        <v/>
      </c>
      <c r="H94" s="29">
        <f>H24</f>
        <v/>
      </c>
      <c r="I94" s="29">
        <f>I24</f>
        <v/>
      </c>
      <c r="J94" s="29">
        <f>J24</f>
        <v/>
      </c>
      <c r="K94" s="29">
        <f>K24</f>
        <v/>
      </c>
      <c r="L94" s="29">
        <f>L24</f>
        <v/>
      </c>
      <c r="M94" s="29">
        <f>L94*L$106</f>
        <v/>
      </c>
      <c r="N94" s="29">
        <f>M94*M$106</f>
        <v/>
      </c>
      <c r="O94" s="29">
        <f>N94*N$106</f>
        <v/>
      </c>
    </row>
    <row r="95">
      <c r="A95" s="28">
        <f>EDATE(Data_Params!$B$3,4)</f>
        <v/>
      </c>
      <c r="B95" s="23">
        <f>B25</f>
        <v/>
      </c>
      <c r="D95" s="29">
        <f>D25</f>
        <v/>
      </c>
      <c r="E95" s="29">
        <f>E25</f>
        <v/>
      </c>
      <c r="F95" s="29">
        <f>F25</f>
        <v/>
      </c>
      <c r="G95" s="29">
        <f>G25</f>
        <v/>
      </c>
      <c r="H95" s="29">
        <f>H25</f>
        <v/>
      </c>
      <c r="I95" s="29">
        <f>I25</f>
        <v/>
      </c>
      <c r="J95" s="29">
        <f>J25</f>
        <v/>
      </c>
      <c r="K95" s="29">
        <f>K25</f>
        <v/>
      </c>
      <c r="L95" s="29">
        <f>K95*K$106</f>
        <v/>
      </c>
      <c r="M95" s="29">
        <f>L95*L$106</f>
        <v/>
      </c>
      <c r="N95" s="29">
        <f>M95*M$106</f>
        <v/>
      </c>
    </row>
    <row r="96">
      <c r="A96" s="28">
        <f>EDATE(Data_Params!$B$3,5)</f>
        <v/>
      </c>
      <c r="B96" s="23">
        <f>B26</f>
        <v/>
      </c>
      <c r="D96" s="29">
        <f>D26</f>
        <v/>
      </c>
      <c r="E96" s="29">
        <f>E26</f>
        <v/>
      </c>
      <c r="F96" s="29">
        <f>F26</f>
        <v/>
      </c>
      <c r="G96" s="29">
        <f>G26</f>
        <v/>
      </c>
      <c r="H96" s="29">
        <f>H26</f>
        <v/>
      </c>
      <c r="I96" s="29">
        <f>I26</f>
        <v/>
      </c>
      <c r="J96" s="29">
        <f>J26</f>
        <v/>
      </c>
      <c r="K96" s="29">
        <f>J96*J$106</f>
        <v/>
      </c>
      <c r="L96" s="29">
        <f>K96*K$106</f>
        <v/>
      </c>
      <c r="M96" s="29">
        <f>L96*L$106</f>
        <v/>
      </c>
    </row>
    <row r="97">
      <c r="A97" s="28">
        <f>EDATE(Data_Params!$B$3,6)</f>
        <v/>
      </c>
      <c r="B97" s="23">
        <f>B27</f>
        <v/>
      </c>
      <c r="D97" s="29">
        <f>D27</f>
        <v/>
      </c>
      <c r="E97" s="29">
        <f>E27</f>
        <v/>
      </c>
      <c r="F97" s="29">
        <f>F27</f>
        <v/>
      </c>
      <c r="G97" s="29">
        <f>G27</f>
        <v/>
      </c>
      <c r="H97" s="29">
        <f>H27</f>
        <v/>
      </c>
      <c r="I97" s="29">
        <f>I27</f>
        <v/>
      </c>
      <c r="J97" s="29">
        <f>I97*I$106</f>
        <v/>
      </c>
      <c r="K97" s="29">
        <f>J97*J$106</f>
        <v/>
      </c>
      <c r="L97" s="29">
        <f>K97*K$106</f>
        <v/>
      </c>
    </row>
    <row r="98">
      <c r="A98" s="28">
        <f>EDATE(Data_Params!$B$3,7)</f>
        <v/>
      </c>
      <c r="B98" s="23">
        <f>B28</f>
        <v/>
      </c>
      <c r="D98" s="29">
        <f>D28</f>
        <v/>
      </c>
      <c r="E98" s="29">
        <f>E28</f>
        <v/>
      </c>
      <c r="F98" s="29">
        <f>F28</f>
        <v/>
      </c>
      <c r="G98" s="29">
        <f>G28</f>
        <v/>
      </c>
      <c r="H98" s="29">
        <f>H28</f>
        <v/>
      </c>
      <c r="I98" s="29">
        <f>H98*H$106</f>
        <v/>
      </c>
      <c r="J98" s="29">
        <f>I98*I$106</f>
        <v/>
      </c>
      <c r="K98" s="29">
        <f>J98*J$106</f>
        <v/>
      </c>
    </row>
    <row r="99">
      <c r="A99" s="28">
        <f>EDATE(Data_Params!$B$3,8)</f>
        <v/>
      </c>
      <c r="B99" s="23">
        <f>B29</f>
        <v/>
      </c>
      <c r="D99" s="29">
        <f>D29</f>
        <v/>
      </c>
      <c r="E99" s="29">
        <f>E29</f>
        <v/>
      </c>
      <c r="F99" s="29">
        <f>F29</f>
        <v/>
      </c>
      <c r="G99" s="29">
        <f>G29</f>
        <v/>
      </c>
      <c r="H99" s="29">
        <f>G99*G$106</f>
        <v/>
      </c>
      <c r="I99" s="29">
        <f>H99*H$106</f>
        <v/>
      </c>
      <c r="J99" s="29">
        <f>I99*I$106</f>
        <v/>
      </c>
    </row>
    <row r="100">
      <c r="A100" s="28">
        <f>EDATE(Data_Params!$B$3,9)</f>
        <v/>
      </c>
      <c r="B100" s="23">
        <f>B30</f>
        <v/>
      </c>
      <c r="D100" s="29">
        <f>D30</f>
        <v/>
      </c>
      <c r="E100" s="29">
        <f>E30</f>
        <v/>
      </c>
      <c r="F100" s="29">
        <f>F30</f>
        <v/>
      </c>
      <c r="G100" s="29">
        <f>F100*F$106</f>
        <v/>
      </c>
      <c r="H100" s="29">
        <f>G100*G$106</f>
        <v/>
      </c>
      <c r="I100" s="29">
        <f>H100*H$106</f>
        <v/>
      </c>
    </row>
    <row r="101">
      <c r="A101" s="28">
        <f>EDATE(Data_Params!$B$3,10)</f>
        <v/>
      </c>
      <c r="B101" s="23">
        <f>B31</f>
        <v/>
      </c>
      <c r="D101" s="29">
        <f>D31</f>
        <v/>
      </c>
      <c r="E101" s="29">
        <f>E31</f>
        <v/>
      </c>
      <c r="F101" s="29">
        <f>E101*E$106</f>
        <v/>
      </c>
      <c r="G101" s="29">
        <f>F101*F$106</f>
        <v/>
      </c>
      <c r="H101" s="29">
        <f>G101*G$106</f>
        <v/>
      </c>
    </row>
    <row r="102">
      <c r="A102" s="28">
        <f>EDATE(Data_Params!$B$3,11)</f>
        <v/>
      </c>
      <c r="B102" s="23">
        <f>B32</f>
        <v/>
      </c>
      <c r="D102" s="29">
        <f>D32</f>
        <v/>
      </c>
      <c r="E102" s="29">
        <f>D102*D$106</f>
        <v/>
      </c>
      <c r="F102" s="29">
        <f>E102*E$106</f>
        <v/>
      </c>
      <c r="G102" s="29">
        <f>F102*F$106</f>
        <v/>
      </c>
    </row>
    <row r="103">
      <c r="A103" s="28">
        <f>EDATE(Data_Params!$B$3,12)</f>
        <v/>
      </c>
      <c r="B103" s="23">
        <f>B102*(1+$D$7)</f>
        <v/>
      </c>
      <c r="D103" s="29">
        <f>B103*$D$8</f>
        <v/>
      </c>
      <c r="E103" s="29">
        <f>D103*D$106</f>
        <v/>
      </c>
      <c r="F103" s="29">
        <f>E103*E$106</f>
        <v/>
      </c>
    </row>
    <row r="104">
      <c r="A104" s="28">
        <f>EDATE(Data_Params!$B$3,13)</f>
        <v/>
      </c>
      <c r="B104" s="23">
        <f>B103*(1+$D$7)</f>
        <v/>
      </c>
      <c r="D104" s="29">
        <f>B104*$D$8</f>
        <v/>
      </c>
      <c r="E104" s="29">
        <f>D104*D$106</f>
        <v/>
      </c>
    </row>
    <row r="105">
      <c r="A105" s="28">
        <f>EDATE(Data_Params!$B$3,14)</f>
        <v/>
      </c>
      <c r="B105" s="23">
        <f>B104*(1+$D$7)</f>
        <v/>
      </c>
      <c r="D105" s="29">
        <f>B105*$D$8</f>
        <v/>
      </c>
    </row>
    <row r="106">
      <c r="A106" s="2" t="inlineStr">
        <is>
          <t>Development factor, month k to k+1</t>
        </is>
      </c>
      <c r="D106" s="38">
        <f>IF(COUNT(D36:D46)=0,$D$6,MAX(D36:D46))</f>
        <v/>
      </c>
      <c r="E106" s="38">
        <f>IF(COUNT(E36:E45)=0,$D$6,MAX(E36:E45))</f>
        <v/>
      </c>
      <c r="F106" s="38">
        <f>IF(COUNT(F36:F44)=0,$D$6,MAX(F36:F44))</f>
        <v/>
      </c>
      <c r="G106" s="38">
        <f>IF(COUNT(G36:G43)=0,$D$6,MAX(G36:G43))</f>
        <v/>
      </c>
      <c r="H106" s="38">
        <f>IF(COUNT(H36:H42)=0,$D$6,MAX(H36:H42))</f>
        <v/>
      </c>
      <c r="I106" s="38">
        <f>IF(COUNT(I36:I41)=0,$D$6,MAX(I36:I41))</f>
        <v/>
      </c>
      <c r="J106" s="38">
        <f>IF(COUNT(J36:J40)=0,$D$6,MAX(J36:J40))</f>
        <v/>
      </c>
      <c r="K106" s="38">
        <f>IF(COUNT(K36:K39)=0,$D$6,MAX(K36:K39))</f>
        <v/>
      </c>
      <c r="L106" s="38">
        <f>IF(COUNT(L36:L38)=0,$D$6,MAX(L36:L38))</f>
        <v/>
      </c>
      <c r="M106" s="38">
        <f>IF(COUNT(M36:M37)=0,$D$6,MAX(M36:M37))</f>
        <v/>
      </c>
      <c r="N106" s="38">
        <f>IF(COUNT(N36:N36)=0,$D$6,MAX(N36:N36))</f>
        <v/>
      </c>
      <c r="O106" s="38">
        <f>$D$6</f>
        <v/>
      </c>
      <c r="P106" s="38">
        <f>$D$6</f>
        <v/>
      </c>
      <c r="Q106" s="38">
        <f>$D$6</f>
        <v/>
      </c>
    </row>
    <row r="107"/>
    <row r="108"/>
    <row r="109">
      <c r="A109" s="2" t="inlineStr">
        <is>
          <t>Self-serve tokens per day by forecast month (B): sum of each diagonal + older cohorts</t>
        </is>
      </c>
    </row>
    <row r="110">
      <c r="A110" s="8" t="inlineStr">
        <is>
          <t>Scenario</t>
        </is>
      </c>
      <c r="B110" s="9">
        <f>EDATE(Data_Params!$B$2,1)</f>
        <v/>
      </c>
      <c r="C110" s="9">
        <f>EDATE(Data_Params!$B$2,2)</f>
        <v/>
      </c>
      <c r="D110" s="9">
        <f>EDATE(Data_Params!$B$2,3)</f>
        <v/>
      </c>
    </row>
    <row r="111">
      <c r="A111" s="3" t="inlineStr">
        <is>
          <t>Low</t>
        </is>
      </c>
      <c r="B111" s="24">
        <f>(SUM(P51,O52,N53,M54,L55,K56,J57,I58,H59,G60,F61,E62,D63)+$C$16*$B$6^1)*(1-$B$17)^1</f>
        <v/>
      </c>
      <c r="C111" s="24">
        <f>(SUM(Q51,P52,O53,N54,M55,L56,K57,J58,I59,H60,G61,F62,E63,D64)+$C$16*$B$6^2)*(1-$B$17)^2</f>
        <v/>
      </c>
      <c r="D111" s="24">
        <f>(SUM(R51,Q52,P53,O54,N55,M56,L57,K58,J59,I60,H61,G62,F63,E64,D65)+$C$16*$B$6^3)*(1-$B$17)^3</f>
        <v/>
      </c>
    </row>
    <row r="112">
      <c r="A112" s="3" t="inlineStr">
        <is>
          <t>Base</t>
        </is>
      </c>
      <c r="B112" s="24">
        <f>(SUM(P71,O72,N73,M74,L75,K76,J77,I78,H79,G80,F81,E82,D83)+$C$16*$C$6^1)*(1-$C$17)^1</f>
        <v/>
      </c>
      <c r="C112" s="24">
        <f>(SUM(Q71,P72,O73,N74,M75,L76,K77,J78,I79,H80,G81,F82,E83,D84)+$C$16*$C$6^2)*(1-$C$17)^2</f>
        <v/>
      </c>
      <c r="D112" s="24">
        <f>(SUM(R71,Q72,P73,O74,N75,M76,L77,K78,J79,I80,H81,G82,F83,E84,D85)+$C$16*$C$6^3)*(1-$C$17)^3</f>
        <v/>
      </c>
    </row>
    <row r="113">
      <c r="A113" s="3" t="inlineStr">
        <is>
          <t>High</t>
        </is>
      </c>
      <c r="B113" s="24">
        <f>(SUM(P91,O92,N93,M94,L95,K96,J97,I98,H99,G100,F101,E102,D103)+$C$16*$D$6^1)*(1-$D$17)^1</f>
        <v/>
      </c>
      <c r="C113" s="24">
        <f>(SUM(Q91,P92,O93,N94,M95,L96,K97,J98,I99,H100,G101,F102,E103,D104)+$C$16*$D$6^2)*(1-$D$17)^2</f>
        <v/>
      </c>
      <c r="D113" s="24">
        <f>(SUM(R91,Q92,P93,O94,N95,M96,L97,K98,J99,I100,H101,G102,F103,E104,D105)+$C$16*$D$6^3)*(1-$D$17)^3</f>
        <v/>
      </c>
    </row>
    <row r="114"/>
    <row r="115">
      <c r="A115" s="2" t="inlineStr">
        <is>
          <t>Gateways that don't pass customer IDs: tokens per day (B)</t>
        </is>
      </c>
    </row>
    <row r="116">
      <c r="A116" s="8" t="inlineStr">
        <is>
          <t>Line</t>
        </is>
      </c>
      <c r="B116" s="9">
        <f>EDATE(Data_Params!$B$3,0)</f>
        <v/>
      </c>
      <c r="C116" s="9">
        <f>EDATE(Data_Params!$B$3,1)</f>
        <v/>
      </c>
      <c r="D116" s="9">
        <f>EDATE(Data_Params!$B$3,2)</f>
        <v/>
      </c>
      <c r="E116" s="9">
        <f>EDATE(Data_Params!$B$3,3)</f>
        <v/>
      </c>
      <c r="F116" s="9">
        <f>EDATE(Data_Params!$B$3,4)</f>
        <v/>
      </c>
      <c r="G116" s="9">
        <f>EDATE(Data_Params!$B$3,5)</f>
        <v/>
      </c>
      <c r="H116" s="9">
        <f>EDATE(Data_Params!$B$3,6)</f>
        <v/>
      </c>
      <c r="I116" s="9">
        <f>EDATE(Data_Params!$B$3,7)</f>
        <v/>
      </c>
      <c r="J116" s="9">
        <f>EDATE(Data_Params!$B$3,8)</f>
        <v/>
      </c>
      <c r="K116" s="9">
        <f>EDATE(Data_Params!$B$3,9)</f>
        <v/>
      </c>
      <c r="L116" s="9">
        <f>EDATE(Data_Params!$B$3,10)</f>
        <v/>
      </c>
      <c r="M116" s="9">
        <f>EDATE(Data_Params!$B$3,11)</f>
        <v/>
      </c>
    </row>
    <row r="117">
      <c r="A117" s="3" t="inlineStr">
        <is>
          <t>Actual</t>
        </is>
      </c>
      <c r="B117" s="39">
        <f>Monthly!B15</f>
        <v/>
      </c>
      <c r="C117" s="39">
        <f>Monthly!C15</f>
        <v/>
      </c>
      <c r="D117" s="39">
        <f>Monthly!D15</f>
        <v/>
      </c>
      <c r="E117" s="39">
        <f>Monthly!E15</f>
        <v/>
      </c>
      <c r="F117" s="39">
        <f>Monthly!F15</f>
        <v/>
      </c>
      <c r="G117" s="39">
        <f>Monthly!G15</f>
        <v/>
      </c>
      <c r="H117" s="39">
        <f>Monthly!H15</f>
        <v/>
      </c>
      <c r="I117" s="39">
        <f>Monthly!I15</f>
        <v/>
      </c>
      <c r="J117" s="39">
        <f>Monthly!J15</f>
        <v/>
      </c>
      <c r="K117" s="39">
        <f>Monthly!K15</f>
        <v/>
      </c>
      <c r="L117" s="39">
        <f>Monthly!L15</f>
        <v/>
      </c>
      <c r="M117" s="39">
        <f>Monthly!M15</f>
        <v/>
      </c>
    </row>
    <row r="118">
      <c r="A118" s="3" t="inlineStr">
        <is>
          <t>Last month's growth</t>
        </is>
      </c>
      <c r="B118" s="25">
        <f>IF(L117&gt;0,M117/L117-1,0)</f>
        <v/>
      </c>
    </row>
    <row r="119"/>
    <row r="120"/>
    <row r="121">
      <c r="A121" s="40" t="inlineStr">
        <is>
          <t>FORECAST SUMMARY</t>
        </is>
      </c>
    </row>
    <row r="122">
      <c r="A122" s="8" t="inlineStr">
        <is>
          <t>Tokens per day (B)</t>
        </is>
      </c>
      <c r="B122" s="9">
        <f>"Low "&amp;TEXT(EDATE(Data_Params!$B$2,1),"mmm")</f>
        <v/>
      </c>
      <c r="C122" s="9">
        <f>"Low "&amp;TEXT(EDATE(Data_Params!$B$2,2),"mmm")</f>
        <v/>
      </c>
      <c r="D122" s="9">
        <f>"Low "&amp;TEXT(EDATE(Data_Params!$B$2,3),"mmm")</f>
        <v/>
      </c>
      <c r="E122" s="9">
        <f>"Base "&amp;TEXT(EDATE(Data_Params!$B$2,1),"mmm")</f>
        <v/>
      </c>
      <c r="F122" s="9">
        <f>"Base "&amp;TEXT(EDATE(Data_Params!$B$2,2),"mmm")</f>
        <v/>
      </c>
      <c r="G122" s="9">
        <f>"Base "&amp;TEXT(EDATE(Data_Params!$B$2,3),"mmm")</f>
        <v/>
      </c>
      <c r="H122" s="9">
        <f>"High "&amp;TEXT(EDATE(Data_Params!$B$2,1),"mmm")</f>
        <v/>
      </c>
      <c r="I122" s="9">
        <f>"High "&amp;TEXT(EDATE(Data_Params!$B$2,2),"mmm")</f>
        <v/>
      </c>
      <c r="J122" s="9">
        <f>"High "&amp;TEXT(EDATE(Data_Params!$B$2,3),"mmm")</f>
        <v/>
      </c>
    </row>
    <row r="123">
      <c r="A123" s="3" t="inlineStr">
        <is>
          <t>Self-serve (cohorts + older)</t>
        </is>
      </c>
      <c r="B123" s="24">
        <f>B111</f>
        <v/>
      </c>
      <c r="C123" s="24">
        <f>C111</f>
        <v/>
      </c>
      <c r="D123" s="24">
        <f>D111</f>
        <v/>
      </c>
      <c r="E123" s="24">
        <f>B112</f>
        <v/>
      </c>
      <c r="F123" s="24">
        <f>C112</f>
        <v/>
      </c>
      <c r="G123" s="24">
        <f>D112</f>
        <v/>
      </c>
      <c r="H123" s="24">
        <f>B113</f>
        <v/>
      </c>
      <c r="I123" s="24">
        <f>C113</f>
        <v/>
      </c>
      <c r="J123" s="24">
        <f>D113</f>
        <v/>
      </c>
    </row>
    <row r="124">
      <c r="A124" s="3" t="inlineStr">
        <is>
          <t>Gateways without customer IDs</t>
        </is>
      </c>
      <c r="B124" s="24">
        <f>M117*(1+$B$9)^1</f>
        <v/>
      </c>
      <c r="C124" s="24">
        <f>M117*(1+$B$9)^2</f>
        <v/>
      </c>
      <c r="D124" s="24">
        <f>M117*(1+$B$9)^3</f>
        <v/>
      </c>
      <c r="E124" s="24">
        <f>M117*(1+$C$9)^1</f>
        <v/>
      </c>
      <c r="F124" s="24">
        <f>M117*(1+$C$9)^2</f>
        <v/>
      </c>
      <c r="G124" s="24">
        <f>M117*(1+$C$9)^3</f>
        <v/>
      </c>
      <c r="H124" s="24">
        <f>M117*(1+$D$9)^1</f>
        <v/>
      </c>
      <c r="I124" s="24">
        <f>M117*(1+$D$9)^2</f>
        <v/>
      </c>
      <c r="J124" s="24">
        <f>M117*(1+$D$9)^3</f>
        <v/>
      </c>
    </row>
    <row r="125">
      <c r="A125" s="3" t="inlineStr">
        <is>
          <t>Enterprise, signed contracts</t>
        </is>
      </c>
      <c r="B125" s="39">
        <f>Forecast_Ent!K53</f>
        <v/>
      </c>
      <c r="C125" s="39">
        <f>Forecast_Ent!L53</f>
        <v/>
      </c>
      <c r="D125" s="39">
        <f>Forecast_Ent!M53</f>
        <v/>
      </c>
      <c r="E125" s="39">
        <f>Forecast_Ent!N53</f>
        <v/>
      </c>
      <c r="F125" s="39">
        <f>Forecast_Ent!O53</f>
        <v/>
      </c>
      <c r="G125" s="39">
        <f>Forecast_Ent!P53</f>
        <v/>
      </c>
      <c r="H125" s="39">
        <f>Forecast_Ent!Q53</f>
        <v/>
      </c>
      <c r="I125" s="39">
        <f>Forecast_Ent!R53</f>
        <v/>
      </c>
      <c r="J125" s="39">
        <f>Forecast_Ent!S53</f>
        <v/>
      </c>
    </row>
    <row r="126">
      <c r="A126" s="3" t="inlineStr">
        <is>
          <t>Enterprise, pipeline</t>
        </is>
      </c>
      <c r="B126" s="39">
        <f>Forecast_Ent!B144</f>
        <v/>
      </c>
      <c r="C126" s="39">
        <f>Forecast_Ent!C144</f>
        <v/>
      </c>
      <c r="D126" s="39">
        <f>Forecast_Ent!D144</f>
        <v/>
      </c>
      <c r="E126" s="39">
        <f>Forecast_Ent!E144</f>
        <v/>
      </c>
      <c r="F126" s="39">
        <f>Forecast_Ent!F144</f>
        <v/>
      </c>
      <c r="G126" s="39">
        <f>Forecast_Ent!G144</f>
        <v/>
      </c>
      <c r="H126" s="39">
        <f>Forecast_Ent!H144</f>
        <v/>
      </c>
      <c r="I126" s="39">
        <f>Forecast_Ent!I144</f>
        <v/>
      </c>
      <c r="J126" s="39">
        <f>Forecast_Ent!J144</f>
        <v/>
      </c>
    </row>
    <row r="127">
      <c r="A127" s="2" t="inlineStr">
        <is>
          <t>Total tokens per day (B)</t>
        </is>
      </c>
      <c r="B127" s="41">
        <f>SUM(B123:B126)</f>
        <v/>
      </c>
      <c r="C127" s="41">
        <f>SUM(C123:C126)</f>
        <v/>
      </c>
      <c r="D127" s="41">
        <f>SUM(D123:D126)</f>
        <v/>
      </c>
      <c r="E127" s="41">
        <f>SUM(E123:E126)</f>
        <v/>
      </c>
      <c r="F127" s="41">
        <f>SUM(F123:F126)</f>
        <v/>
      </c>
      <c r="G127" s="41">
        <f>SUM(G123:G126)</f>
        <v/>
      </c>
      <c r="H127" s="41">
        <f>SUM(H123:H126)</f>
        <v/>
      </c>
      <c r="I127" s="41">
        <f>SUM(I123:I126)</f>
        <v/>
      </c>
      <c r="J127" s="41">
        <f>SUM(J123:J126)</f>
        <v/>
      </c>
    </row>
    <row r="128">
      <c r="A128" s="3" t="inlineStr">
        <is>
          <t>Growth vs latest month actual</t>
        </is>
      </c>
      <c r="B128" s="11">
        <f>IF(Monthly!M12=0,0,B127/(Monthly!M12-Monthly!M9/MAX(1,Monthly!M11))-1)</f>
        <v/>
      </c>
      <c r="C128" s="11">
        <f>IF(Monthly!M12=0,0,C127/(Monthly!M12-Monthly!M9/MAX(1,Monthly!M11))-1)</f>
        <v/>
      </c>
      <c r="D128" s="11">
        <f>IF(Monthly!M12=0,0,D127/(Monthly!M12-Monthly!M9/MAX(1,Monthly!M11))-1)</f>
        <v/>
      </c>
      <c r="E128" s="11">
        <f>IF(Monthly!M12=0,0,E127/(Monthly!M12-Monthly!M9/MAX(1,Monthly!M11))-1)</f>
        <v/>
      </c>
      <c r="F128" s="11">
        <f>IF(Monthly!M12=0,0,F127/(Monthly!M12-Monthly!M9/MAX(1,Monthly!M11))-1)</f>
        <v/>
      </c>
      <c r="G128" s="11">
        <f>IF(Monthly!M12=0,0,G127/(Monthly!M12-Monthly!M9/MAX(1,Monthly!M11))-1)</f>
        <v/>
      </c>
      <c r="H128" s="11">
        <f>IF(Monthly!M12=0,0,H127/(Monthly!M12-Monthly!M9/MAX(1,Monthly!M11))-1)</f>
        <v/>
      </c>
      <c r="I128" s="11">
        <f>IF(Monthly!M12=0,0,I127/(Monthly!M12-Monthly!M9/MAX(1,Monthly!M11))-1)</f>
        <v/>
      </c>
      <c r="J128" s="11">
        <f>IF(Monthly!M12=0,0,J127/(Monthly!M12-Monthly!M9/MAX(1,Monthly!M11))-1)</f>
        <v/>
      </c>
    </row>
    <row r="129"/>
    <row r="130">
      <c r="A130" s="8" t="inlineStr">
        <is>
          <t>Net revenue ($k)</t>
        </is>
      </c>
      <c r="B130" s="9">
        <f>"Low "&amp;TEXT(EDATE(Data_Params!$B$2,1),"mmm")</f>
        <v/>
      </c>
      <c r="C130" s="9">
        <f>"Low "&amp;TEXT(EDATE(Data_Params!$B$2,2),"mmm")</f>
        <v/>
      </c>
      <c r="D130" s="9">
        <f>"Low "&amp;TEXT(EDATE(Data_Params!$B$2,3),"mmm")</f>
        <v/>
      </c>
      <c r="E130" s="9">
        <f>"Base "&amp;TEXT(EDATE(Data_Params!$B$2,1),"mmm")</f>
        <v/>
      </c>
      <c r="F130" s="9">
        <f>"Base "&amp;TEXT(EDATE(Data_Params!$B$2,2),"mmm")</f>
        <v/>
      </c>
      <c r="G130" s="9">
        <f>"Base "&amp;TEXT(EDATE(Data_Params!$B$2,3),"mmm")</f>
        <v/>
      </c>
      <c r="H130" s="9">
        <f>"High "&amp;TEXT(EDATE(Data_Params!$B$2,1),"mmm")</f>
        <v/>
      </c>
      <c r="I130" s="9">
        <f>"High "&amp;TEXT(EDATE(Data_Params!$B$2,2),"mmm")</f>
        <v/>
      </c>
      <c r="J130" s="9">
        <f>"High "&amp;TEXT(EDATE(Data_Params!$B$2,3),"mmm")</f>
        <v/>
      </c>
    </row>
    <row r="131">
      <c r="A131" s="3" t="inlineStr">
        <is>
          <t>Self-serve</t>
        </is>
      </c>
      <c r="B131" s="21">
        <f>B123*DAY(EOMONTH(Data_Params!$B$2,1))*1000*$C$14/1000</f>
        <v/>
      </c>
      <c r="C131" s="21">
        <f>C123*DAY(EOMONTH(Data_Params!$B$2,2))*1000*$C$14/1000</f>
        <v/>
      </c>
      <c r="D131" s="21">
        <f>D123*DAY(EOMONTH(Data_Params!$B$2,3))*1000*$C$14/1000</f>
        <v/>
      </c>
      <c r="E131" s="21">
        <f>E123*DAY(EOMONTH(Data_Params!$B$2,1))*1000*$C$14/1000</f>
        <v/>
      </c>
      <c r="F131" s="21">
        <f>F123*DAY(EOMONTH(Data_Params!$B$2,2))*1000*$C$14/1000</f>
        <v/>
      </c>
      <c r="G131" s="21">
        <f>G123*DAY(EOMONTH(Data_Params!$B$2,3))*1000*$C$14/1000</f>
        <v/>
      </c>
      <c r="H131" s="21">
        <f>H123*DAY(EOMONTH(Data_Params!$B$2,1))*1000*$C$14/1000</f>
        <v/>
      </c>
      <c r="I131" s="21">
        <f>I123*DAY(EOMONTH(Data_Params!$B$2,2))*1000*$C$14/1000</f>
        <v/>
      </c>
      <c r="J131" s="21">
        <f>J123*DAY(EOMONTH(Data_Params!$B$2,3))*1000*$C$14/1000</f>
        <v/>
      </c>
    </row>
    <row r="132">
      <c r="A132" s="3" t="inlineStr">
        <is>
          <t>Gateways without customer IDs</t>
        </is>
      </c>
      <c r="B132" s="21">
        <f>B124*DAY(EOMONTH(Data_Params!$B$2,1))*1000*$C$15/1000</f>
        <v/>
      </c>
      <c r="C132" s="21">
        <f>C124*DAY(EOMONTH(Data_Params!$B$2,2))*1000*$C$15/1000</f>
        <v/>
      </c>
      <c r="D132" s="21">
        <f>D124*DAY(EOMONTH(Data_Params!$B$2,3))*1000*$C$15/1000</f>
        <v/>
      </c>
      <c r="E132" s="21">
        <f>E124*DAY(EOMONTH(Data_Params!$B$2,1))*1000*$C$15/1000</f>
        <v/>
      </c>
      <c r="F132" s="21">
        <f>F124*DAY(EOMONTH(Data_Params!$B$2,2))*1000*$C$15/1000</f>
        <v/>
      </c>
      <c r="G132" s="21">
        <f>G124*DAY(EOMONTH(Data_Params!$B$2,3))*1000*$C$15/1000</f>
        <v/>
      </c>
      <c r="H132" s="21">
        <f>H124*DAY(EOMONTH(Data_Params!$B$2,1))*1000*$C$15/1000</f>
        <v/>
      </c>
      <c r="I132" s="21">
        <f>I124*DAY(EOMONTH(Data_Params!$B$2,2))*1000*$C$15/1000</f>
        <v/>
      </c>
      <c r="J132" s="21">
        <f>J124*DAY(EOMONTH(Data_Params!$B$2,3))*1000*$C$15/1000</f>
        <v/>
      </c>
    </row>
    <row r="133">
      <c r="A133" s="3" t="inlineStr">
        <is>
          <t>Enterprise, signed</t>
        </is>
      </c>
      <c r="B133" s="21">
        <f>Forecast_Ent!B97/1000</f>
        <v/>
      </c>
      <c r="C133" s="21">
        <f>Forecast_Ent!C97/1000</f>
        <v/>
      </c>
      <c r="D133" s="21">
        <f>Forecast_Ent!D97/1000</f>
        <v/>
      </c>
      <c r="E133" s="21">
        <f>Forecast_Ent!E97/1000</f>
        <v/>
      </c>
      <c r="F133" s="21">
        <f>Forecast_Ent!F97/1000</f>
        <v/>
      </c>
      <c r="G133" s="21">
        <f>Forecast_Ent!G97/1000</f>
        <v/>
      </c>
      <c r="H133" s="21">
        <f>Forecast_Ent!H97/1000</f>
        <v/>
      </c>
      <c r="I133" s="21">
        <f>Forecast_Ent!I97/1000</f>
        <v/>
      </c>
      <c r="J133" s="21">
        <f>Forecast_Ent!J97/1000</f>
        <v/>
      </c>
    </row>
    <row r="134">
      <c r="A134" s="3" t="inlineStr">
        <is>
          <t>Enterprise, pipeline</t>
        </is>
      </c>
      <c r="B134" s="21">
        <f>Forecast_Ent!B145/1000</f>
        <v/>
      </c>
      <c r="C134" s="21">
        <f>Forecast_Ent!C145/1000</f>
        <v/>
      </c>
      <c r="D134" s="21">
        <f>Forecast_Ent!D145/1000</f>
        <v/>
      </c>
      <c r="E134" s="21">
        <f>Forecast_Ent!E145/1000</f>
        <v/>
      </c>
      <c r="F134" s="21">
        <f>Forecast_Ent!F145/1000</f>
        <v/>
      </c>
      <c r="G134" s="21">
        <f>Forecast_Ent!G145/1000</f>
        <v/>
      </c>
      <c r="H134" s="21">
        <f>Forecast_Ent!H145/1000</f>
        <v/>
      </c>
      <c r="I134" s="21">
        <f>Forecast_Ent!I145/1000</f>
        <v/>
      </c>
      <c r="J134" s="21">
        <f>Forecast_Ent!J145/1000</f>
        <v/>
      </c>
    </row>
    <row r="135">
      <c r="A135" s="2" t="inlineStr">
        <is>
          <t>Total net revenue ($k)</t>
        </is>
      </c>
      <c r="B135" s="22">
        <f>SUM(B131:B134)</f>
        <v/>
      </c>
      <c r="C135" s="22">
        <f>SUM(C131:C134)</f>
        <v/>
      </c>
      <c r="D135" s="22">
        <f>SUM(D131:D134)</f>
        <v/>
      </c>
      <c r="E135" s="22">
        <f>SUM(E131:E134)</f>
        <v/>
      </c>
      <c r="F135" s="22">
        <f>SUM(F131:F134)</f>
        <v/>
      </c>
      <c r="G135" s="22">
        <f>SUM(G131:G134)</f>
        <v/>
      </c>
      <c r="H135" s="22">
        <f>SUM(H131:H134)</f>
        <v/>
      </c>
      <c r="I135" s="22">
        <f>SUM(I131:I134)</f>
        <v/>
      </c>
      <c r="J135" s="22">
        <f>SUM(J131:J134)</f>
        <v/>
      </c>
    </row>
    <row r="136"/>
    <row r="137"/>
    <row r="138">
      <c r="A138" s="2" t="inlineStr">
        <is>
          <t>How good was last month's forecast? Latest month actual vs the base forecast stored at the previous close (Data_FcHistory)</t>
        </is>
      </c>
    </row>
    <row r="139">
      <c r="A139" s="8" t="inlineStr">
        <is>
          <t>Tokens per day (B)</t>
        </is>
      </c>
      <c r="B139" s="8" t="inlineStr">
        <is>
          <t>Forecast</t>
        </is>
      </c>
      <c r="C139" s="8" t="inlineStr">
        <is>
          <t>Actual</t>
        </is>
      </c>
      <c r="D139" s="8" t="inlineStr">
        <is>
          <t>Variance</t>
        </is>
      </c>
      <c r="E139" s="8" t="inlineStr">
        <is>
          <t>Variance %</t>
        </is>
      </c>
      <c r="F139" s="8" t="inlineStr">
        <is>
          <t>Flag (&gt;10%)</t>
        </is>
      </c>
    </row>
    <row r="140">
      <c r="A140" s="3" t="inlineStr">
        <is>
          <t>Self-serve</t>
        </is>
      </c>
      <c r="B140" s="24">
        <f>IF(COUNTIFS(Data_FcHistory!$A:$A,EDATE(Data_Params!$B$2,-1),Data_FcHistory!$B:$B,Data_Params!$B$2,Data_FcHistory!$C:$C,"base",Data_FcHistory!$D:$D,"self_serve")=0,"none on file",SUMIFS(Data_FcHistory!$E:$E,Data_FcHistory!$A:$A,EDATE(Data_Params!$B$2,-1),Data_FcHistory!$B:$B,Data_Params!$B$2,Data_FcHistory!$C:$C,"base",Data_FcHistory!$D:$D,"self_serve"))</f>
        <v/>
      </c>
      <c r="C140" s="39">
        <f>Monthly!M14</f>
        <v/>
      </c>
      <c r="D140" s="24">
        <f>IF(ISNUMBER(B140),C140-B140,"")</f>
        <v/>
      </c>
      <c r="E140" s="25">
        <f>IF(AND(ISNUMBER(B140),N(B140)&lt;&gt;0),D140/B140,"")</f>
        <v/>
      </c>
      <c r="F140" s="3">
        <f>IF(E140="","",IF(ABS(E140)&gt;0.1,"FLAG","ok"))</f>
        <v/>
      </c>
    </row>
    <row r="141">
      <c r="A141" s="3" t="inlineStr">
        <is>
          <t>Gateways without customer IDs</t>
        </is>
      </c>
      <c r="B141" s="24">
        <f>IF(COUNTIFS(Data_FcHistory!$A:$A,EDATE(Data_Params!$B$2,-1),Data_FcHistory!$B:$B,Data_Params!$B$2,Data_FcHistory!$C:$C,"base",Data_FcHistory!$D:$D,"gateway_aggregate")=0,"none on file",SUMIFS(Data_FcHistory!$E:$E,Data_FcHistory!$A:$A,EDATE(Data_Params!$B$2,-1),Data_FcHistory!$B:$B,Data_Params!$B$2,Data_FcHistory!$C:$C,"base",Data_FcHistory!$D:$D,"gateway_aggregate"))</f>
        <v/>
      </c>
      <c r="C141" s="39">
        <f>Monthly!M15</f>
        <v/>
      </c>
      <c r="D141" s="24">
        <f>IF(ISNUMBER(B141),C141-B141,"")</f>
        <v/>
      </c>
      <c r="E141" s="25">
        <f>IF(AND(ISNUMBER(B141),N(B141)&lt;&gt;0),D141/B141,"")</f>
        <v/>
      </c>
      <c r="F141" s="3">
        <f>IF(E141="","",IF(ABS(E141)&gt;0.1,"FLAG","ok"))</f>
        <v/>
      </c>
    </row>
    <row r="142">
      <c r="A142" s="3" t="inlineStr">
        <is>
          <t>Enterprise (signed + pipeline)</t>
        </is>
      </c>
      <c r="B142" s="24">
        <f>IF(COUNTIFS(Data_FcHistory!$A:$A,EDATE(Data_Params!$B$2,-1),Data_FcHistory!$B:$B,Data_Params!$B$2,Data_FcHistory!$C:$C,"base",Data_FcHistory!$D:$D,"enterprise")=0,"none on file",SUMIFS(Data_FcHistory!$E:$E,Data_FcHistory!$A:$A,EDATE(Data_Params!$B$2,-1),Data_FcHistory!$B:$B,Data_Params!$B$2,Data_FcHistory!$C:$C,"base",Data_FcHistory!$D:$D,"enterprise"))</f>
        <v/>
      </c>
      <c r="C142" s="39">
        <f>Monthly!M13</f>
        <v/>
      </c>
      <c r="D142" s="24">
        <f>IF(ISNUMBER(B142),C142-B142,"")</f>
        <v/>
      </c>
      <c r="E142" s="25">
        <f>IF(AND(ISNUMBER(B142),N(B142)&lt;&gt;0),D142/B142,"")</f>
        <v/>
      </c>
      <c r="F142" s="3">
        <f>IF(E142="","",IF(ABS(E142)&gt;0.1,"FLAG","ok"))</f>
        <v/>
      </c>
    </row>
    <row r="143">
      <c r="A143" s="2" t="inlineStr">
        <is>
          <t>Total</t>
        </is>
      </c>
      <c r="B143" s="41">
        <f>IF(COUNT(B140:B142)=0,"none on file",SUM(B140:B142))</f>
        <v/>
      </c>
      <c r="C143" s="41">
        <f>SUM(C140:C142)</f>
        <v/>
      </c>
      <c r="D143" s="41">
        <f>IF(ISNUMBER(B143),C143-B143,"")</f>
        <v/>
      </c>
      <c r="E143" s="27">
        <f>IF(AND(ISNUMBER(B143),N(B143)&lt;&gt;0),D143/B143,"")</f>
        <v/>
      </c>
      <c r="F143" s="2">
        <f>IF(E143="","",IF(ABS(E143)&gt;0.1,"FLAG","ok"))</f>
        <v/>
      </c>
    </row>
    <row r="144">
      <c r="A144" s="7" t="inlineStr">
        <is>
          <t>The runner stores each close's forecast in forecast_history.csv. On the first close it reconstructs the previous close's forecast from data (without pipeline, since no old CRM snapshot exists).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14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c r="A1" s="1">
        <f>Data_Params!$B$14&amp;" | Enterprise forecast"</f>
        <v/>
      </c>
    </row>
    <row r="2">
      <c r="A2" s="7" t="inlineStr">
        <is>
          <t>Contracts: last-7-day run-rate ramping toward commitment x usage ratio for young contracts, then monthly growth. Pipeline: probability-weighted with the same ramp.</t>
        </is>
      </c>
    </row>
    <row r="4">
      <c r="A4" s="2" t="inlineStr">
        <is>
          <t>Month helpers</t>
        </is>
      </c>
    </row>
    <row r="5">
      <c r="A5" s="3" t="inlineStr">
        <is>
          <t>Forecast month</t>
        </is>
      </c>
      <c r="B5" s="42">
        <f>EDATE(Data_Params!$B$2,1)</f>
        <v/>
      </c>
      <c r="C5" s="42">
        <f>EDATE(Data_Params!$B$2,2)</f>
        <v/>
      </c>
      <c r="D5" s="42">
        <f>EDATE(Data_Params!$B$2,3)</f>
        <v/>
      </c>
      <c r="F5" s="2" t="inlineStr">
        <is>
          <t>Close date</t>
        </is>
      </c>
    </row>
    <row r="6">
      <c r="A6" s="3" t="inlineStr">
        <is>
          <t>First day</t>
        </is>
      </c>
      <c r="B6" s="30">
        <f>EDATE(Data_Params!$B$2,1)</f>
        <v/>
      </c>
      <c r="C6" s="30">
        <f>EDATE(Data_Params!$B$2,2)</f>
        <v/>
      </c>
      <c r="D6" s="30">
        <f>EDATE(Data_Params!$B$2,3)</f>
        <v/>
      </c>
      <c r="F6" s="30">
        <f>EOMONTH(Data_Params!$B$2,0)</f>
        <v/>
      </c>
    </row>
    <row r="7">
      <c r="A7" s="3" t="inlineStr">
        <is>
          <t>Last day</t>
        </is>
      </c>
      <c r="B7" s="30">
        <f>EOMONTH(B6,0)</f>
        <v/>
      </c>
      <c r="C7" s="30">
        <f>EOMONTH(C6,0)</f>
        <v/>
      </c>
      <c r="D7" s="30">
        <f>EOMONTH(D6,0)</f>
        <v/>
      </c>
      <c r="F7" s="2" t="inlineStr">
        <is>
          <t>List price ($/M)</t>
        </is>
      </c>
    </row>
    <row r="8">
      <c r="A8" s="3" t="inlineStr">
        <is>
          <t>Days</t>
        </is>
      </c>
      <c r="B8" s="23">
        <f>B7-B6+1</f>
        <v/>
      </c>
      <c r="C8" s="23">
        <f>C7-C6+1</f>
        <v/>
      </c>
      <c r="D8" s="23">
        <f>D7-D6+1</f>
        <v/>
      </c>
      <c r="F8" s="13">
        <f>Overrides!$E$25</f>
        <v/>
      </c>
    </row>
    <row r="9">
      <c r="A9" s="3" t="inlineStr">
        <is>
          <t>Months after close</t>
        </is>
      </c>
      <c r="B9" s="23" t="n">
        <v>1</v>
      </c>
      <c r="C9" s="23" t="n">
        <v>2</v>
      </c>
      <c r="D9" s="23" t="n">
        <v>3</v>
      </c>
    </row>
    <row r="11">
      <c r="A11" s="2" t="inlineStr">
        <is>
          <t>Signed contracts: tokens per day (B)</t>
        </is>
      </c>
    </row>
    <row r="12">
      <c r="A12" s="8" t="inlineStr">
        <is>
          <t>Customer</t>
        </is>
      </c>
      <c r="B12" s="8" t="inlineStr">
        <is>
          <t>Start</t>
        </is>
      </c>
      <c r="C12" s="8" t="inlineStr">
        <is>
          <t>End</t>
        </is>
      </c>
      <c r="D12" s="8" t="inlineStr">
        <is>
          <t>Monthly commit ($)</t>
        </is>
      </c>
      <c r="E12" s="8" t="inlineStr">
        <is>
          <t>Price ($/M)</t>
        </is>
      </c>
      <c r="F12" s="8" t="inlineStr">
        <is>
          <t>Age at close (days)</t>
        </is>
      </c>
      <c r="G12" s="8" t="inlineStr">
        <is>
          <t>Last 7 days, tokens/day (B)</t>
        </is>
      </c>
      <c r="H12" s="8" t="inlineStr">
        <is>
          <t>Steady state, low</t>
        </is>
      </c>
      <c r="I12" s="8" t="inlineStr">
        <is>
          <t>Steady state, base</t>
        </is>
      </c>
      <c r="J12" s="8" t="inlineStr">
        <is>
          <t>Steady state, high</t>
        </is>
      </c>
      <c r="K12" s="8" t="inlineStr">
        <is>
          <t>Low M+1</t>
        </is>
      </c>
      <c r="L12" s="8" t="inlineStr">
        <is>
          <t>Low M+2</t>
        </is>
      </c>
      <c r="M12" s="8" t="inlineStr">
        <is>
          <t>Low M+3</t>
        </is>
      </c>
      <c r="N12" s="8" t="inlineStr">
        <is>
          <t>Base M+1</t>
        </is>
      </c>
      <c r="O12" s="8" t="inlineStr">
        <is>
          <t>Base M+2</t>
        </is>
      </c>
      <c r="P12" s="8" t="inlineStr">
        <is>
          <t>Base M+3</t>
        </is>
      </c>
      <c r="Q12" s="8" t="inlineStr">
        <is>
          <t>High M+1</t>
        </is>
      </c>
      <c r="R12" s="8" t="inlineStr">
        <is>
          <t>High M+2</t>
        </is>
      </c>
      <c r="S12" s="8" t="inlineStr">
        <is>
          <t>High M+3</t>
        </is>
      </c>
    </row>
    <row r="13">
      <c r="A13" s="3">
        <f>IF(INDEX(Data_Contracts!$A:$A,1+1)="","",INDEX(Data_Contracts!$A:$A,1+1))</f>
        <v/>
      </c>
      <c r="B13" s="30">
        <f>IF(INDEX(Data_Contracts!$C:$C,1+1)="","",INDEX(Data_Contracts!$C:$C,1+1))</f>
        <v/>
      </c>
      <c r="C13" s="30">
        <f>IF(INDEX(Data_Contracts!$D:$D,1+1)="","",INDEX(Data_Contracts!$D:$D,1+1))</f>
        <v/>
      </c>
      <c r="D13" s="31">
        <f>IF(INDEX(Data_Contracts!$E:$E,1+1)="","",INDEX(Data_Contracts!$E:$E,1+1))</f>
        <v/>
      </c>
      <c r="E13" s="26">
        <f>IF(INDEX(Data_Contracts!$F:$F,1+1)="","",INDEX(Data_Contracts!$F:$F,1+1))</f>
        <v/>
      </c>
      <c r="F13" s="23">
        <f>IF($A13="","",$F$6-$B13)</f>
        <v/>
      </c>
      <c r="G13" s="29">
        <f>IF($A13="",0,N(INDEX(Data_Contracts!$H:$H,1+1)))</f>
        <v/>
      </c>
      <c r="H13" s="29">
        <f>IF(OR($A13="",N($E13)=0),0,$D13/$E13*Forecast!$B$11/30.4/1000)</f>
        <v/>
      </c>
      <c r="I13" s="29">
        <f>IF(OR($A13="",N($E13)=0),0,$D13/$E13*Forecast!$C$11/30.4/1000)</f>
        <v/>
      </c>
      <c r="J13" s="29">
        <f>IF(OR($A13="",N($E13)=0),0,$D13/$E13*Forecast!$D$11/30.4/1000)</f>
        <v/>
      </c>
      <c r="K13" s="29">
        <f>IF(OR($A13="",AND($C13&lt;&gt;"",N($C13)&lt;B$6)),0,IF($F13&lt;Forecast!$C$13,$G13+(H13-$G13)*MIN(1,B$9*30.4/(Forecast!$C$13-$F13)),$G13)*(1+Forecast!$B$12)^B$9)</f>
        <v/>
      </c>
      <c r="L13" s="29">
        <f>IF(OR($A13="",AND($C13&lt;&gt;"",N($C13)&lt;C$6)),0,IF($F13&lt;Forecast!$C$13,$G13+(H13-$G13)*MIN(1,C$9*30.4/(Forecast!$C$13-$F13)),$G13)*(1+Forecast!$B$12)^C$9)</f>
        <v/>
      </c>
      <c r="M13" s="29">
        <f>IF(OR($A13="",AND($C13&lt;&gt;"",N($C13)&lt;D$6)),0,IF($F13&lt;Forecast!$C$13,$G13+(H13-$G13)*MIN(1,D$9*30.4/(Forecast!$C$13-$F13)),$G13)*(1+Forecast!$B$12)^D$9)</f>
        <v/>
      </c>
      <c r="N13" s="29">
        <f>IF(OR($A13="",AND($C13&lt;&gt;"",N($C13)&lt;B$6)),0,IF($F13&lt;Forecast!$C$13,$G13+(I13-$G13)*MIN(1,B$9*30.4/(Forecast!$C$13-$F13)),$G13)*(1+Forecast!$C$12)^B$9)</f>
        <v/>
      </c>
      <c r="O13" s="29">
        <f>IF(OR($A13="",AND($C13&lt;&gt;"",N($C13)&lt;C$6)),0,IF($F13&lt;Forecast!$C$13,$G13+(I13-$G13)*MIN(1,C$9*30.4/(Forecast!$C$13-$F13)),$G13)*(1+Forecast!$C$12)^C$9)</f>
        <v/>
      </c>
      <c r="P13" s="29">
        <f>IF(OR($A13="",AND($C13&lt;&gt;"",N($C13)&lt;D$6)),0,IF($F13&lt;Forecast!$C$13,$G13+(I13-$G13)*MIN(1,D$9*30.4/(Forecast!$C$13-$F13)),$G13)*(1+Forecast!$C$12)^D$9)</f>
        <v/>
      </c>
      <c r="Q13" s="29">
        <f>IF(OR($A13="",AND($C13&lt;&gt;"",N($C13)&lt;B$6)),0,IF($F13&lt;Forecast!$C$13,$G13+(J13-$G13)*MIN(1,B$9*30.4/(Forecast!$C$13-$F13)),$G13)*(1+Forecast!$D$12)^B$9)</f>
        <v/>
      </c>
      <c r="R13" s="29">
        <f>IF(OR($A13="",AND($C13&lt;&gt;"",N($C13)&lt;C$6)),0,IF($F13&lt;Forecast!$C$13,$G13+(J13-$G13)*MIN(1,C$9*30.4/(Forecast!$C$13-$F13)),$G13)*(1+Forecast!$D$12)^C$9)</f>
        <v/>
      </c>
      <c r="S13" s="29">
        <f>IF(OR($A13="",AND($C13&lt;&gt;"",N($C13)&lt;D$6)),0,IF($F13&lt;Forecast!$C$13,$G13+(J13-$G13)*MIN(1,D$9*30.4/(Forecast!$C$13-$F13)),$G13)*(1+Forecast!$D$12)^D$9)</f>
        <v/>
      </c>
    </row>
    <row r="14">
      <c r="A14" s="3">
        <f>IF(INDEX(Data_Contracts!$A:$A,2+1)="","",INDEX(Data_Contracts!$A:$A,2+1))</f>
        <v/>
      </c>
      <c r="B14" s="30">
        <f>IF(INDEX(Data_Contracts!$C:$C,2+1)="","",INDEX(Data_Contracts!$C:$C,2+1))</f>
        <v/>
      </c>
      <c r="C14" s="30">
        <f>IF(INDEX(Data_Contracts!$D:$D,2+1)="","",INDEX(Data_Contracts!$D:$D,2+1))</f>
        <v/>
      </c>
      <c r="D14" s="31">
        <f>IF(INDEX(Data_Contracts!$E:$E,2+1)="","",INDEX(Data_Contracts!$E:$E,2+1))</f>
        <v/>
      </c>
      <c r="E14" s="26">
        <f>IF(INDEX(Data_Contracts!$F:$F,2+1)="","",INDEX(Data_Contracts!$F:$F,2+1))</f>
        <v/>
      </c>
      <c r="F14" s="23">
        <f>IF($A14="","",$F$6-$B14)</f>
        <v/>
      </c>
      <c r="G14" s="29">
        <f>IF($A14="",0,N(INDEX(Data_Contracts!$H:$H,2+1)))</f>
        <v/>
      </c>
      <c r="H14" s="29">
        <f>IF(OR($A14="",N($E14)=0),0,$D14/$E14*Forecast!$B$11/30.4/1000)</f>
        <v/>
      </c>
      <c r="I14" s="29">
        <f>IF(OR($A14="",N($E14)=0),0,$D14/$E14*Forecast!$C$11/30.4/1000)</f>
        <v/>
      </c>
      <c r="J14" s="29">
        <f>IF(OR($A14="",N($E14)=0),0,$D14/$E14*Forecast!$D$11/30.4/1000)</f>
        <v/>
      </c>
      <c r="K14" s="29">
        <f>IF(OR($A14="",AND($C14&lt;&gt;"",N($C14)&lt;B$6)),0,IF($F14&lt;Forecast!$C$13,$G14+(H14-$G14)*MIN(1,B$9*30.4/(Forecast!$C$13-$F14)),$G14)*(1+Forecast!$B$12)^B$9)</f>
        <v/>
      </c>
      <c r="L14" s="29">
        <f>IF(OR($A14="",AND($C14&lt;&gt;"",N($C14)&lt;C$6)),0,IF($F14&lt;Forecast!$C$13,$G14+(H14-$G14)*MIN(1,C$9*30.4/(Forecast!$C$13-$F14)),$G14)*(1+Forecast!$B$12)^C$9)</f>
        <v/>
      </c>
      <c r="M14" s="29">
        <f>IF(OR($A14="",AND($C14&lt;&gt;"",N($C14)&lt;D$6)),0,IF($F14&lt;Forecast!$C$13,$G14+(H14-$G14)*MIN(1,D$9*30.4/(Forecast!$C$13-$F14)),$G14)*(1+Forecast!$B$12)^D$9)</f>
        <v/>
      </c>
      <c r="N14" s="29">
        <f>IF(OR($A14="",AND($C14&lt;&gt;"",N($C14)&lt;B$6)),0,IF($F14&lt;Forecast!$C$13,$G14+(I14-$G14)*MIN(1,B$9*30.4/(Forecast!$C$13-$F14)),$G14)*(1+Forecast!$C$12)^B$9)</f>
        <v/>
      </c>
      <c r="O14" s="29">
        <f>IF(OR($A14="",AND($C14&lt;&gt;"",N($C14)&lt;C$6)),0,IF($F14&lt;Forecast!$C$13,$G14+(I14-$G14)*MIN(1,C$9*30.4/(Forecast!$C$13-$F14)),$G14)*(1+Forecast!$C$12)^C$9)</f>
        <v/>
      </c>
      <c r="P14" s="29">
        <f>IF(OR($A14="",AND($C14&lt;&gt;"",N($C14)&lt;D$6)),0,IF($F14&lt;Forecast!$C$13,$G14+(I14-$G14)*MIN(1,D$9*30.4/(Forecast!$C$13-$F14)),$G14)*(1+Forecast!$C$12)^D$9)</f>
        <v/>
      </c>
      <c r="Q14" s="29">
        <f>IF(OR($A14="",AND($C14&lt;&gt;"",N($C14)&lt;B$6)),0,IF($F14&lt;Forecast!$C$13,$G14+(J14-$G14)*MIN(1,B$9*30.4/(Forecast!$C$13-$F14)),$G14)*(1+Forecast!$D$12)^B$9)</f>
        <v/>
      </c>
      <c r="R14" s="29">
        <f>IF(OR($A14="",AND($C14&lt;&gt;"",N($C14)&lt;C$6)),0,IF($F14&lt;Forecast!$C$13,$G14+(J14-$G14)*MIN(1,C$9*30.4/(Forecast!$C$13-$F14)),$G14)*(1+Forecast!$D$12)^C$9)</f>
        <v/>
      </c>
      <c r="S14" s="29">
        <f>IF(OR($A14="",AND($C14&lt;&gt;"",N($C14)&lt;D$6)),0,IF($F14&lt;Forecast!$C$13,$G14+(J14-$G14)*MIN(1,D$9*30.4/(Forecast!$C$13-$F14)),$G14)*(1+Forecast!$D$12)^D$9)</f>
        <v/>
      </c>
    </row>
    <row r="15">
      <c r="A15" s="3">
        <f>IF(INDEX(Data_Contracts!$A:$A,3+1)="","",INDEX(Data_Contracts!$A:$A,3+1))</f>
        <v/>
      </c>
      <c r="B15" s="30">
        <f>IF(INDEX(Data_Contracts!$C:$C,3+1)="","",INDEX(Data_Contracts!$C:$C,3+1))</f>
        <v/>
      </c>
      <c r="C15" s="30">
        <f>IF(INDEX(Data_Contracts!$D:$D,3+1)="","",INDEX(Data_Contracts!$D:$D,3+1))</f>
        <v/>
      </c>
      <c r="D15" s="31">
        <f>IF(INDEX(Data_Contracts!$E:$E,3+1)="","",INDEX(Data_Contracts!$E:$E,3+1))</f>
        <v/>
      </c>
      <c r="E15" s="26">
        <f>IF(INDEX(Data_Contracts!$F:$F,3+1)="","",INDEX(Data_Contracts!$F:$F,3+1))</f>
        <v/>
      </c>
      <c r="F15" s="23">
        <f>IF($A15="","",$F$6-$B15)</f>
        <v/>
      </c>
      <c r="G15" s="29">
        <f>IF($A15="",0,N(INDEX(Data_Contracts!$H:$H,3+1)))</f>
        <v/>
      </c>
      <c r="H15" s="29">
        <f>IF(OR($A15="",N($E15)=0),0,$D15/$E15*Forecast!$B$11/30.4/1000)</f>
        <v/>
      </c>
      <c r="I15" s="29">
        <f>IF(OR($A15="",N($E15)=0),0,$D15/$E15*Forecast!$C$11/30.4/1000)</f>
        <v/>
      </c>
      <c r="J15" s="29">
        <f>IF(OR($A15="",N($E15)=0),0,$D15/$E15*Forecast!$D$11/30.4/1000)</f>
        <v/>
      </c>
      <c r="K15" s="29">
        <f>IF(OR($A15="",AND($C15&lt;&gt;"",N($C15)&lt;B$6)),0,IF($F15&lt;Forecast!$C$13,$G15+(H15-$G15)*MIN(1,B$9*30.4/(Forecast!$C$13-$F15)),$G15)*(1+Forecast!$B$12)^B$9)</f>
        <v/>
      </c>
      <c r="L15" s="29">
        <f>IF(OR($A15="",AND($C15&lt;&gt;"",N($C15)&lt;C$6)),0,IF($F15&lt;Forecast!$C$13,$G15+(H15-$G15)*MIN(1,C$9*30.4/(Forecast!$C$13-$F15)),$G15)*(1+Forecast!$B$12)^C$9)</f>
        <v/>
      </c>
      <c r="M15" s="29">
        <f>IF(OR($A15="",AND($C15&lt;&gt;"",N($C15)&lt;D$6)),0,IF($F15&lt;Forecast!$C$13,$G15+(H15-$G15)*MIN(1,D$9*30.4/(Forecast!$C$13-$F15)),$G15)*(1+Forecast!$B$12)^D$9)</f>
        <v/>
      </c>
      <c r="N15" s="29">
        <f>IF(OR($A15="",AND($C15&lt;&gt;"",N($C15)&lt;B$6)),0,IF($F15&lt;Forecast!$C$13,$G15+(I15-$G15)*MIN(1,B$9*30.4/(Forecast!$C$13-$F15)),$G15)*(1+Forecast!$C$12)^B$9)</f>
        <v/>
      </c>
      <c r="O15" s="29">
        <f>IF(OR($A15="",AND($C15&lt;&gt;"",N($C15)&lt;C$6)),0,IF($F15&lt;Forecast!$C$13,$G15+(I15-$G15)*MIN(1,C$9*30.4/(Forecast!$C$13-$F15)),$G15)*(1+Forecast!$C$12)^C$9)</f>
        <v/>
      </c>
      <c r="P15" s="29">
        <f>IF(OR($A15="",AND($C15&lt;&gt;"",N($C15)&lt;D$6)),0,IF($F15&lt;Forecast!$C$13,$G15+(I15-$G15)*MIN(1,D$9*30.4/(Forecast!$C$13-$F15)),$G15)*(1+Forecast!$C$12)^D$9)</f>
        <v/>
      </c>
      <c r="Q15" s="29">
        <f>IF(OR($A15="",AND($C15&lt;&gt;"",N($C15)&lt;B$6)),0,IF($F15&lt;Forecast!$C$13,$G15+(J15-$G15)*MIN(1,B$9*30.4/(Forecast!$C$13-$F15)),$G15)*(1+Forecast!$D$12)^B$9)</f>
        <v/>
      </c>
      <c r="R15" s="29">
        <f>IF(OR($A15="",AND($C15&lt;&gt;"",N($C15)&lt;C$6)),0,IF($F15&lt;Forecast!$C$13,$G15+(J15-$G15)*MIN(1,C$9*30.4/(Forecast!$C$13-$F15)),$G15)*(1+Forecast!$D$12)^C$9)</f>
        <v/>
      </c>
      <c r="S15" s="29">
        <f>IF(OR($A15="",AND($C15&lt;&gt;"",N($C15)&lt;D$6)),0,IF($F15&lt;Forecast!$C$13,$G15+(J15-$G15)*MIN(1,D$9*30.4/(Forecast!$C$13-$F15)),$G15)*(1+Forecast!$D$12)^D$9)</f>
        <v/>
      </c>
    </row>
    <row r="16">
      <c r="A16" s="3">
        <f>IF(INDEX(Data_Contracts!$A:$A,4+1)="","",INDEX(Data_Contracts!$A:$A,4+1))</f>
        <v/>
      </c>
      <c r="B16" s="30">
        <f>IF(INDEX(Data_Contracts!$C:$C,4+1)="","",INDEX(Data_Contracts!$C:$C,4+1))</f>
        <v/>
      </c>
      <c r="C16" s="30">
        <f>IF(INDEX(Data_Contracts!$D:$D,4+1)="","",INDEX(Data_Contracts!$D:$D,4+1))</f>
        <v/>
      </c>
      <c r="D16" s="31">
        <f>IF(INDEX(Data_Contracts!$E:$E,4+1)="","",INDEX(Data_Contracts!$E:$E,4+1))</f>
        <v/>
      </c>
      <c r="E16" s="26">
        <f>IF(INDEX(Data_Contracts!$F:$F,4+1)="","",INDEX(Data_Contracts!$F:$F,4+1))</f>
        <v/>
      </c>
      <c r="F16" s="23">
        <f>IF($A16="","",$F$6-$B16)</f>
        <v/>
      </c>
      <c r="G16" s="29">
        <f>IF($A16="",0,N(INDEX(Data_Contracts!$H:$H,4+1)))</f>
        <v/>
      </c>
      <c r="H16" s="29">
        <f>IF(OR($A16="",N($E16)=0),0,$D16/$E16*Forecast!$B$11/30.4/1000)</f>
        <v/>
      </c>
      <c r="I16" s="29">
        <f>IF(OR($A16="",N($E16)=0),0,$D16/$E16*Forecast!$C$11/30.4/1000)</f>
        <v/>
      </c>
      <c r="J16" s="29">
        <f>IF(OR($A16="",N($E16)=0),0,$D16/$E16*Forecast!$D$11/30.4/1000)</f>
        <v/>
      </c>
      <c r="K16" s="29">
        <f>IF(OR($A16="",AND($C16&lt;&gt;"",N($C16)&lt;B$6)),0,IF($F16&lt;Forecast!$C$13,$G16+(H16-$G16)*MIN(1,B$9*30.4/(Forecast!$C$13-$F16)),$G16)*(1+Forecast!$B$12)^B$9)</f>
        <v/>
      </c>
      <c r="L16" s="29">
        <f>IF(OR($A16="",AND($C16&lt;&gt;"",N($C16)&lt;C$6)),0,IF($F16&lt;Forecast!$C$13,$G16+(H16-$G16)*MIN(1,C$9*30.4/(Forecast!$C$13-$F16)),$G16)*(1+Forecast!$B$12)^C$9)</f>
        <v/>
      </c>
      <c r="M16" s="29">
        <f>IF(OR($A16="",AND($C16&lt;&gt;"",N($C16)&lt;D$6)),0,IF($F16&lt;Forecast!$C$13,$G16+(H16-$G16)*MIN(1,D$9*30.4/(Forecast!$C$13-$F16)),$G16)*(1+Forecast!$B$12)^D$9)</f>
        <v/>
      </c>
      <c r="N16" s="29">
        <f>IF(OR($A16="",AND($C16&lt;&gt;"",N($C16)&lt;B$6)),0,IF($F16&lt;Forecast!$C$13,$G16+(I16-$G16)*MIN(1,B$9*30.4/(Forecast!$C$13-$F16)),$G16)*(1+Forecast!$C$12)^B$9)</f>
        <v/>
      </c>
      <c r="O16" s="29">
        <f>IF(OR($A16="",AND($C16&lt;&gt;"",N($C16)&lt;C$6)),0,IF($F16&lt;Forecast!$C$13,$G16+(I16-$G16)*MIN(1,C$9*30.4/(Forecast!$C$13-$F16)),$G16)*(1+Forecast!$C$12)^C$9)</f>
        <v/>
      </c>
      <c r="P16" s="29">
        <f>IF(OR($A16="",AND($C16&lt;&gt;"",N($C16)&lt;D$6)),0,IF($F16&lt;Forecast!$C$13,$G16+(I16-$G16)*MIN(1,D$9*30.4/(Forecast!$C$13-$F16)),$G16)*(1+Forecast!$C$12)^D$9)</f>
        <v/>
      </c>
      <c r="Q16" s="29">
        <f>IF(OR($A16="",AND($C16&lt;&gt;"",N($C16)&lt;B$6)),0,IF($F16&lt;Forecast!$C$13,$G16+(J16-$G16)*MIN(1,B$9*30.4/(Forecast!$C$13-$F16)),$G16)*(1+Forecast!$D$12)^B$9)</f>
        <v/>
      </c>
      <c r="R16" s="29">
        <f>IF(OR($A16="",AND($C16&lt;&gt;"",N($C16)&lt;C$6)),0,IF($F16&lt;Forecast!$C$13,$G16+(J16-$G16)*MIN(1,C$9*30.4/(Forecast!$C$13-$F16)),$G16)*(1+Forecast!$D$12)^C$9)</f>
        <v/>
      </c>
      <c r="S16" s="29">
        <f>IF(OR($A16="",AND($C16&lt;&gt;"",N($C16)&lt;D$6)),0,IF($F16&lt;Forecast!$C$13,$G16+(J16-$G16)*MIN(1,D$9*30.4/(Forecast!$C$13-$F16)),$G16)*(1+Forecast!$D$12)^D$9)</f>
        <v/>
      </c>
    </row>
    <row r="17">
      <c r="A17" s="3">
        <f>IF(INDEX(Data_Contracts!$A:$A,5+1)="","",INDEX(Data_Contracts!$A:$A,5+1))</f>
        <v/>
      </c>
      <c r="B17" s="30">
        <f>IF(INDEX(Data_Contracts!$C:$C,5+1)="","",INDEX(Data_Contracts!$C:$C,5+1))</f>
        <v/>
      </c>
      <c r="C17" s="30">
        <f>IF(INDEX(Data_Contracts!$D:$D,5+1)="","",INDEX(Data_Contracts!$D:$D,5+1))</f>
        <v/>
      </c>
      <c r="D17" s="31">
        <f>IF(INDEX(Data_Contracts!$E:$E,5+1)="","",INDEX(Data_Contracts!$E:$E,5+1))</f>
        <v/>
      </c>
      <c r="E17" s="26">
        <f>IF(INDEX(Data_Contracts!$F:$F,5+1)="","",INDEX(Data_Contracts!$F:$F,5+1))</f>
        <v/>
      </c>
      <c r="F17" s="23">
        <f>IF($A17="","",$F$6-$B17)</f>
        <v/>
      </c>
      <c r="G17" s="29">
        <f>IF($A17="",0,N(INDEX(Data_Contracts!$H:$H,5+1)))</f>
        <v/>
      </c>
      <c r="H17" s="29">
        <f>IF(OR($A17="",N($E17)=0),0,$D17/$E17*Forecast!$B$11/30.4/1000)</f>
        <v/>
      </c>
      <c r="I17" s="29">
        <f>IF(OR($A17="",N($E17)=0),0,$D17/$E17*Forecast!$C$11/30.4/1000)</f>
        <v/>
      </c>
      <c r="J17" s="29">
        <f>IF(OR($A17="",N($E17)=0),0,$D17/$E17*Forecast!$D$11/30.4/1000)</f>
        <v/>
      </c>
      <c r="K17" s="29">
        <f>IF(OR($A17="",AND($C17&lt;&gt;"",N($C17)&lt;B$6)),0,IF($F17&lt;Forecast!$C$13,$G17+(H17-$G17)*MIN(1,B$9*30.4/(Forecast!$C$13-$F17)),$G17)*(1+Forecast!$B$12)^B$9)</f>
        <v/>
      </c>
      <c r="L17" s="29">
        <f>IF(OR($A17="",AND($C17&lt;&gt;"",N($C17)&lt;C$6)),0,IF($F17&lt;Forecast!$C$13,$G17+(H17-$G17)*MIN(1,C$9*30.4/(Forecast!$C$13-$F17)),$G17)*(1+Forecast!$B$12)^C$9)</f>
        <v/>
      </c>
      <c r="M17" s="29">
        <f>IF(OR($A17="",AND($C17&lt;&gt;"",N($C17)&lt;D$6)),0,IF($F17&lt;Forecast!$C$13,$G17+(H17-$G17)*MIN(1,D$9*30.4/(Forecast!$C$13-$F17)),$G17)*(1+Forecast!$B$12)^D$9)</f>
        <v/>
      </c>
      <c r="N17" s="29">
        <f>IF(OR($A17="",AND($C17&lt;&gt;"",N($C17)&lt;B$6)),0,IF($F17&lt;Forecast!$C$13,$G17+(I17-$G17)*MIN(1,B$9*30.4/(Forecast!$C$13-$F17)),$G17)*(1+Forecast!$C$12)^B$9)</f>
        <v/>
      </c>
      <c r="O17" s="29">
        <f>IF(OR($A17="",AND($C17&lt;&gt;"",N($C17)&lt;C$6)),0,IF($F17&lt;Forecast!$C$13,$G17+(I17-$G17)*MIN(1,C$9*30.4/(Forecast!$C$13-$F17)),$G17)*(1+Forecast!$C$12)^C$9)</f>
        <v/>
      </c>
      <c r="P17" s="29">
        <f>IF(OR($A17="",AND($C17&lt;&gt;"",N($C17)&lt;D$6)),0,IF($F17&lt;Forecast!$C$13,$G17+(I17-$G17)*MIN(1,D$9*30.4/(Forecast!$C$13-$F17)),$G17)*(1+Forecast!$C$12)^D$9)</f>
        <v/>
      </c>
      <c r="Q17" s="29">
        <f>IF(OR($A17="",AND($C17&lt;&gt;"",N($C17)&lt;B$6)),0,IF($F17&lt;Forecast!$C$13,$G17+(J17-$G17)*MIN(1,B$9*30.4/(Forecast!$C$13-$F17)),$G17)*(1+Forecast!$D$12)^B$9)</f>
        <v/>
      </c>
      <c r="R17" s="29">
        <f>IF(OR($A17="",AND($C17&lt;&gt;"",N($C17)&lt;C$6)),0,IF($F17&lt;Forecast!$C$13,$G17+(J17-$G17)*MIN(1,C$9*30.4/(Forecast!$C$13-$F17)),$G17)*(1+Forecast!$D$12)^C$9)</f>
        <v/>
      </c>
      <c r="S17" s="29">
        <f>IF(OR($A17="",AND($C17&lt;&gt;"",N($C17)&lt;D$6)),0,IF($F17&lt;Forecast!$C$13,$G17+(J17-$G17)*MIN(1,D$9*30.4/(Forecast!$C$13-$F17)),$G17)*(1+Forecast!$D$12)^D$9)</f>
        <v/>
      </c>
    </row>
    <row r="18">
      <c r="A18" s="3">
        <f>IF(INDEX(Data_Contracts!$A:$A,6+1)="","",INDEX(Data_Contracts!$A:$A,6+1))</f>
        <v/>
      </c>
      <c r="B18" s="30">
        <f>IF(INDEX(Data_Contracts!$C:$C,6+1)="","",INDEX(Data_Contracts!$C:$C,6+1))</f>
        <v/>
      </c>
      <c r="C18" s="30">
        <f>IF(INDEX(Data_Contracts!$D:$D,6+1)="","",INDEX(Data_Contracts!$D:$D,6+1))</f>
        <v/>
      </c>
      <c r="D18" s="31">
        <f>IF(INDEX(Data_Contracts!$E:$E,6+1)="","",INDEX(Data_Contracts!$E:$E,6+1))</f>
        <v/>
      </c>
      <c r="E18" s="26">
        <f>IF(INDEX(Data_Contracts!$F:$F,6+1)="","",INDEX(Data_Contracts!$F:$F,6+1))</f>
        <v/>
      </c>
      <c r="F18" s="23">
        <f>IF($A18="","",$F$6-$B18)</f>
        <v/>
      </c>
      <c r="G18" s="29">
        <f>IF($A18="",0,N(INDEX(Data_Contracts!$H:$H,6+1)))</f>
        <v/>
      </c>
      <c r="H18" s="29">
        <f>IF(OR($A18="",N($E18)=0),0,$D18/$E18*Forecast!$B$11/30.4/1000)</f>
        <v/>
      </c>
      <c r="I18" s="29">
        <f>IF(OR($A18="",N($E18)=0),0,$D18/$E18*Forecast!$C$11/30.4/1000)</f>
        <v/>
      </c>
      <c r="J18" s="29">
        <f>IF(OR($A18="",N($E18)=0),0,$D18/$E18*Forecast!$D$11/30.4/1000)</f>
        <v/>
      </c>
      <c r="K18" s="29">
        <f>IF(OR($A18="",AND($C18&lt;&gt;"",N($C18)&lt;B$6)),0,IF($F18&lt;Forecast!$C$13,$G18+(H18-$G18)*MIN(1,B$9*30.4/(Forecast!$C$13-$F18)),$G18)*(1+Forecast!$B$12)^B$9)</f>
        <v/>
      </c>
      <c r="L18" s="29">
        <f>IF(OR($A18="",AND($C18&lt;&gt;"",N($C18)&lt;C$6)),0,IF($F18&lt;Forecast!$C$13,$G18+(H18-$G18)*MIN(1,C$9*30.4/(Forecast!$C$13-$F18)),$G18)*(1+Forecast!$B$12)^C$9)</f>
        <v/>
      </c>
      <c r="M18" s="29">
        <f>IF(OR($A18="",AND($C18&lt;&gt;"",N($C18)&lt;D$6)),0,IF($F18&lt;Forecast!$C$13,$G18+(H18-$G18)*MIN(1,D$9*30.4/(Forecast!$C$13-$F18)),$G18)*(1+Forecast!$B$12)^D$9)</f>
        <v/>
      </c>
      <c r="N18" s="29">
        <f>IF(OR($A18="",AND($C18&lt;&gt;"",N($C18)&lt;B$6)),0,IF($F18&lt;Forecast!$C$13,$G18+(I18-$G18)*MIN(1,B$9*30.4/(Forecast!$C$13-$F18)),$G18)*(1+Forecast!$C$12)^B$9)</f>
        <v/>
      </c>
      <c r="O18" s="29">
        <f>IF(OR($A18="",AND($C18&lt;&gt;"",N($C18)&lt;C$6)),0,IF($F18&lt;Forecast!$C$13,$G18+(I18-$G18)*MIN(1,C$9*30.4/(Forecast!$C$13-$F18)),$G18)*(1+Forecast!$C$12)^C$9)</f>
        <v/>
      </c>
      <c r="P18" s="29">
        <f>IF(OR($A18="",AND($C18&lt;&gt;"",N($C18)&lt;D$6)),0,IF($F18&lt;Forecast!$C$13,$G18+(I18-$G18)*MIN(1,D$9*30.4/(Forecast!$C$13-$F18)),$G18)*(1+Forecast!$C$12)^D$9)</f>
        <v/>
      </c>
      <c r="Q18" s="29">
        <f>IF(OR($A18="",AND($C18&lt;&gt;"",N($C18)&lt;B$6)),0,IF($F18&lt;Forecast!$C$13,$G18+(J18-$G18)*MIN(1,B$9*30.4/(Forecast!$C$13-$F18)),$G18)*(1+Forecast!$D$12)^B$9)</f>
        <v/>
      </c>
      <c r="R18" s="29">
        <f>IF(OR($A18="",AND($C18&lt;&gt;"",N($C18)&lt;C$6)),0,IF($F18&lt;Forecast!$C$13,$G18+(J18-$G18)*MIN(1,C$9*30.4/(Forecast!$C$13-$F18)),$G18)*(1+Forecast!$D$12)^C$9)</f>
        <v/>
      </c>
      <c r="S18" s="29">
        <f>IF(OR($A18="",AND($C18&lt;&gt;"",N($C18)&lt;D$6)),0,IF($F18&lt;Forecast!$C$13,$G18+(J18-$G18)*MIN(1,D$9*30.4/(Forecast!$C$13-$F18)),$G18)*(1+Forecast!$D$12)^D$9)</f>
        <v/>
      </c>
    </row>
    <row r="19">
      <c r="A19" s="3">
        <f>IF(INDEX(Data_Contracts!$A:$A,7+1)="","",INDEX(Data_Contracts!$A:$A,7+1))</f>
        <v/>
      </c>
      <c r="B19" s="30">
        <f>IF(INDEX(Data_Contracts!$C:$C,7+1)="","",INDEX(Data_Contracts!$C:$C,7+1))</f>
        <v/>
      </c>
      <c r="C19" s="30">
        <f>IF(INDEX(Data_Contracts!$D:$D,7+1)="","",INDEX(Data_Contracts!$D:$D,7+1))</f>
        <v/>
      </c>
      <c r="D19" s="31">
        <f>IF(INDEX(Data_Contracts!$E:$E,7+1)="","",INDEX(Data_Contracts!$E:$E,7+1))</f>
        <v/>
      </c>
      <c r="E19" s="26">
        <f>IF(INDEX(Data_Contracts!$F:$F,7+1)="","",INDEX(Data_Contracts!$F:$F,7+1))</f>
        <v/>
      </c>
      <c r="F19" s="23">
        <f>IF($A19="","",$F$6-$B19)</f>
        <v/>
      </c>
      <c r="G19" s="29">
        <f>IF($A19="",0,N(INDEX(Data_Contracts!$H:$H,7+1)))</f>
        <v/>
      </c>
      <c r="H19" s="29">
        <f>IF(OR($A19="",N($E19)=0),0,$D19/$E19*Forecast!$B$11/30.4/1000)</f>
        <v/>
      </c>
      <c r="I19" s="29">
        <f>IF(OR($A19="",N($E19)=0),0,$D19/$E19*Forecast!$C$11/30.4/1000)</f>
        <v/>
      </c>
      <c r="J19" s="29">
        <f>IF(OR($A19="",N($E19)=0),0,$D19/$E19*Forecast!$D$11/30.4/1000)</f>
        <v/>
      </c>
      <c r="K19" s="29">
        <f>IF(OR($A19="",AND($C19&lt;&gt;"",N($C19)&lt;B$6)),0,IF($F19&lt;Forecast!$C$13,$G19+(H19-$G19)*MIN(1,B$9*30.4/(Forecast!$C$13-$F19)),$G19)*(1+Forecast!$B$12)^B$9)</f>
        <v/>
      </c>
      <c r="L19" s="29">
        <f>IF(OR($A19="",AND($C19&lt;&gt;"",N($C19)&lt;C$6)),0,IF($F19&lt;Forecast!$C$13,$G19+(H19-$G19)*MIN(1,C$9*30.4/(Forecast!$C$13-$F19)),$G19)*(1+Forecast!$B$12)^C$9)</f>
        <v/>
      </c>
      <c r="M19" s="29">
        <f>IF(OR($A19="",AND($C19&lt;&gt;"",N($C19)&lt;D$6)),0,IF($F19&lt;Forecast!$C$13,$G19+(H19-$G19)*MIN(1,D$9*30.4/(Forecast!$C$13-$F19)),$G19)*(1+Forecast!$B$12)^D$9)</f>
        <v/>
      </c>
      <c r="N19" s="29">
        <f>IF(OR($A19="",AND($C19&lt;&gt;"",N($C19)&lt;B$6)),0,IF($F19&lt;Forecast!$C$13,$G19+(I19-$G19)*MIN(1,B$9*30.4/(Forecast!$C$13-$F19)),$G19)*(1+Forecast!$C$12)^B$9)</f>
        <v/>
      </c>
      <c r="O19" s="29">
        <f>IF(OR($A19="",AND($C19&lt;&gt;"",N($C19)&lt;C$6)),0,IF($F19&lt;Forecast!$C$13,$G19+(I19-$G19)*MIN(1,C$9*30.4/(Forecast!$C$13-$F19)),$G19)*(1+Forecast!$C$12)^C$9)</f>
        <v/>
      </c>
      <c r="P19" s="29">
        <f>IF(OR($A19="",AND($C19&lt;&gt;"",N($C19)&lt;D$6)),0,IF($F19&lt;Forecast!$C$13,$G19+(I19-$G19)*MIN(1,D$9*30.4/(Forecast!$C$13-$F19)),$G19)*(1+Forecast!$C$12)^D$9)</f>
        <v/>
      </c>
      <c r="Q19" s="29">
        <f>IF(OR($A19="",AND($C19&lt;&gt;"",N($C19)&lt;B$6)),0,IF($F19&lt;Forecast!$C$13,$G19+(J19-$G19)*MIN(1,B$9*30.4/(Forecast!$C$13-$F19)),$G19)*(1+Forecast!$D$12)^B$9)</f>
        <v/>
      </c>
      <c r="R19" s="29">
        <f>IF(OR($A19="",AND($C19&lt;&gt;"",N($C19)&lt;C$6)),0,IF($F19&lt;Forecast!$C$13,$G19+(J19-$G19)*MIN(1,C$9*30.4/(Forecast!$C$13-$F19)),$G19)*(1+Forecast!$D$12)^C$9)</f>
        <v/>
      </c>
      <c r="S19" s="29">
        <f>IF(OR($A19="",AND($C19&lt;&gt;"",N($C19)&lt;D$6)),0,IF($F19&lt;Forecast!$C$13,$G19+(J19-$G19)*MIN(1,D$9*30.4/(Forecast!$C$13-$F19)),$G19)*(1+Forecast!$D$12)^D$9)</f>
        <v/>
      </c>
    </row>
    <row r="20">
      <c r="A20" s="3">
        <f>IF(INDEX(Data_Contracts!$A:$A,8+1)="","",INDEX(Data_Contracts!$A:$A,8+1))</f>
        <v/>
      </c>
      <c r="B20" s="30">
        <f>IF(INDEX(Data_Contracts!$C:$C,8+1)="","",INDEX(Data_Contracts!$C:$C,8+1))</f>
        <v/>
      </c>
      <c r="C20" s="30">
        <f>IF(INDEX(Data_Contracts!$D:$D,8+1)="","",INDEX(Data_Contracts!$D:$D,8+1))</f>
        <v/>
      </c>
      <c r="D20" s="31">
        <f>IF(INDEX(Data_Contracts!$E:$E,8+1)="","",INDEX(Data_Contracts!$E:$E,8+1))</f>
        <v/>
      </c>
      <c r="E20" s="26">
        <f>IF(INDEX(Data_Contracts!$F:$F,8+1)="","",INDEX(Data_Contracts!$F:$F,8+1))</f>
        <v/>
      </c>
      <c r="F20" s="23">
        <f>IF($A20="","",$F$6-$B20)</f>
        <v/>
      </c>
      <c r="G20" s="29">
        <f>IF($A20="",0,N(INDEX(Data_Contracts!$H:$H,8+1)))</f>
        <v/>
      </c>
      <c r="H20" s="29">
        <f>IF(OR($A20="",N($E20)=0),0,$D20/$E20*Forecast!$B$11/30.4/1000)</f>
        <v/>
      </c>
      <c r="I20" s="29">
        <f>IF(OR($A20="",N($E20)=0),0,$D20/$E20*Forecast!$C$11/30.4/1000)</f>
        <v/>
      </c>
      <c r="J20" s="29">
        <f>IF(OR($A20="",N($E20)=0),0,$D20/$E20*Forecast!$D$11/30.4/1000)</f>
        <v/>
      </c>
      <c r="K20" s="29">
        <f>IF(OR($A20="",AND($C20&lt;&gt;"",N($C20)&lt;B$6)),0,IF($F20&lt;Forecast!$C$13,$G20+(H20-$G20)*MIN(1,B$9*30.4/(Forecast!$C$13-$F20)),$G20)*(1+Forecast!$B$12)^B$9)</f>
        <v/>
      </c>
      <c r="L20" s="29">
        <f>IF(OR($A20="",AND($C20&lt;&gt;"",N($C20)&lt;C$6)),0,IF($F20&lt;Forecast!$C$13,$G20+(H20-$G20)*MIN(1,C$9*30.4/(Forecast!$C$13-$F20)),$G20)*(1+Forecast!$B$12)^C$9)</f>
        <v/>
      </c>
      <c r="M20" s="29">
        <f>IF(OR($A20="",AND($C20&lt;&gt;"",N($C20)&lt;D$6)),0,IF($F20&lt;Forecast!$C$13,$G20+(H20-$G20)*MIN(1,D$9*30.4/(Forecast!$C$13-$F20)),$G20)*(1+Forecast!$B$12)^D$9)</f>
        <v/>
      </c>
      <c r="N20" s="29">
        <f>IF(OR($A20="",AND($C20&lt;&gt;"",N($C20)&lt;B$6)),0,IF($F20&lt;Forecast!$C$13,$G20+(I20-$G20)*MIN(1,B$9*30.4/(Forecast!$C$13-$F20)),$G20)*(1+Forecast!$C$12)^B$9)</f>
        <v/>
      </c>
      <c r="O20" s="29">
        <f>IF(OR($A20="",AND($C20&lt;&gt;"",N($C20)&lt;C$6)),0,IF($F20&lt;Forecast!$C$13,$G20+(I20-$G20)*MIN(1,C$9*30.4/(Forecast!$C$13-$F20)),$G20)*(1+Forecast!$C$12)^C$9)</f>
        <v/>
      </c>
      <c r="P20" s="29">
        <f>IF(OR($A20="",AND($C20&lt;&gt;"",N($C20)&lt;D$6)),0,IF($F20&lt;Forecast!$C$13,$G20+(I20-$G20)*MIN(1,D$9*30.4/(Forecast!$C$13-$F20)),$G20)*(1+Forecast!$C$12)^D$9)</f>
        <v/>
      </c>
      <c r="Q20" s="29">
        <f>IF(OR($A20="",AND($C20&lt;&gt;"",N($C20)&lt;B$6)),0,IF($F20&lt;Forecast!$C$13,$G20+(J20-$G20)*MIN(1,B$9*30.4/(Forecast!$C$13-$F20)),$G20)*(1+Forecast!$D$12)^B$9)</f>
        <v/>
      </c>
      <c r="R20" s="29">
        <f>IF(OR($A20="",AND($C20&lt;&gt;"",N($C20)&lt;C$6)),0,IF($F20&lt;Forecast!$C$13,$G20+(J20-$G20)*MIN(1,C$9*30.4/(Forecast!$C$13-$F20)),$G20)*(1+Forecast!$D$12)^C$9)</f>
        <v/>
      </c>
      <c r="S20" s="29">
        <f>IF(OR($A20="",AND($C20&lt;&gt;"",N($C20)&lt;D$6)),0,IF($F20&lt;Forecast!$C$13,$G20+(J20-$G20)*MIN(1,D$9*30.4/(Forecast!$C$13-$F20)),$G20)*(1+Forecast!$D$12)^D$9)</f>
        <v/>
      </c>
    </row>
    <row r="21">
      <c r="A21" s="3">
        <f>IF(INDEX(Data_Contracts!$A:$A,9+1)="","",INDEX(Data_Contracts!$A:$A,9+1))</f>
        <v/>
      </c>
      <c r="B21" s="30">
        <f>IF(INDEX(Data_Contracts!$C:$C,9+1)="","",INDEX(Data_Contracts!$C:$C,9+1))</f>
        <v/>
      </c>
      <c r="C21" s="30">
        <f>IF(INDEX(Data_Contracts!$D:$D,9+1)="","",INDEX(Data_Contracts!$D:$D,9+1))</f>
        <v/>
      </c>
      <c r="D21" s="31">
        <f>IF(INDEX(Data_Contracts!$E:$E,9+1)="","",INDEX(Data_Contracts!$E:$E,9+1))</f>
        <v/>
      </c>
      <c r="E21" s="26">
        <f>IF(INDEX(Data_Contracts!$F:$F,9+1)="","",INDEX(Data_Contracts!$F:$F,9+1))</f>
        <v/>
      </c>
      <c r="F21" s="23">
        <f>IF($A21="","",$F$6-$B21)</f>
        <v/>
      </c>
      <c r="G21" s="29">
        <f>IF($A21="",0,N(INDEX(Data_Contracts!$H:$H,9+1)))</f>
        <v/>
      </c>
      <c r="H21" s="29">
        <f>IF(OR($A21="",N($E21)=0),0,$D21/$E21*Forecast!$B$11/30.4/1000)</f>
        <v/>
      </c>
      <c r="I21" s="29">
        <f>IF(OR($A21="",N($E21)=0),0,$D21/$E21*Forecast!$C$11/30.4/1000)</f>
        <v/>
      </c>
      <c r="J21" s="29">
        <f>IF(OR($A21="",N($E21)=0),0,$D21/$E21*Forecast!$D$11/30.4/1000)</f>
        <v/>
      </c>
      <c r="K21" s="29">
        <f>IF(OR($A21="",AND($C21&lt;&gt;"",N($C21)&lt;B$6)),0,IF($F21&lt;Forecast!$C$13,$G21+(H21-$G21)*MIN(1,B$9*30.4/(Forecast!$C$13-$F21)),$G21)*(1+Forecast!$B$12)^B$9)</f>
        <v/>
      </c>
      <c r="L21" s="29">
        <f>IF(OR($A21="",AND($C21&lt;&gt;"",N($C21)&lt;C$6)),0,IF($F21&lt;Forecast!$C$13,$G21+(H21-$G21)*MIN(1,C$9*30.4/(Forecast!$C$13-$F21)),$G21)*(1+Forecast!$B$12)^C$9)</f>
        <v/>
      </c>
      <c r="M21" s="29">
        <f>IF(OR($A21="",AND($C21&lt;&gt;"",N($C21)&lt;D$6)),0,IF($F21&lt;Forecast!$C$13,$G21+(H21-$G21)*MIN(1,D$9*30.4/(Forecast!$C$13-$F21)),$G21)*(1+Forecast!$B$12)^D$9)</f>
        <v/>
      </c>
      <c r="N21" s="29">
        <f>IF(OR($A21="",AND($C21&lt;&gt;"",N($C21)&lt;B$6)),0,IF($F21&lt;Forecast!$C$13,$G21+(I21-$G21)*MIN(1,B$9*30.4/(Forecast!$C$13-$F21)),$G21)*(1+Forecast!$C$12)^B$9)</f>
        <v/>
      </c>
      <c r="O21" s="29">
        <f>IF(OR($A21="",AND($C21&lt;&gt;"",N($C21)&lt;C$6)),0,IF($F21&lt;Forecast!$C$13,$G21+(I21-$G21)*MIN(1,C$9*30.4/(Forecast!$C$13-$F21)),$G21)*(1+Forecast!$C$12)^C$9)</f>
        <v/>
      </c>
      <c r="P21" s="29">
        <f>IF(OR($A21="",AND($C21&lt;&gt;"",N($C21)&lt;D$6)),0,IF($F21&lt;Forecast!$C$13,$G21+(I21-$G21)*MIN(1,D$9*30.4/(Forecast!$C$13-$F21)),$G21)*(1+Forecast!$C$12)^D$9)</f>
        <v/>
      </c>
      <c r="Q21" s="29">
        <f>IF(OR($A21="",AND($C21&lt;&gt;"",N($C21)&lt;B$6)),0,IF($F21&lt;Forecast!$C$13,$G21+(J21-$G21)*MIN(1,B$9*30.4/(Forecast!$C$13-$F21)),$G21)*(1+Forecast!$D$12)^B$9)</f>
        <v/>
      </c>
      <c r="R21" s="29">
        <f>IF(OR($A21="",AND($C21&lt;&gt;"",N($C21)&lt;C$6)),0,IF($F21&lt;Forecast!$C$13,$G21+(J21-$G21)*MIN(1,C$9*30.4/(Forecast!$C$13-$F21)),$G21)*(1+Forecast!$D$12)^C$9)</f>
        <v/>
      </c>
      <c r="S21" s="29">
        <f>IF(OR($A21="",AND($C21&lt;&gt;"",N($C21)&lt;D$6)),0,IF($F21&lt;Forecast!$C$13,$G21+(J21-$G21)*MIN(1,D$9*30.4/(Forecast!$C$13-$F21)),$G21)*(1+Forecast!$D$12)^D$9)</f>
        <v/>
      </c>
    </row>
    <row r="22">
      <c r="A22" s="3">
        <f>IF(INDEX(Data_Contracts!$A:$A,10+1)="","",INDEX(Data_Contracts!$A:$A,10+1))</f>
        <v/>
      </c>
      <c r="B22" s="30">
        <f>IF(INDEX(Data_Contracts!$C:$C,10+1)="","",INDEX(Data_Contracts!$C:$C,10+1))</f>
        <v/>
      </c>
      <c r="C22" s="30">
        <f>IF(INDEX(Data_Contracts!$D:$D,10+1)="","",INDEX(Data_Contracts!$D:$D,10+1))</f>
        <v/>
      </c>
      <c r="D22" s="31">
        <f>IF(INDEX(Data_Contracts!$E:$E,10+1)="","",INDEX(Data_Contracts!$E:$E,10+1))</f>
        <v/>
      </c>
      <c r="E22" s="26">
        <f>IF(INDEX(Data_Contracts!$F:$F,10+1)="","",INDEX(Data_Contracts!$F:$F,10+1))</f>
        <v/>
      </c>
      <c r="F22" s="23">
        <f>IF($A22="","",$F$6-$B22)</f>
        <v/>
      </c>
      <c r="G22" s="29">
        <f>IF($A22="",0,N(INDEX(Data_Contracts!$H:$H,10+1)))</f>
        <v/>
      </c>
      <c r="H22" s="29">
        <f>IF(OR($A22="",N($E22)=0),0,$D22/$E22*Forecast!$B$11/30.4/1000)</f>
        <v/>
      </c>
      <c r="I22" s="29">
        <f>IF(OR($A22="",N($E22)=0),0,$D22/$E22*Forecast!$C$11/30.4/1000)</f>
        <v/>
      </c>
      <c r="J22" s="29">
        <f>IF(OR($A22="",N($E22)=0),0,$D22/$E22*Forecast!$D$11/30.4/1000)</f>
        <v/>
      </c>
      <c r="K22" s="29">
        <f>IF(OR($A22="",AND($C22&lt;&gt;"",N($C22)&lt;B$6)),0,IF($F22&lt;Forecast!$C$13,$G22+(H22-$G22)*MIN(1,B$9*30.4/(Forecast!$C$13-$F22)),$G22)*(1+Forecast!$B$12)^B$9)</f>
        <v/>
      </c>
      <c r="L22" s="29">
        <f>IF(OR($A22="",AND($C22&lt;&gt;"",N($C22)&lt;C$6)),0,IF($F22&lt;Forecast!$C$13,$G22+(H22-$G22)*MIN(1,C$9*30.4/(Forecast!$C$13-$F22)),$G22)*(1+Forecast!$B$12)^C$9)</f>
        <v/>
      </c>
      <c r="M22" s="29">
        <f>IF(OR($A22="",AND($C22&lt;&gt;"",N($C22)&lt;D$6)),0,IF($F22&lt;Forecast!$C$13,$G22+(H22-$G22)*MIN(1,D$9*30.4/(Forecast!$C$13-$F22)),$G22)*(1+Forecast!$B$12)^D$9)</f>
        <v/>
      </c>
      <c r="N22" s="29">
        <f>IF(OR($A22="",AND($C22&lt;&gt;"",N($C22)&lt;B$6)),0,IF($F22&lt;Forecast!$C$13,$G22+(I22-$G22)*MIN(1,B$9*30.4/(Forecast!$C$13-$F22)),$G22)*(1+Forecast!$C$12)^B$9)</f>
        <v/>
      </c>
      <c r="O22" s="29">
        <f>IF(OR($A22="",AND($C22&lt;&gt;"",N($C22)&lt;C$6)),0,IF($F22&lt;Forecast!$C$13,$G22+(I22-$G22)*MIN(1,C$9*30.4/(Forecast!$C$13-$F22)),$G22)*(1+Forecast!$C$12)^C$9)</f>
        <v/>
      </c>
      <c r="P22" s="29">
        <f>IF(OR($A22="",AND($C22&lt;&gt;"",N($C22)&lt;D$6)),0,IF($F22&lt;Forecast!$C$13,$G22+(I22-$G22)*MIN(1,D$9*30.4/(Forecast!$C$13-$F22)),$G22)*(1+Forecast!$C$12)^D$9)</f>
        <v/>
      </c>
      <c r="Q22" s="29">
        <f>IF(OR($A22="",AND($C22&lt;&gt;"",N($C22)&lt;B$6)),0,IF($F22&lt;Forecast!$C$13,$G22+(J22-$G22)*MIN(1,B$9*30.4/(Forecast!$C$13-$F22)),$G22)*(1+Forecast!$D$12)^B$9)</f>
        <v/>
      </c>
      <c r="R22" s="29">
        <f>IF(OR($A22="",AND($C22&lt;&gt;"",N($C22)&lt;C$6)),0,IF($F22&lt;Forecast!$C$13,$G22+(J22-$G22)*MIN(1,C$9*30.4/(Forecast!$C$13-$F22)),$G22)*(1+Forecast!$D$12)^C$9)</f>
        <v/>
      </c>
      <c r="S22" s="29">
        <f>IF(OR($A22="",AND($C22&lt;&gt;"",N($C22)&lt;D$6)),0,IF($F22&lt;Forecast!$C$13,$G22+(J22-$G22)*MIN(1,D$9*30.4/(Forecast!$C$13-$F22)),$G22)*(1+Forecast!$D$12)^D$9)</f>
        <v/>
      </c>
    </row>
    <row r="23">
      <c r="A23" s="3">
        <f>IF(INDEX(Data_Contracts!$A:$A,11+1)="","",INDEX(Data_Contracts!$A:$A,11+1))</f>
        <v/>
      </c>
      <c r="B23" s="30">
        <f>IF(INDEX(Data_Contracts!$C:$C,11+1)="","",INDEX(Data_Contracts!$C:$C,11+1))</f>
        <v/>
      </c>
      <c r="C23" s="30">
        <f>IF(INDEX(Data_Contracts!$D:$D,11+1)="","",INDEX(Data_Contracts!$D:$D,11+1))</f>
        <v/>
      </c>
      <c r="D23" s="31">
        <f>IF(INDEX(Data_Contracts!$E:$E,11+1)="","",INDEX(Data_Contracts!$E:$E,11+1))</f>
        <v/>
      </c>
      <c r="E23" s="26">
        <f>IF(INDEX(Data_Contracts!$F:$F,11+1)="","",INDEX(Data_Contracts!$F:$F,11+1))</f>
        <v/>
      </c>
      <c r="F23" s="23">
        <f>IF($A23="","",$F$6-$B23)</f>
        <v/>
      </c>
      <c r="G23" s="29">
        <f>IF($A23="",0,N(INDEX(Data_Contracts!$H:$H,11+1)))</f>
        <v/>
      </c>
      <c r="H23" s="29">
        <f>IF(OR($A23="",N($E23)=0),0,$D23/$E23*Forecast!$B$11/30.4/1000)</f>
        <v/>
      </c>
      <c r="I23" s="29">
        <f>IF(OR($A23="",N($E23)=0),0,$D23/$E23*Forecast!$C$11/30.4/1000)</f>
        <v/>
      </c>
      <c r="J23" s="29">
        <f>IF(OR($A23="",N($E23)=0),0,$D23/$E23*Forecast!$D$11/30.4/1000)</f>
        <v/>
      </c>
      <c r="K23" s="29">
        <f>IF(OR($A23="",AND($C23&lt;&gt;"",N($C23)&lt;B$6)),0,IF($F23&lt;Forecast!$C$13,$G23+(H23-$G23)*MIN(1,B$9*30.4/(Forecast!$C$13-$F23)),$G23)*(1+Forecast!$B$12)^B$9)</f>
        <v/>
      </c>
      <c r="L23" s="29">
        <f>IF(OR($A23="",AND($C23&lt;&gt;"",N($C23)&lt;C$6)),0,IF($F23&lt;Forecast!$C$13,$G23+(H23-$G23)*MIN(1,C$9*30.4/(Forecast!$C$13-$F23)),$G23)*(1+Forecast!$B$12)^C$9)</f>
        <v/>
      </c>
      <c r="M23" s="29">
        <f>IF(OR($A23="",AND($C23&lt;&gt;"",N($C23)&lt;D$6)),0,IF($F23&lt;Forecast!$C$13,$G23+(H23-$G23)*MIN(1,D$9*30.4/(Forecast!$C$13-$F23)),$G23)*(1+Forecast!$B$12)^D$9)</f>
        <v/>
      </c>
      <c r="N23" s="29">
        <f>IF(OR($A23="",AND($C23&lt;&gt;"",N($C23)&lt;B$6)),0,IF($F23&lt;Forecast!$C$13,$G23+(I23-$G23)*MIN(1,B$9*30.4/(Forecast!$C$13-$F23)),$G23)*(1+Forecast!$C$12)^B$9)</f>
        <v/>
      </c>
      <c r="O23" s="29">
        <f>IF(OR($A23="",AND($C23&lt;&gt;"",N($C23)&lt;C$6)),0,IF($F23&lt;Forecast!$C$13,$G23+(I23-$G23)*MIN(1,C$9*30.4/(Forecast!$C$13-$F23)),$G23)*(1+Forecast!$C$12)^C$9)</f>
        <v/>
      </c>
      <c r="P23" s="29">
        <f>IF(OR($A23="",AND($C23&lt;&gt;"",N($C23)&lt;D$6)),0,IF($F23&lt;Forecast!$C$13,$G23+(I23-$G23)*MIN(1,D$9*30.4/(Forecast!$C$13-$F23)),$G23)*(1+Forecast!$C$12)^D$9)</f>
        <v/>
      </c>
      <c r="Q23" s="29">
        <f>IF(OR($A23="",AND($C23&lt;&gt;"",N($C23)&lt;B$6)),0,IF($F23&lt;Forecast!$C$13,$G23+(J23-$G23)*MIN(1,B$9*30.4/(Forecast!$C$13-$F23)),$G23)*(1+Forecast!$D$12)^B$9)</f>
        <v/>
      </c>
      <c r="R23" s="29">
        <f>IF(OR($A23="",AND($C23&lt;&gt;"",N($C23)&lt;C$6)),0,IF($F23&lt;Forecast!$C$13,$G23+(J23-$G23)*MIN(1,C$9*30.4/(Forecast!$C$13-$F23)),$G23)*(1+Forecast!$D$12)^C$9)</f>
        <v/>
      </c>
      <c r="S23" s="29">
        <f>IF(OR($A23="",AND($C23&lt;&gt;"",N($C23)&lt;D$6)),0,IF($F23&lt;Forecast!$C$13,$G23+(J23-$G23)*MIN(1,D$9*30.4/(Forecast!$C$13-$F23)),$G23)*(1+Forecast!$D$12)^D$9)</f>
        <v/>
      </c>
    </row>
    <row r="24">
      <c r="A24" s="3">
        <f>IF(INDEX(Data_Contracts!$A:$A,12+1)="","",INDEX(Data_Contracts!$A:$A,12+1))</f>
        <v/>
      </c>
      <c r="B24" s="30">
        <f>IF(INDEX(Data_Contracts!$C:$C,12+1)="","",INDEX(Data_Contracts!$C:$C,12+1))</f>
        <v/>
      </c>
      <c r="C24" s="30">
        <f>IF(INDEX(Data_Contracts!$D:$D,12+1)="","",INDEX(Data_Contracts!$D:$D,12+1))</f>
        <v/>
      </c>
      <c r="D24" s="31">
        <f>IF(INDEX(Data_Contracts!$E:$E,12+1)="","",INDEX(Data_Contracts!$E:$E,12+1))</f>
        <v/>
      </c>
      <c r="E24" s="26">
        <f>IF(INDEX(Data_Contracts!$F:$F,12+1)="","",INDEX(Data_Contracts!$F:$F,12+1))</f>
        <v/>
      </c>
      <c r="F24" s="23">
        <f>IF($A24="","",$F$6-$B24)</f>
        <v/>
      </c>
      <c r="G24" s="29">
        <f>IF($A24="",0,N(INDEX(Data_Contracts!$H:$H,12+1)))</f>
        <v/>
      </c>
      <c r="H24" s="29">
        <f>IF(OR($A24="",N($E24)=0),0,$D24/$E24*Forecast!$B$11/30.4/1000)</f>
        <v/>
      </c>
      <c r="I24" s="29">
        <f>IF(OR($A24="",N($E24)=0),0,$D24/$E24*Forecast!$C$11/30.4/1000)</f>
        <v/>
      </c>
      <c r="J24" s="29">
        <f>IF(OR($A24="",N($E24)=0),0,$D24/$E24*Forecast!$D$11/30.4/1000)</f>
        <v/>
      </c>
      <c r="K24" s="29">
        <f>IF(OR($A24="",AND($C24&lt;&gt;"",N($C24)&lt;B$6)),0,IF($F24&lt;Forecast!$C$13,$G24+(H24-$G24)*MIN(1,B$9*30.4/(Forecast!$C$13-$F24)),$G24)*(1+Forecast!$B$12)^B$9)</f>
        <v/>
      </c>
      <c r="L24" s="29">
        <f>IF(OR($A24="",AND($C24&lt;&gt;"",N($C24)&lt;C$6)),0,IF($F24&lt;Forecast!$C$13,$G24+(H24-$G24)*MIN(1,C$9*30.4/(Forecast!$C$13-$F24)),$G24)*(1+Forecast!$B$12)^C$9)</f>
        <v/>
      </c>
      <c r="M24" s="29">
        <f>IF(OR($A24="",AND($C24&lt;&gt;"",N($C24)&lt;D$6)),0,IF($F24&lt;Forecast!$C$13,$G24+(H24-$G24)*MIN(1,D$9*30.4/(Forecast!$C$13-$F24)),$G24)*(1+Forecast!$B$12)^D$9)</f>
        <v/>
      </c>
      <c r="N24" s="29">
        <f>IF(OR($A24="",AND($C24&lt;&gt;"",N($C24)&lt;B$6)),0,IF($F24&lt;Forecast!$C$13,$G24+(I24-$G24)*MIN(1,B$9*30.4/(Forecast!$C$13-$F24)),$G24)*(1+Forecast!$C$12)^B$9)</f>
        <v/>
      </c>
      <c r="O24" s="29">
        <f>IF(OR($A24="",AND($C24&lt;&gt;"",N($C24)&lt;C$6)),0,IF($F24&lt;Forecast!$C$13,$G24+(I24-$G24)*MIN(1,C$9*30.4/(Forecast!$C$13-$F24)),$G24)*(1+Forecast!$C$12)^C$9)</f>
        <v/>
      </c>
      <c r="P24" s="29">
        <f>IF(OR($A24="",AND($C24&lt;&gt;"",N($C24)&lt;D$6)),0,IF($F24&lt;Forecast!$C$13,$G24+(I24-$G24)*MIN(1,D$9*30.4/(Forecast!$C$13-$F24)),$G24)*(1+Forecast!$C$12)^D$9)</f>
        <v/>
      </c>
      <c r="Q24" s="29">
        <f>IF(OR($A24="",AND($C24&lt;&gt;"",N($C24)&lt;B$6)),0,IF($F24&lt;Forecast!$C$13,$G24+(J24-$G24)*MIN(1,B$9*30.4/(Forecast!$C$13-$F24)),$G24)*(1+Forecast!$D$12)^B$9)</f>
        <v/>
      </c>
      <c r="R24" s="29">
        <f>IF(OR($A24="",AND($C24&lt;&gt;"",N($C24)&lt;C$6)),0,IF($F24&lt;Forecast!$C$13,$G24+(J24-$G24)*MIN(1,C$9*30.4/(Forecast!$C$13-$F24)),$G24)*(1+Forecast!$D$12)^C$9)</f>
        <v/>
      </c>
      <c r="S24" s="29">
        <f>IF(OR($A24="",AND($C24&lt;&gt;"",N($C24)&lt;D$6)),0,IF($F24&lt;Forecast!$C$13,$G24+(J24-$G24)*MIN(1,D$9*30.4/(Forecast!$C$13-$F24)),$G24)*(1+Forecast!$D$12)^D$9)</f>
        <v/>
      </c>
    </row>
    <row r="25">
      <c r="A25" s="3">
        <f>IF(INDEX(Data_Contracts!$A:$A,13+1)="","",INDEX(Data_Contracts!$A:$A,13+1))</f>
        <v/>
      </c>
      <c r="B25" s="30">
        <f>IF(INDEX(Data_Contracts!$C:$C,13+1)="","",INDEX(Data_Contracts!$C:$C,13+1))</f>
        <v/>
      </c>
      <c r="C25" s="30">
        <f>IF(INDEX(Data_Contracts!$D:$D,13+1)="","",INDEX(Data_Contracts!$D:$D,13+1))</f>
        <v/>
      </c>
      <c r="D25" s="31">
        <f>IF(INDEX(Data_Contracts!$E:$E,13+1)="","",INDEX(Data_Contracts!$E:$E,13+1))</f>
        <v/>
      </c>
      <c r="E25" s="26">
        <f>IF(INDEX(Data_Contracts!$F:$F,13+1)="","",INDEX(Data_Contracts!$F:$F,13+1))</f>
        <v/>
      </c>
      <c r="F25" s="23">
        <f>IF($A25="","",$F$6-$B25)</f>
        <v/>
      </c>
      <c r="G25" s="29">
        <f>IF($A25="",0,N(INDEX(Data_Contracts!$H:$H,13+1)))</f>
        <v/>
      </c>
      <c r="H25" s="29">
        <f>IF(OR($A25="",N($E25)=0),0,$D25/$E25*Forecast!$B$11/30.4/1000)</f>
        <v/>
      </c>
      <c r="I25" s="29">
        <f>IF(OR($A25="",N($E25)=0),0,$D25/$E25*Forecast!$C$11/30.4/1000)</f>
        <v/>
      </c>
      <c r="J25" s="29">
        <f>IF(OR($A25="",N($E25)=0),0,$D25/$E25*Forecast!$D$11/30.4/1000)</f>
        <v/>
      </c>
      <c r="K25" s="29">
        <f>IF(OR($A25="",AND($C25&lt;&gt;"",N($C25)&lt;B$6)),0,IF($F25&lt;Forecast!$C$13,$G25+(H25-$G25)*MIN(1,B$9*30.4/(Forecast!$C$13-$F25)),$G25)*(1+Forecast!$B$12)^B$9)</f>
        <v/>
      </c>
      <c r="L25" s="29">
        <f>IF(OR($A25="",AND($C25&lt;&gt;"",N($C25)&lt;C$6)),0,IF($F25&lt;Forecast!$C$13,$G25+(H25-$G25)*MIN(1,C$9*30.4/(Forecast!$C$13-$F25)),$G25)*(1+Forecast!$B$12)^C$9)</f>
        <v/>
      </c>
      <c r="M25" s="29">
        <f>IF(OR($A25="",AND($C25&lt;&gt;"",N($C25)&lt;D$6)),0,IF($F25&lt;Forecast!$C$13,$G25+(H25-$G25)*MIN(1,D$9*30.4/(Forecast!$C$13-$F25)),$G25)*(1+Forecast!$B$12)^D$9)</f>
        <v/>
      </c>
      <c r="N25" s="29">
        <f>IF(OR($A25="",AND($C25&lt;&gt;"",N($C25)&lt;B$6)),0,IF($F25&lt;Forecast!$C$13,$G25+(I25-$G25)*MIN(1,B$9*30.4/(Forecast!$C$13-$F25)),$G25)*(1+Forecast!$C$12)^B$9)</f>
        <v/>
      </c>
      <c r="O25" s="29">
        <f>IF(OR($A25="",AND($C25&lt;&gt;"",N($C25)&lt;C$6)),0,IF($F25&lt;Forecast!$C$13,$G25+(I25-$G25)*MIN(1,C$9*30.4/(Forecast!$C$13-$F25)),$G25)*(1+Forecast!$C$12)^C$9)</f>
        <v/>
      </c>
      <c r="P25" s="29">
        <f>IF(OR($A25="",AND($C25&lt;&gt;"",N($C25)&lt;D$6)),0,IF($F25&lt;Forecast!$C$13,$G25+(I25-$G25)*MIN(1,D$9*30.4/(Forecast!$C$13-$F25)),$G25)*(1+Forecast!$C$12)^D$9)</f>
        <v/>
      </c>
      <c r="Q25" s="29">
        <f>IF(OR($A25="",AND($C25&lt;&gt;"",N($C25)&lt;B$6)),0,IF($F25&lt;Forecast!$C$13,$G25+(J25-$G25)*MIN(1,B$9*30.4/(Forecast!$C$13-$F25)),$G25)*(1+Forecast!$D$12)^B$9)</f>
        <v/>
      </c>
      <c r="R25" s="29">
        <f>IF(OR($A25="",AND($C25&lt;&gt;"",N($C25)&lt;C$6)),0,IF($F25&lt;Forecast!$C$13,$G25+(J25-$G25)*MIN(1,C$9*30.4/(Forecast!$C$13-$F25)),$G25)*(1+Forecast!$D$12)^C$9)</f>
        <v/>
      </c>
      <c r="S25" s="29">
        <f>IF(OR($A25="",AND($C25&lt;&gt;"",N($C25)&lt;D$6)),0,IF($F25&lt;Forecast!$C$13,$G25+(J25-$G25)*MIN(1,D$9*30.4/(Forecast!$C$13-$F25)),$G25)*(1+Forecast!$D$12)^D$9)</f>
        <v/>
      </c>
    </row>
    <row r="26">
      <c r="A26" s="3">
        <f>IF(INDEX(Data_Contracts!$A:$A,14+1)="","",INDEX(Data_Contracts!$A:$A,14+1))</f>
        <v/>
      </c>
      <c r="B26" s="30">
        <f>IF(INDEX(Data_Contracts!$C:$C,14+1)="","",INDEX(Data_Contracts!$C:$C,14+1))</f>
        <v/>
      </c>
      <c r="C26" s="30">
        <f>IF(INDEX(Data_Contracts!$D:$D,14+1)="","",INDEX(Data_Contracts!$D:$D,14+1))</f>
        <v/>
      </c>
      <c r="D26" s="31">
        <f>IF(INDEX(Data_Contracts!$E:$E,14+1)="","",INDEX(Data_Contracts!$E:$E,14+1))</f>
        <v/>
      </c>
      <c r="E26" s="26">
        <f>IF(INDEX(Data_Contracts!$F:$F,14+1)="","",INDEX(Data_Contracts!$F:$F,14+1))</f>
        <v/>
      </c>
      <c r="F26" s="23">
        <f>IF($A26="","",$F$6-$B26)</f>
        <v/>
      </c>
      <c r="G26" s="29">
        <f>IF($A26="",0,N(INDEX(Data_Contracts!$H:$H,14+1)))</f>
        <v/>
      </c>
      <c r="H26" s="29">
        <f>IF(OR($A26="",N($E26)=0),0,$D26/$E26*Forecast!$B$11/30.4/1000)</f>
        <v/>
      </c>
      <c r="I26" s="29">
        <f>IF(OR($A26="",N($E26)=0),0,$D26/$E26*Forecast!$C$11/30.4/1000)</f>
        <v/>
      </c>
      <c r="J26" s="29">
        <f>IF(OR($A26="",N($E26)=0),0,$D26/$E26*Forecast!$D$11/30.4/1000)</f>
        <v/>
      </c>
      <c r="K26" s="29">
        <f>IF(OR($A26="",AND($C26&lt;&gt;"",N($C26)&lt;B$6)),0,IF($F26&lt;Forecast!$C$13,$G26+(H26-$G26)*MIN(1,B$9*30.4/(Forecast!$C$13-$F26)),$G26)*(1+Forecast!$B$12)^B$9)</f>
        <v/>
      </c>
      <c r="L26" s="29">
        <f>IF(OR($A26="",AND($C26&lt;&gt;"",N($C26)&lt;C$6)),0,IF($F26&lt;Forecast!$C$13,$G26+(H26-$G26)*MIN(1,C$9*30.4/(Forecast!$C$13-$F26)),$G26)*(1+Forecast!$B$12)^C$9)</f>
        <v/>
      </c>
      <c r="M26" s="29">
        <f>IF(OR($A26="",AND($C26&lt;&gt;"",N($C26)&lt;D$6)),0,IF($F26&lt;Forecast!$C$13,$G26+(H26-$G26)*MIN(1,D$9*30.4/(Forecast!$C$13-$F26)),$G26)*(1+Forecast!$B$12)^D$9)</f>
        <v/>
      </c>
      <c r="N26" s="29">
        <f>IF(OR($A26="",AND($C26&lt;&gt;"",N($C26)&lt;B$6)),0,IF($F26&lt;Forecast!$C$13,$G26+(I26-$G26)*MIN(1,B$9*30.4/(Forecast!$C$13-$F26)),$G26)*(1+Forecast!$C$12)^B$9)</f>
        <v/>
      </c>
      <c r="O26" s="29">
        <f>IF(OR($A26="",AND($C26&lt;&gt;"",N($C26)&lt;C$6)),0,IF($F26&lt;Forecast!$C$13,$G26+(I26-$G26)*MIN(1,C$9*30.4/(Forecast!$C$13-$F26)),$G26)*(1+Forecast!$C$12)^C$9)</f>
        <v/>
      </c>
      <c r="P26" s="29">
        <f>IF(OR($A26="",AND($C26&lt;&gt;"",N($C26)&lt;D$6)),0,IF($F26&lt;Forecast!$C$13,$G26+(I26-$G26)*MIN(1,D$9*30.4/(Forecast!$C$13-$F26)),$G26)*(1+Forecast!$C$12)^D$9)</f>
        <v/>
      </c>
      <c r="Q26" s="29">
        <f>IF(OR($A26="",AND($C26&lt;&gt;"",N($C26)&lt;B$6)),0,IF($F26&lt;Forecast!$C$13,$G26+(J26-$G26)*MIN(1,B$9*30.4/(Forecast!$C$13-$F26)),$G26)*(1+Forecast!$D$12)^B$9)</f>
        <v/>
      </c>
      <c r="R26" s="29">
        <f>IF(OR($A26="",AND($C26&lt;&gt;"",N($C26)&lt;C$6)),0,IF($F26&lt;Forecast!$C$13,$G26+(J26-$G26)*MIN(1,C$9*30.4/(Forecast!$C$13-$F26)),$G26)*(1+Forecast!$D$12)^C$9)</f>
        <v/>
      </c>
      <c r="S26" s="29">
        <f>IF(OR($A26="",AND($C26&lt;&gt;"",N($C26)&lt;D$6)),0,IF($F26&lt;Forecast!$C$13,$G26+(J26-$G26)*MIN(1,D$9*30.4/(Forecast!$C$13-$F26)),$G26)*(1+Forecast!$D$12)^D$9)</f>
        <v/>
      </c>
    </row>
    <row r="27">
      <c r="A27" s="3">
        <f>IF(INDEX(Data_Contracts!$A:$A,15+1)="","",INDEX(Data_Contracts!$A:$A,15+1))</f>
        <v/>
      </c>
      <c r="B27" s="30">
        <f>IF(INDEX(Data_Contracts!$C:$C,15+1)="","",INDEX(Data_Contracts!$C:$C,15+1))</f>
        <v/>
      </c>
      <c r="C27" s="30">
        <f>IF(INDEX(Data_Contracts!$D:$D,15+1)="","",INDEX(Data_Contracts!$D:$D,15+1))</f>
        <v/>
      </c>
      <c r="D27" s="31">
        <f>IF(INDEX(Data_Contracts!$E:$E,15+1)="","",INDEX(Data_Contracts!$E:$E,15+1))</f>
        <v/>
      </c>
      <c r="E27" s="26">
        <f>IF(INDEX(Data_Contracts!$F:$F,15+1)="","",INDEX(Data_Contracts!$F:$F,15+1))</f>
        <v/>
      </c>
      <c r="F27" s="23">
        <f>IF($A27="","",$F$6-$B27)</f>
        <v/>
      </c>
      <c r="G27" s="29">
        <f>IF($A27="",0,N(INDEX(Data_Contracts!$H:$H,15+1)))</f>
        <v/>
      </c>
      <c r="H27" s="29">
        <f>IF(OR($A27="",N($E27)=0),0,$D27/$E27*Forecast!$B$11/30.4/1000)</f>
        <v/>
      </c>
      <c r="I27" s="29">
        <f>IF(OR($A27="",N($E27)=0),0,$D27/$E27*Forecast!$C$11/30.4/1000)</f>
        <v/>
      </c>
      <c r="J27" s="29">
        <f>IF(OR($A27="",N($E27)=0),0,$D27/$E27*Forecast!$D$11/30.4/1000)</f>
        <v/>
      </c>
      <c r="K27" s="29">
        <f>IF(OR($A27="",AND($C27&lt;&gt;"",N($C27)&lt;B$6)),0,IF($F27&lt;Forecast!$C$13,$G27+(H27-$G27)*MIN(1,B$9*30.4/(Forecast!$C$13-$F27)),$G27)*(1+Forecast!$B$12)^B$9)</f>
        <v/>
      </c>
      <c r="L27" s="29">
        <f>IF(OR($A27="",AND($C27&lt;&gt;"",N($C27)&lt;C$6)),0,IF($F27&lt;Forecast!$C$13,$G27+(H27-$G27)*MIN(1,C$9*30.4/(Forecast!$C$13-$F27)),$G27)*(1+Forecast!$B$12)^C$9)</f>
        <v/>
      </c>
      <c r="M27" s="29">
        <f>IF(OR($A27="",AND($C27&lt;&gt;"",N($C27)&lt;D$6)),0,IF($F27&lt;Forecast!$C$13,$G27+(H27-$G27)*MIN(1,D$9*30.4/(Forecast!$C$13-$F27)),$G27)*(1+Forecast!$B$12)^D$9)</f>
        <v/>
      </c>
      <c r="N27" s="29">
        <f>IF(OR($A27="",AND($C27&lt;&gt;"",N($C27)&lt;B$6)),0,IF($F27&lt;Forecast!$C$13,$G27+(I27-$G27)*MIN(1,B$9*30.4/(Forecast!$C$13-$F27)),$G27)*(1+Forecast!$C$12)^B$9)</f>
        <v/>
      </c>
      <c r="O27" s="29">
        <f>IF(OR($A27="",AND($C27&lt;&gt;"",N($C27)&lt;C$6)),0,IF($F27&lt;Forecast!$C$13,$G27+(I27-$G27)*MIN(1,C$9*30.4/(Forecast!$C$13-$F27)),$G27)*(1+Forecast!$C$12)^C$9)</f>
        <v/>
      </c>
      <c r="P27" s="29">
        <f>IF(OR($A27="",AND($C27&lt;&gt;"",N($C27)&lt;D$6)),0,IF($F27&lt;Forecast!$C$13,$G27+(I27-$G27)*MIN(1,D$9*30.4/(Forecast!$C$13-$F27)),$G27)*(1+Forecast!$C$12)^D$9)</f>
        <v/>
      </c>
      <c r="Q27" s="29">
        <f>IF(OR($A27="",AND($C27&lt;&gt;"",N($C27)&lt;B$6)),0,IF($F27&lt;Forecast!$C$13,$G27+(J27-$G27)*MIN(1,B$9*30.4/(Forecast!$C$13-$F27)),$G27)*(1+Forecast!$D$12)^B$9)</f>
        <v/>
      </c>
      <c r="R27" s="29">
        <f>IF(OR($A27="",AND($C27&lt;&gt;"",N($C27)&lt;C$6)),0,IF($F27&lt;Forecast!$C$13,$G27+(J27-$G27)*MIN(1,C$9*30.4/(Forecast!$C$13-$F27)),$G27)*(1+Forecast!$D$12)^C$9)</f>
        <v/>
      </c>
      <c r="S27" s="29">
        <f>IF(OR($A27="",AND($C27&lt;&gt;"",N($C27)&lt;D$6)),0,IF($F27&lt;Forecast!$C$13,$G27+(J27-$G27)*MIN(1,D$9*30.4/(Forecast!$C$13-$F27)),$G27)*(1+Forecast!$D$12)^D$9)</f>
        <v/>
      </c>
    </row>
    <row r="28">
      <c r="A28" s="3">
        <f>IF(INDEX(Data_Contracts!$A:$A,16+1)="","",INDEX(Data_Contracts!$A:$A,16+1))</f>
        <v/>
      </c>
      <c r="B28" s="30">
        <f>IF(INDEX(Data_Contracts!$C:$C,16+1)="","",INDEX(Data_Contracts!$C:$C,16+1))</f>
        <v/>
      </c>
      <c r="C28" s="30">
        <f>IF(INDEX(Data_Contracts!$D:$D,16+1)="","",INDEX(Data_Contracts!$D:$D,16+1))</f>
        <v/>
      </c>
      <c r="D28" s="31">
        <f>IF(INDEX(Data_Contracts!$E:$E,16+1)="","",INDEX(Data_Contracts!$E:$E,16+1))</f>
        <v/>
      </c>
      <c r="E28" s="26">
        <f>IF(INDEX(Data_Contracts!$F:$F,16+1)="","",INDEX(Data_Contracts!$F:$F,16+1))</f>
        <v/>
      </c>
      <c r="F28" s="23">
        <f>IF($A28="","",$F$6-$B28)</f>
        <v/>
      </c>
      <c r="G28" s="29">
        <f>IF($A28="",0,N(INDEX(Data_Contracts!$H:$H,16+1)))</f>
        <v/>
      </c>
      <c r="H28" s="29">
        <f>IF(OR($A28="",N($E28)=0),0,$D28/$E28*Forecast!$B$11/30.4/1000)</f>
        <v/>
      </c>
      <c r="I28" s="29">
        <f>IF(OR($A28="",N($E28)=0),0,$D28/$E28*Forecast!$C$11/30.4/1000)</f>
        <v/>
      </c>
      <c r="J28" s="29">
        <f>IF(OR($A28="",N($E28)=0),0,$D28/$E28*Forecast!$D$11/30.4/1000)</f>
        <v/>
      </c>
      <c r="K28" s="29">
        <f>IF(OR($A28="",AND($C28&lt;&gt;"",N($C28)&lt;B$6)),0,IF($F28&lt;Forecast!$C$13,$G28+(H28-$G28)*MIN(1,B$9*30.4/(Forecast!$C$13-$F28)),$G28)*(1+Forecast!$B$12)^B$9)</f>
        <v/>
      </c>
      <c r="L28" s="29">
        <f>IF(OR($A28="",AND($C28&lt;&gt;"",N($C28)&lt;C$6)),0,IF($F28&lt;Forecast!$C$13,$G28+(H28-$G28)*MIN(1,C$9*30.4/(Forecast!$C$13-$F28)),$G28)*(1+Forecast!$B$12)^C$9)</f>
        <v/>
      </c>
      <c r="M28" s="29">
        <f>IF(OR($A28="",AND($C28&lt;&gt;"",N($C28)&lt;D$6)),0,IF($F28&lt;Forecast!$C$13,$G28+(H28-$G28)*MIN(1,D$9*30.4/(Forecast!$C$13-$F28)),$G28)*(1+Forecast!$B$12)^D$9)</f>
        <v/>
      </c>
      <c r="N28" s="29">
        <f>IF(OR($A28="",AND($C28&lt;&gt;"",N($C28)&lt;B$6)),0,IF($F28&lt;Forecast!$C$13,$G28+(I28-$G28)*MIN(1,B$9*30.4/(Forecast!$C$13-$F28)),$G28)*(1+Forecast!$C$12)^B$9)</f>
        <v/>
      </c>
      <c r="O28" s="29">
        <f>IF(OR($A28="",AND($C28&lt;&gt;"",N($C28)&lt;C$6)),0,IF($F28&lt;Forecast!$C$13,$G28+(I28-$G28)*MIN(1,C$9*30.4/(Forecast!$C$13-$F28)),$G28)*(1+Forecast!$C$12)^C$9)</f>
        <v/>
      </c>
      <c r="P28" s="29">
        <f>IF(OR($A28="",AND($C28&lt;&gt;"",N($C28)&lt;D$6)),0,IF($F28&lt;Forecast!$C$13,$G28+(I28-$G28)*MIN(1,D$9*30.4/(Forecast!$C$13-$F28)),$G28)*(1+Forecast!$C$12)^D$9)</f>
        <v/>
      </c>
      <c r="Q28" s="29">
        <f>IF(OR($A28="",AND($C28&lt;&gt;"",N($C28)&lt;B$6)),0,IF($F28&lt;Forecast!$C$13,$G28+(J28-$G28)*MIN(1,B$9*30.4/(Forecast!$C$13-$F28)),$G28)*(1+Forecast!$D$12)^B$9)</f>
        <v/>
      </c>
      <c r="R28" s="29">
        <f>IF(OR($A28="",AND($C28&lt;&gt;"",N($C28)&lt;C$6)),0,IF($F28&lt;Forecast!$C$13,$G28+(J28-$G28)*MIN(1,C$9*30.4/(Forecast!$C$13-$F28)),$G28)*(1+Forecast!$D$12)^C$9)</f>
        <v/>
      </c>
      <c r="S28" s="29">
        <f>IF(OR($A28="",AND($C28&lt;&gt;"",N($C28)&lt;D$6)),0,IF($F28&lt;Forecast!$C$13,$G28+(J28-$G28)*MIN(1,D$9*30.4/(Forecast!$C$13-$F28)),$G28)*(1+Forecast!$D$12)^D$9)</f>
        <v/>
      </c>
    </row>
    <row r="29">
      <c r="A29" s="3">
        <f>IF(INDEX(Data_Contracts!$A:$A,17+1)="","",INDEX(Data_Contracts!$A:$A,17+1))</f>
        <v/>
      </c>
      <c r="B29" s="30">
        <f>IF(INDEX(Data_Contracts!$C:$C,17+1)="","",INDEX(Data_Contracts!$C:$C,17+1))</f>
        <v/>
      </c>
      <c r="C29" s="30">
        <f>IF(INDEX(Data_Contracts!$D:$D,17+1)="","",INDEX(Data_Contracts!$D:$D,17+1))</f>
        <v/>
      </c>
      <c r="D29" s="31">
        <f>IF(INDEX(Data_Contracts!$E:$E,17+1)="","",INDEX(Data_Contracts!$E:$E,17+1))</f>
        <v/>
      </c>
      <c r="E29" s="26">
        <f>IF(INDEX(Data_Contracts!$F:$F,17+1)="","",INDEX(Data_Contracts!$F:$F,17+1))</f>
        <v/>
      </c>
      <c r="F29" s="23">
        <f>IF($A29="","",$F$6-$B29)</f>
        <v/>
      </c>
      <c r="G29" s="29">
        <f>IF($A29="",0,N(INDEX(Data_Contracts!$H:$H,17+1)))</f>
        <v/>
      </c>
      <c r="H29" s="29">
        <f>IF(OR($A29="",N($E29)=0),0,$D29/$E29*Forecast!$B$11/30.4/1000)</f>
        <v/>
      </c>
      <c r="I29" s="29">
        <f>IF(OR($A29="",N($E29)=0),0,$D29/$E29*Forecast!$C$11/30.4/1000)</f>
        <v/>
      </c>
      <c r="J29" s="29">
        <f>IF(OR($A29="",N($E29)=0),0,$D29/$E29*Forecast!$D$11/30.4/1000)</f>
        <v/>
      </c>
      <c r="K29" s="29">
        <f>IF(OR($A29="",AND($C29&lt;&gt;"",N($C29)&lt;B$6)),0,IF($F29&lt;Forecast!$C$13,$G29+(H29-$G29)*MIN(1,B$9*30.4/(Forecast!$C$13-$F29)),$G29)*(1+Forecast!$B$12)^B$9)</f>
        <v/>
      </c>
      <c r="L29" s="29">
        <f>IF(OR($A29="",AND($C29&lt;&gt;"",N($C29)&lt;C$6)),0,IF($F29&lt;Forecast!$C$13,$G29+(H29-$G29)*MIN(1,C$9*30.4/(Forecast!$C$13-$F29)),$G29)*(1+Forecast!$B$12)^C$9)</f>
        <v/>
      </c>
      <c r="M29" s="29">
        <f>IF(OR($A29="",AND($C29&lt;&gt;"",N($C29)&lt;D$6)),0,IF($F29&lt;Forecast!$C$13,$G29+(H29-$G29)*MIN(1,D$9*30.4/(Forecast!$C$13-$F29)),$G29)*(1+Forecast!$B$12)^D$9)</f>
        <v/>
      </c>
      <c r="N29" s="29">
        <f>IF(OR($A29="",AND($C29&lt;&gt;"",N($C29)&lt;B$6)),0,IF($F29&lt;Forecast!$C$13,$G29+(I29-$G29)*MIN(1,B$9*30.4/(Forecast!$C$13-$F29)),$G29)*(1+Forecast!$C$12)^B$9)</f>
        <v/>
      </c>
      <c r="O29" s="29">
        <f>IF(OR($A29="",AND($C29&lt;&gt;"",N($C29)&lt;C$6)),0,IF($F29&lt;Forecast!$C$13,$G29+(I29-$G29)*MIN(1,C$9*30.4/(Forecast!$C$13-$F29)),$G29)*(1+Forecast!$C$12)^C$9)</f>
        <v/>
      </c>
      <c r="P29" s="29">
        <f>IF(OR($A29="",AND($C29&lt;&gt;"",N($C29)&lt;D$6)),0,IF($F29&lt;Forecast!$C$13,$G29+(I29-$G29)*MIN(1,D$9*30.4/(Forecast!$C$13-$F29)),$G29)*(1+Forecast!$C$12)^D$9)</f>
        <v/>
      </c>
      <c r="Q29" s="29">
        <f>IF(OR($A29="",AND($C29&lt;&gt;"",N($C29)&lt;B$6)),0,IF($F29&lt;Forecast!$C$13,$G29+(J29-$G29)*MIN(1,B$9*30.4/(Forecast!$C$13-$F29)),$G29)*(1+Forecast!$D$12)^B$9)</f>
        <v/>
      </c>
      <c r="R29" s="29">
        <f>IF(OR($A29="",AND($C29&lt;&gt;"",N($C29)&lt;C$6)),0,IF($F29&lt;Forecast!$C$13,$G29+(J29-$G29)*MIN(1,C$9*30.4/(Forecast!$C$13-$F29)),$G29)*(1+Forecast!$D$12)^C$9)</f>
        <v/>
      </c>
      <c r="S29" s="29">
        <f>IF(OR($A29="",AND($C29&lt;&gt;"",N($C29)&lt;D$6)),0,IF($F29&lt;Forecast!$C$13,$G29+(J29-$G29)*MIN(1,D$9*30.4/(Forecast!$C$13-$F29)),$G29)*(1+Forecast!$D$12)^D$9)</f>
        <v/>
      </c>
    </row>
    <row r="30">
      <c r="A30" s="3">
        <f>IF(INDEX(Data_Contracts!$A:$A,18+1)="","",INDEX(Data_Contracts!$A:$A,18+1))</f>
        <v/>
      </c>
      <c r="B30" s="30">
        <f>IF(INDEX(Data_Contracts!$C:$C,18+1)="","",INDEX(Data_Contracts!$C:$C,18+1))</f>
        <v/>
      </c>
      <c r="C30" s="30">
        <f>IF(INDEX(Data_Contracts!$D:$D,18+1)="","",INDEX(Data_Contracts!$D:$D,18+1))</f>
        <v/>
      </c>
      <c r="D30" s="31">
        <f>IF(INDEX(Data_Contracts!$E:$E,18+1)="","",INDEX(Data_Contracts!$E:$E,18+1))</f>
        <v/>
      </c>
      <c r="E30" s="26">
        <f>IF(INDEX(Data_Contracts!$F:$F,18+1)="","",INDEX(Data_Contracts!$F:$F,18+1))</f>
        <v/>
      </c>
      <c r="F30" s="23">
        <f>IF($A30="","",$F$6-$B30)</f>
        <v/>
      </c>
      <c r="G30" s="29">
        <f>IF($A30="",0,N(INDEX(Data_Contracts!$H:$H,18+1)))</f>
        <v/>
      </c>
      <c r="H30" s="29">
        <f>IF(OR($A30="",N($E30)=0),0,$D30/$E30*Forecast!$B$11/30.4/1000)</f>
        <v/>
      </c>
      <c r="I30" s="29">
        <f>IF(OR($A30="",N($E30)=0),0,$D30/$E30*Forecast!$C$11/30.4/1000)</f>
        <v/>
      </c>
      <c r="J30" s="29">
        <f>IF(OR($A30="",N($E30)=0),0,$D30/$E30*Forecast!$D$11/30.4/1000)</f>
        <v/>
      </c>
      <c r="K30" s="29">
        <f>IF(OR($A30="",AND($C30&lt;&gt;"",N($C30)&lt;B$6)),0,IF($F30&lt;Forecast!$C$13,$G30+(H30-$G30)*MIN(1,B$9*30.4/(Forecast!$C$13-$F30)),$G30)*(1+Forecast!$B$12)^B$9)</f>
        <v/>
      </c>
      <c r="L30" s="29">
        <f>IF(OR($A30="",AND($C30&lt;&gt;"",N($C30)&lt;C$6)),0,IF($F30&lt;Forecast!$C$13,$G30+(H30-$G30)*MIN(1,C$9*30.4/(Forecast!$C$13-$F30)),$G30)*(1+Forecast!$B$12)^C$9)</f>
        <v/>
      </c>
      <c r="M30" s="29">
        <f>IF(OR($A30="",AND($C30&lt;&gt;"",N($C30)&lt;D$6)),0,IF($F30&lt;Forecast!$C$13,$G30+(H30-$G30)*MIN(1,D$9*30.4/(Forecast!$C$13-$F30)),$G30)*(1+Forecast!$B$12)^D$9)</f>
        <v/>
      </c>
      <c r="N30" s="29">
        <f>IF(OR($A30="",AND($C30&lt;&gt;"",N($C30)&lt;B$6)),0,IF($F30&lt;Forecast!$C$13,$G30+(I30-$G30)*MIN(1,B$9*30.4/(Forecast!$C$13-$F30)),$G30)*(1+Forecast!$C$12)^B$9)</f>
        <v/>
      </c>
      <c r="O30" s="29">
        <f>IF(OR($A30="",AND($C30&lt;&gt;"",N($C30)&lt;C$6)),0,IF($F30&lt;Forecast!$C$13,$G30+(I30-$G30)*MIN(1,C$9*30.4/(Forecast!$C$13-$F30)),$G30)*(1+Forecast!$C$12)^C$9)</f>
        <v/>
      </c>
      <c r="P30" s="29">
        <f>IF(OR($A30="",AND($C30&lt;&gt;"",N($C30)&lt;D$6)),0,IF($F30&lt;Forecast!$C$13,$G30+(I30-$G30)*MIN(1,D$9*30.4/(Forecast!$C$13-$F30)),$G30)*(1+Forecast!$C$12)^D$9)</f>
        <v/>
      </c>
      <c r="Q30" s="29">
        <f>IF(OR($A30="",AND($C30&lt;&gt;"",N($C30)&lt;B$6)),0,IF($F30&lt;Forecast!$C$13,$G30+(J30-$G30)*MIN(1,B$9*30.4/(Forecast!$C$13-$F30)),$G30)*(1+Forecast!$D$12)^B$9)</f>
        <v/>
      </c>
      <c r="R30" s="29">
        <f>IF(OR($A30="",AND($C30&lt;&gt;"",N($C30)&lt;C$6)),0,IF($F30&lt;Forecast!$C$13,$G30+(J30-$G30)*MIN(1,C$9*30.4/(Forecast!$C$13-$F30)),$G30)*(1+Forecast!$D$12)^C$9)</f>
        <v/>
      </c>
      <c r="S30" s="29">
        <f>IF(OR($A30="",AND($C30&lt;&gt;"",N($C30)&lt;D$6)),0,IF($F30&lt;Forecast!$C$13,$G30+(J30-$G30)*MIN(1,D$9*30.4/(Forecast!$C$13-$F30)),$G30)*(1+Forecast!$D$12)^D$9)</f>
        <v/>
      </c>
    </row>
    <row r="31">
      <c r="A31" s="3">
        <f>IF(INDEX(Data_Contracts!$A:$A,19+1)="","",INDEX(Data_Contracts!$A:$A,19+1))</f>
        <v/>
      </c>
      <c r="B31" s="30">
        <f>IF(INDEX(Data_Contracts!$C:$C,19+1)="","",INDEX(Data_Contracts!$C:$C,19+1))</f>
        <v/>
      </c>
      <c r="C31" s="30">
        <f>IF(INDEX(Data_Contracts!$D:$D,19+1)="","",INDEX(Data_Contracts!$D:$D,19+1))</f>
        <v/>
      </c>
      <c r="D31" s="31">
        <f>IF(INDEX(Data_Contracts!$E:$E,19+1)="","",INDEX(Data_Contracts!$E:$E,19+1))</f>
        <v/>
      </c>
      <c r="E31" s="26">
        <f>IF(INDEX(Data_Contracts!$F:$F,19+1)="","",INDEX(Data_Contracts!$F:$F,19+1))</f>
        <v/>
      </c>
      <c r="F31" s="23">
        <f>IF($A31="","",$F$6-$B31)</f>
        <v/>
      </c>
      <c r="G31" s="29">
        <f>IF($A31="",0,N(INDEX(Data_Contracts!$H:$H,19+1)))</f>
        <v/>
      </c>
      <c r="H31" s="29">
        <f>IF(OR($A31="",N($E31)=0),0,$D31/$E31*Forecast!$B$11/30.4/1000)</f>
        <v/>
      </c>
      <c r="I31" s="29">
        <f>IF(OR($A31="",N($E31)=0),0,$D31/$E31*Forecast!$C$11/30.4/1000)</f>
        <v/>
      </c>
      <c r="J31" s="29">
        <f>IF(OR($A31="",N($E31)=0),0,$D31/$E31*Forecast!$D$11/30.4/1000)</f>
        <v/>
      </c>
      <c r="K31" s="29">
        <f>IF(OR($A31="",AND($C31&lt;&gt;"",N($C31)&lt;B$6)),0,IF($F31&lt;Forecast!$C$13,$G31+(H31-$G31)*MIN(1,B$9*30.4/(Forecast!$C$13-$F31)),$G31)*(1+Forecast!$B$12)^B$9)</f>
        <v/>
      </c>
      <c r="L31" s="29">
        <f>IF(OR($A31="",AND($C31&lt;&gt;"",N($C31)&lt;C$6)),0,IF($F31&lt;Forecast!$C$13,$G31+(H31-$G31)*MIN(1,C$9*30.4/(Forecast!$C$13-$F31)),$G31)*(1+Forecast!$B$12)^C$9)</f>
        <v/>
      </c>
      <c r="M31" s="29">
        <f>IF(OR($A31="",AND($C31&lt;&gt;"",N($C31)&lt;D$6)),0,IF($F31&lt;Forecast!$C$13,$G31+(H31-$G31)*MIN(1,D$9*30.4/(Forecast!$C$13-$F31)),$G31)*(1+Forecast!$B$12)^D$9)</f>
        <v/>
      </c>
      <c r="N31" s="29">
        <f>IF(OR($A31="",AND($C31&lt;&gt;"",N($C31)&lt;B$6)),0,IF($F31&lt;Forecast!$C$13,$G31+(I31-$G31)*MIN(1,B$9*30.4/(Forecast!$C$13-$F31)),$G31)*(1+Forecast!$C$12)^B$9)</f>
        <v/>
      </c>
      <c r="O31" s="29">
        <f>IF(OR($A31="",AND($C31&lt;&gt;"",N($C31)&lt;C$6)),0,IF($F31&lt;Forecast!$C$13,$G31+(I31-$G31)*MIN(1,C$9*30.4/(Forecast!$C$13-$F31)),$G31)*(1+Forecast!$C$12)^C$9)</f>
        <v/>
      </c>
      <c r="P31" s="29">
        <f>IF(OR($A31="",AND($C31&lt;&gt;"",N($C31)&lt;D$6)),0,IF($F31&lt;Forecast!$C$13,$G31+(I31-$G31)*MIN(1,D$9*30.4/(Forecast!$C$13-$F31)),$G31)*(1+Forecast!$C$12)^D$9)</f>
        <v/>
      </c>
      <c r="Q31" s="29">
        <f>IF(OR($A31="",AND($C31&lt;&gt;"",N($C31)&lt;B$6)),0,IF($F31&lt;Forecast!$C$13,$G31+(J31-$G31)*MIN(1,B$9*30.4/(Forecast!$C$13-$F31)),$G31)*(1+Forecast!$D$12)^B$9)</f>
        <v/>
      </c>
      <c r="R31" s="29">
        <f>IF(OR($A31="",AND($C31&lt;&gt;"",N($C31)&lt;C$6)),0,IF($F31&lt;Forecast!$C$13,$G31+(J31-$G31)*MIN(1,C$9*30.4/(Forecast!$C$13-$F31)),$G31)*(1+Forecast!$D$12)^C$9)</f>
        <v/>
      </c>
      <c r="S31" s="29">
        <f>IF(OR($A31="",AND($C31&lt;&gt;"",N($C31)&lt;D$6)),0,IF($F31&lt;Forecast!$C$13,$G31+(J31-$G31)*MIN(1,D$9*30.4/(Forecast!$C$13-$F31)),$G31)*(1+Forecast!$D$12)^D$9)</f>
        <v/>
      </c>
    </row>
    <row r="32">
      <c r="A32" s="3">
        <f>IF(INDEX(Data_Contracts!$A:$A,20+1)="","",INDEX(Data_Contracts!$A:$A,20+1))</f>
        <v/>
      </c>
      <c r="B32" s="30">
        <f>IF(INDEX(Data_Contracts!$C:$C,20+1)="","",INDEX(Data_Contracts!$C:$C,20+1))</f>
        <v/>
      </c>
      <c r="C32" s="30">
        <f>IF(INDEX(Data_Contracts!$D:$D,20+1)="","",INDEX(Data_Contracts!$D:$D,20+1))</f>
        <v/>
      </c>
      <c r="D32" s="31">
        <f>IF(INDEX(Data_Contracts!$E:$E,20+1)="","",INDEX(Data_Contracts!$E:$E,20+1))</f>
        <v/>
      </c>
      <c r="E32" s="26">
        <f>IF(INDEX(Data_Contracts!$F:$F,20+1)="","",INDEX(Data_Contracts!$F:$F,20+1))</f>
        <v/>
      </c>
      <c r="F32" s="23">
        <f>IF($A32="","",$F$6-$B32)</f>
        <v/>
      </c>
      <c r="G32" s="29">
        <f>IF($A32="",0,N(INDEX(Data_Contracts!$H:$H,20+1)))</f>
        <v/>
      </c>
      <c r="H32" s="29">
        <f>IF(OR($A32="",N($E32)=0),0,$D32/$E32*Forecast!$B$11/30.4/1000)</f>
        <v/>
      </c>
      <c r="I32" s="29">
        <f>IF(OR($A32="",N($E32)=0),0,$D32/$E32*Forecast!$C$11/30.4/1000)</f>
        <v/>
      </c>
      <c r="J32" s="29">
        <f>IF(OR($A32="",N($E32)=0),0,$D32/$E32*Forecast!$D$11/30.4/1000)</f>
        <v/>
      </c>
      <c r="K32" s="29">
        <f>IF(OR($A32="",AND($C32&lt;&gt;"",N($C32)&lt;B$6)),0,IF($F32&lt;Forecast!$C$13,$G32+(H32-$G32)*MIN(1,B$9*30.4/(Forecast!$C$13-$F32)),$G32)*(1+Forecast!$B$12)^B$9)</f>
        <v/>
      </c>
      <c r="L32" s="29">
        <f>IF(OR($A32="",AND($C32&lt;&gt;"",N($C32)&lt;C$6)),0,IF($F32&lt;Forecast!$C$13,$G32+(H32-$G32)*MIN(1,C$9*30.4/(Forecast!$C$13-$F32)),$G32)*(1+Forecast!$B$12)^C$9)</f>
        <v/>
      </c>
      <c r="M32" s="29">
        <f>IF(OR($A32="",AND($C32&lt;&gt;"",N($C32)&lt;D$6)),0,IF($F32&lt;Forecast!$C$13,$G32+(H32-$G32)*MIN(1,D$9*30.4/(Forecast!$C$13-$F32)),$G32)*(1+Forecast!$B$12)^D$9)</f>
        <v/>
      </c>
      <c r="N32" s="29">
        <f>IF(OR($A32="",AND($C32&lt;&gt;"",N($C32)&lt;B$6)),0,IF($F32&lt;Forecast!$C$13,$G32+(I32-$G32)*MIN(1,B$9*30.4/(Forecast!$C$13-$F32)),$G32)*(1+Forecast!$C$12)^B$9)</f>
        <v/>
      </c>
      <c r="O32" s="29">
        <f>IF(OR($A32="",AND($C32&lt;&gt;"",N($C32)&lt;C$6)),0,IF($F32&lt;Forecast!$C$13,$G32+(I32-$G32)*MIN(1,C$9*30.4/(Forecast!$C$13-$F32)),$G32)*(1+Forecast!$C$12)^C$9)</f>
        <v/>
      </c>
      <c r="P32" s="29">
        <f>IF(OR($A32="",AND($C32&lt;&gt;"",N($C32)&lt;D$6)),0,IF($F32&lt;Forecast!$C$13,$G32+(I32-$G32)*MIN(1,D$9*30.4/(Forecast!$C$13-$F32)),$G32)*(1+Forecast!$C$12)^D$9)</f>
        <v/>
      </c>
      <c r="Q32" s="29">
        <f>IF(OR($A32="",AND($C32&lt;&gt;"",N($C32)&lt;B$6)),0,IF($F32&lt;Forecast!$C$13,$G32+(J32-$G32)*MIN(1,B$9*30.4/(Forecast!$C$13-$F32)),$G32)*(1+Forecast!$D$12)^B$9)</f>
        <v/>
      </c>
      <c r="R32" s="29">
        <f>IF(OR($A32="",AND($C32&lt;&gt;"",N($C32)&lt;C$6)),0,IF($F32&lt;Forecast!$C$13,$G32+(J32-$G32)*MIN(1,C$9*30.4/(Forecast!$C$13-$F32)),$G32)*(1+Forecast!$D$12)^C$9)</f>
        <v/>
      </c>
      <c r="S32" s="29">
        <f>IF(OR($A32="",AND($C32&lt;&gt;"",N($C32)&lt;D$6)),0,IF($F32&lt;Forecast!$C$13,$G32+(J32-$G32)*MIN(1,D$9*30.4/(Forecast!$C$13-$F32)),$G32)*(1+Forecast!$D$12)^D$9)</f>
        <v/>
      </c>
    </row>
    <row r="33">
      <c r="A33" s="3">
        <f>IF(INDEX(Data_Contracts!$A:$A,21+1)="","",INDEX(Data_Contracts!$A:$A,21+1))</f>
        <v/>
      </c>
      <c r="B33" s="30">
        <f>IF(INDEX(Data_Contracts!$C:$C,21+1)="","",INDEX(Data_Contracts!$C:$C,21+1))</f>
        <v/>
      </c>
      <c r="C33" s="30">
        <f>IF(INDEX(Data_Contracts!$D:$D,21+1)="","",INDEX(Data_Contracts!$D:$D,21+1))</f>
        <v/>
      </c>
      <c r="D33" s="31">
        <f>IF(INDEX(Data_Contracts!$E:$E,21+1)="","",INDEX(Data_Contracts!$E:$E,21+1))</f>
        <v/>
      </c>
      <c r="E33" s="26">
        <f>IF(INDEX(Data_Contracts!$F:$F,21+1)="","",INDEX(Data_Contracts!$F:$F,21+1))</f>
        <v/>
      </c>
      <c r="F33" s="23">
        <f>IF($A33="","",$F$6-$B33)</f>
        <v/>
      </c>
      <c r="G33" s="29">
        <f>IF($A33="",0,N(INDEX(Data_Contracts!$H:$H,21+1)))</f>
        <v/>
      </c>
      <c r="H33" s="29">
        <f>IF(OR($A33="",N($E33)=0),0,$D33/$E33*Forecast!$B$11/30.4/1000)</f>
        <v/>
      </c>
      <c r="I33" s="29">
        <f>IF(OR($A33="",N($E33)=0),0,$D33/$E33*Forecast!$C$11/30.4/1000)</f>
        <v/>
      </c>
      <c r="J33" s="29">
        <f>IF(OR($A33="",N($E33)=0),0,$D33/$E33*Forecast!$D$11/30.4/1000)</f>
        <v/>
      </c>
      <c r="K33" s="29">
        <f>IF(OR($A33="",AND($C33&lt;&gt;"",N($C33)&lt;B$6)),0,IF($F33&lt;Forecast!$C$13,$G33+(H33-$G33)*MIN(1,B$9*30.4/(Forecast!$C$13-$F33)),$G33)*(1+Forecast!$B$12)^B$9)</f>
        <v/>
      </c>
      <c r="L33" s="29">
        <f>IF(OR($A33="",AND($C33&lt;&gt;"",N($C33)&lt;C$6)),0,IF($F33&lt;Forecast!$C$13,$G33+(H33-$G33)*MIN(1,C$9*30.4/(Forecast!$C$13-$F33)),$G33)*(1+Forecast!$B$12)^C$9)</f>
        <v/>
      </c>
      <c r="M33" s="29">
        <f>IF(OR($A33="",AND($C33&lt;&gt;"",N($C33)&lt;D$6)),0,IF($F33&lt;Forecast!$C$13,$G33+(H33-$G33)*MIN(1,D$9*30.4/(Forecast!$C$13-$F33)),$G33)*(1+Forecast!$B$12)^D$9)</f>
        <v/>
      </c>
      <c r="N33" s="29">
        <f>IF(OR($A33="",AND($C33&lt;&gt;"",N($C33)&lt;B$6)),0,IF($F33&lt;Forecast!$C$13,$G33+(I33-$G33)*MIN(1,B$9*30.4/(Forecast!$C$13-$F33)),$G33)*(1+Forecast!$C$12)^B$9)</f>
        <v/>
      </c>
      <c r="O33" s="29">
        <f>IF(OR($A33="",AND($C33&lt;&gt;"",N($C33)&lt;C$6)),0,IF($F33&lt;Forecast!$C$13,$G33+(I33-$G33)*MIN(1,C$9*30.4/(Forecast!$C$13-$F33)),$G33)*(1+Forecast!$C$12)^C$9)</f>
        <v/>
      </c>
      <c r="P33" s="29">
        <f>IF(OR($A33="",AND($C33&lt;&gt;"",N($C33)&lt;D$6)),0,IF($F33&lt;Forecast!$C$13,$G33+(I33-$G33)*MIN(1,D$9*30.4/(Forecast!$C$13-$F33)),$G33)*(1+Forecast!$C$12)^D$9)</f>
        <v/>
      </c>
      <c r="Q33" s="29">
        <f>IF(OR($A33="",AND($C33&lt;&gt;"",N($C33)&lt;B$6)),0,IF($F33&lt;Forecast!$C$13,$G33+(J33-$G33)*MIN(1,B$9*30.4/(Forecast!$C$13-$F33)),$G33)*(1+Forecast!$D$12)^B$9)</f>
        <v/>
      </c>
      <c r="R33" s="29">
        <f>IF(OR($A33="",AND($C33&lt;&gt;"",N($C33)&lt;C$6)),0,IF($F33&lt;Forecast!$C$13,$G33+(J33-$G33)*MIN(1,C$9*30.4/(Forecast!$C$13-$F33)),$G33)*(1+Forecast!$D$12)^C$9)</f>
        <v/>
      </c>
      <c r="S33" s="29">
        <f>IF(OR($A33="",AND($C33&lt;&gt;"",N($C33)&lt;D$6)),0,IF($F33&lt;Forecast!$C$13,$G33+(J33-$G33)*MIN(1,D$9*30.4/(Forecast!$C$13-$F33)),$G33)*(1+Forecast!$D$12)^D$9)</f>
        <v/>
      </c>
    </row>
    <row r="34">
      <c r="A34" s="3">
        <f>IF(INDEX(Data_Contracts!$A:$A,22+1)="","",INDEX(Data_Contracts!$A:$A,22+1))</f>
        <v/>
      </c>
      <c r="B34" s="30">
        <f>IF(INDEX(Data_Contracts!$C:$C,22+1)="","",INDEX(Data_Contracts!$C:$C,22+1))</f>
        <v/>
      </c>
      <c r="C34" s="30">
        <f>IF(INDEX(Data_Contracts!$D:$D,22+1)="","",INDEX(Data_Contracts!$D:$D,22+1))</f>
        <v/>
      </c>
      <c r="D34" s="31">
        <f>IF(INDEX(Data_Contracts!$E:$E,22+1)="","",INDEX(Data_Contracts!$E:$E,22+1))</f>
        <v/>
      </c>
      <c r="E34" s="26">
        <f>IF(INDEX(Data_Contracts!$F:$F,22+1)="","",INDEX(Data_Contracts!$F:$F,22+1))</f>
        <v/>
      </c>
      <c r="F34" s="23">
        <f>IF($A34="","",$F$6-$B34)</f>
        <v/>
      </c>
      <c r="G34" s="29">
        <f>IF($A34="",0,N(INDEX(Data_Contracts!$H:$H,22+1)))</f>
        <v/>
      </c>
      <c r="H34" s="29">
        <f>IF(OR($A34="",N($E34)=0),0,$D34/$E34*Forecast!$B$11/30.4/1000)</f>
        <v/>
      </c>
      <c r="I34" s="29">
        <f>IF(OR($A34="",N($E34)=0),0,$D34/$E34*Forecast!$C$11/30.4/1000)</f>
        <v/>
      </c>
      <c r="J34" s="29">
        <f>IF(OR($A34="",N($E34)=0),0,$D34/$E34*Forecast!$D$11/30.4/1000)</f>
        <v/>
      </c>
      <c r="K34" s="29">
        <f>IF(OR($A34="",AND($C34&lt;&gt;"",N($C34)&lt;B$6)),0,IF($F34&lt;Forecast!$C$13,$G34+(H34-$G34)*MIN(1,B$9*30.4/(Forecast!$C$13-$F34)),$G34)*(1+Forecast!$B$12)^B$9)</f>
        <v/>
      </c>
      <c r="L34" s="29">
        <f>IF(OR($A34="",AND($C34&lt;&gt;"",N($C34)&lt;C$6)),0,IF($F34&lt;Forecast!$C$13,$G34+(H34-$G34)*MIN(1,C$9*30.4/(Forecast!$C$13-$F34)),$G34)*(1+Forecast!$B$12)^C$9)</f>
        <v/>
      </c>
      <c r="M34" s="29">
        <f>IF(OR($A34="",AND($C34&lt;&gt;"",N($C34)&lt;D$6)),0,IF($F34&lt;Forecast!$C$13,$G34+(H34-$G34)*MIN(1,D$9*30.4/(Forecast!$C$13-$F34)),$G34)*(1+Forecast!$B$12)^D$9)</f>
        <v/>
      </c>
      <c r="N34" s="29">
        <f>IF(OR($A34="",AND($C34&lt;&gt;"",N($C34)&lt;B$6)),0,IF($F34&lt;Forecast!$C$13,$G34+(I34-$G34)*MIN(1,B$9*30.4/(Forecast!$C$13-$F34)),$G34)*(1+Forecast!$C$12)^B$9)</f>
        <v/>
      </c>
      <c r="O34" s="29">
        <f>IF(OR($A34="",AND($C34&lt;&gt;"",N($C34)&lt;C$6)),0,IF($F34&lt;Forecast!$C$13,$G34+(I34-$G34)*MIN(1,C$9*30.4/(Forecast!$C$13-$F34)),$G34)*(1+Forecast!$C$12)^C$9)</f>
        <v/>
      </c>
      <c r="P34" s="29">
        <f>IF(OR($A34="",AND($C34&lt;&gt;"",N($C34)&lt;D$6)),0,IF($F34&lt;Forecast!$C$13,$G34+(I34-$G34)*MIN(1,D$9*30.4/(Forecast!$C$13-$F34)),$G34)*(1+Forecast!$C$12)^D$9)</f>
        <v/>
      </c>
      <c r="Q34" s="29">
        <f>IF(OR($A34="",AND($C34&lt;&gt;"",N($C34)&lt;B$6)),0,IF($F34&lt;Forecast!$C$13,$G34+(J34-$G34)*MIN(1,B$9*30.4/(Forecast!$C$13-$F34)),$G34)*(1+Forecast!$D$12)^B$9)</f>
        <v/>
      </c>
      <c r="R34" s="29">
        <f>IF(OR($A34="",AND($C34&lt;&gt;"",N($C34)&lt;C$6)),0,IF($F34&lt;Forecast!$C$13,$G34+(J34-$G34)*MIN(1,C$9*30.4/(Forecast!$C$13-$F34)),$G34)*(1+Forecast!$D$12)^C$9)</f>
        <v/>
      </c>
      <c r="S34" s="29">
        <f>IF(OR($A34="",AND($C34&lt;&gt;"",N($C34)&lt;D$6)),0,IF($F34&lt;Forecast!$C$13,$G34+(J34-$G34)*MIN(1,D$9*30.4/(Forecast!$C$13-$F34)),$G34)*(1+Forecast!$D$12)^D$9)</f>
        <v/>
      </c>
    </row>
    <row r="35">
      <c r="A35" s="3">
        <f>IF(INDEX(Data_Contracts!$A:$A,23+1)="","",INDEX(Data_Contracts!$A:$A,23+1))</f>
        <v/>
      </c>
      <c r="B35" s="30">
        <f>IF(INDEX(Data_Contracts!$C:$C,23+1)="","",INDEX(Data_Contracts!$C:$C,23+1))</f>
        <v/>
      </c>
      <c r="C35" s="30">
        <f>IF(INDEX(Data_Contracts!$D:$D,23+1)="","",INDEX(Data_Contracts!$D:$D,23+1))</f>
        <v/>
      </c>
      <c r="D35" s="31">
        <f>IF(INDEX(Data_Contracts!$E:$E,23+1)="","",INDEX(Data_Contracts!$E:$E,23+1))</f>
        <v/>
      </c>
      <c r="E35" s="26">
        <f>IF(INDEX(Data_Contracts!$F:$F,23+1)="","",INDEX(Data_Contracts!$F:$F,23+1))</f>
        <v/>
      </c>
      <c r="F35" s="23">
        <f>IF($A35="","",$F$6-$B35)</f>
        <v/>
      </c>
      <c r="G35" s="29">
        <f>IF($A35="",0,N(INDEX(Data_Contracts!$H:$H,23+1)))</f>
        <v/>
      </c>
      <c r="H35" s="29">
        <f>IF(OR($A35="",N($E35)=0),0,$D35/$E35*Forecast!$B$11/30.4/1000)</f>
        <v/>
      </c>
      <c r="I35" s="29">
        <f>IF(OR($A35="",N($E35)=0),0,$D35/$E35*Forecast!$C$11/30.4/1000)</f>
        <v/>
      </c>
      <c r="J35" s="29">
        <f>IF(OR($A35="",N($E35)=0),0,$D35/$E35*Forecast!$D$11/30.4/1000)</f>
        <v/>
      </c>
      <c r="K35" s="29">
        <f>IF(OR($A35="",AND($C35&lt;&gt;"",N($C35)&lt;B$6)),0,IF($F35&lt;Forecast!$C$13,$G35+(H35-$G35)*MIN(1,B$9*30.4/(Forecast!$C$13-$F35)),$G35)*(1+Forecast!$B$12)^B$9)</f>
        <v/>
      </c>
      <c r="L35" s="29">
        <f>IF(OR($A35="",AND($C35&lt;&gt;"",N($C35)&lt;C$6)),0,IF($F35&lt;Forecast!$C$13,$G35+(H35-$G35)*MIN(1,C$9*30.4/(Forecast!$C$13-$F35)),$G35)*(1+Forecast!$B$12)^C$9)</f>
        <v/>
      </c>
      <c r="M35" s="29">
        <f>IF(OR($A35="",AND($C35&lt;&gt;"",N($C35)&lt;D$6)),0,IF($F35&lt;Forecast!$C$13,$G35+(H35-$G35)*MIN(1,D$9*30.4/(Forecast!$C$13-$F35)),$G35)*(1+Forecast!$B$12)^D$9)</f>
        <v/>
      </c>
      <c r="N35" s="29">
        <f>IF(OR($A35="",AND($C35&lt;&gt;"",N($C35)&lt;B$6)),0,IF($F35&lt;Forecast!$C$13,$G35+(I35-$G35)*MIN(1,B$9*30.4/(Forecast!$C$13-$F35)),$G35)*(1+Forecast!$C$12)^B$9)</f>
        <v/>
      </c>
      <c r="O35" s="29">
        <f>IF(OR($A35="",AND($C35&lt;&gt;"",N($C35)&lt;C$6)),0,IF($F35&lt;Forecast!$C$13,$G35+(I35-$G35)*MIN(1,C$9*30.4/(Forecast!$C$13-$F35)),$G35)*(1+Forecast!$C$12)^C$9)</f>
        <v/>
      </c>
      <c r="P35" s="29">
        <f>IF(OR($A35="",AND($C35&lt;&gt;"",N($C35)&lt;D$6)),0,IF($F35&lt;Forecast!$C$13,$G35+(I35-$G35)*MIN(1,D$9*30.4/(Forecast!$C$13-$F35)),$G35)*(1+Forecast!$C$12)^D$9)</f>
        <v/>
      </c>
      <c r="Q35" s="29">
        <f>IF(OR($A35="",AND($C35&lt;&gt;"",N($C35)&lt;B$6)),0,IF($F35&lt;Forecast!$C$13,$G35+(J35-$G35)*MIN(1,B$9*30.4/(Forecast!$C$13-$F35)),$G35)*(1+Forecast!$D$12)^B$9)</f>
        <v/>
      </c>
      <c r="R35" s="29">
        <f>IF(OR($A35="",AND($C35&lt;&gt;"",N($C35)&lt;C$6)),0,IF($F35&lt;Forecast!$C$13,$G35+(J35-$G35)*MIN(1,C$9*30.4/(Forecast!$C$13-$F35)),$G35)*(1+Forecast!$D$12)^C$9)</f>
        <v/>
      </c>
      <c r="S35" s="29">
        <f>IF(OR($A35="",AND($C35&lt;&gt;"",N($C35)&lt;D$6)),0,IF($F35&lt;Forecast!$C$13,$G35+(J35-$G35)*MIN(1,D$9*30.4/(Forecast!$C$13-$F35)),$G35)*(1+Forecast!$D$12)^D$9)</f>
        <v/>
      </c>
    </row>
    <row r="36">
      <c r="A36" s="3">
        <f>IF(INDEX(Data_Contracts!$A:$A,24+1)="","",INDEX(Data_Contracts!$A:$A,24+1))</f>
        <v/>
      </c>
      <c r="B36" s="30">
        <f>IF(INDEX(Data_Contracts!$C:$C,24+1)="","",INDEX(Data_Contracts!$C:$C,24+1))</f>
        <v/>
      </c>
      <c r="C36" s="30">
        <f>IF(INDEX(Data_Contracts!$D:$D,24+1)="","",INDEX(Data_Contracts!$D:$D,24+1))</f>
        <v/>
      </c>
      <c r="D36" s="31">
        <f>IF(INDEX(Data_Contracts!$E:$E,24+1)="","",INDEX(Data_Contracts!$E:$E,24+1))</f>
        <v/>
      </c>
      <c r="E36" s="26">
        <f>IF(INDEX(Data_Contracts!$F:$F,24+1)="","",INDEX(Data_Contracts!$F:$F,24+1))</f>
        <v/>
      </c>
      <c r="F36" s="23">
        <f>IF($A36="","",$F$6-$B36)</f>
        <v/>
      </c>
      <c r="G36" s="29">
        <f>IF($A36="",0,N(INDEX(Data_Contracts!$H:$H,24+1)))</f>
        <v/>
      </c>
      <c r="H36" s="29">
        <f>IF(OR($A36="",N($E36)=0),0,$D36/$E36*Forecast!$B$11/30.4/1000)</f>
        <v/>
      </c>
      <c r="I36" s="29">
        <f>IF(OR($A36="",N($E36)=0),0,$D36/$E36*Forecast!$C$11/30.4/1000)</f>
        <v/>
      </c>
      <c r="J36" s="29">
        <f>IF(OR($A36="",N($E36)=0),0,$D36/$E36*Forecast!$D$11/30.4/1000)</f>
        <v/>
      </c>
      <c r="K36" s="29">
        <f>IF(OR($A36="",AND($C36&lt;&gt;"",N($C36)&lt;B$6)),0,IF($F36&lt;Forecast!$C$13,$G36+(H36-$G36)*MIN(1,B$9*30.4/(Forecast!$C$13-$F36)),$G36)*(1+Forecast!$B$12)^B$9)</f>
        <v/>
      </c>
      <c r="L36" s="29">
        <f>IF(OR($A36="",AND($C36&lt;&gt;"",N($C36)&lt;C$6)),0,IF($F36&lt;Forecast!$C$13,$G36+(H36-$G36)*MIN(1,C$9*30.4/(Forecast!$C$13-$F36)),$G36)*(1+Forecast!$B$12)^C$9)</f>
        <v/>
      </c>
      <c r="M36" s="29">
        <f>IF(OR($A36="",AND($C36&lt;&gt;"",N($C36)&lt;D$6)),0,IF($F36&lt;Forecast!$C$13,$G36+(H36-$G36)*MIN(1,D$9*30.4/(Forecast!$C$13-$F36)),$G36)*(1+Forecast!$B$12)^D$9)</f>
        <v/>
      </c>
      <c r="N36" s="29">
        <f>IF(OR($A36="",AND($C36&lt;&gt;"",N($C36)&lt;B$6)),0,IF($F36&lt;Forecast!$C$13,$G36+(I36-$G36)*MIN(1,B$9*30.4/(Forecast!$C$13-$F36)),$G36)*(1+Forecast!$C$12)^B$9)</f>
        <v/>
      </c>
      <c r="O36" s="29">
        <f>IF(OR($A36="",AND($C36&lt;&gt;"",N($C36)&lt;C$6)),0,IF($F36&lt;Forecast!$C$13,$G36+(I36-$G36)*MIN(1,C$9*30.4/(Forecast!$C$13-$F36)),$G36)*(1+Forecast!$C$12)^C$9)</f>
        <v/>
      </c>
      <c r="P36" s="29">
        <f>IF(OR($A36="",AND($C36&lt;&gt;"",N($C36)&lt;D$6)),0,IF($F36&lt;Forecast!$C$13,$G36+(I36-$G36)*MIN(1,D$9*30.4/(Forecast!$C$13-$F36)),$G36)*(1+Forecast!$C$12)^D$9)</f>
        <v/>
      </c>
      <c r="Q36" s="29">
        <f>IF(OR($A36="",AND($C36&lt;&gt;"",N($C36)&lt;B$6)),0,IF($F36&lt;Forecast!$C$13,$G36+(J36-$G36)*MIN(1,B$9*30.4/(Forecast!$C$13-$F36)),$G36)*(1+Forecast!$D$12)^B$9)</f>
        <v/>
      </c>
      <c r="R36" s="29">
        <f>IF(OR($A36="",AND($C36&lt;&gt;"",N($C36)&lt;C$6)),0,IF($F36&lt;Forecast!$C$13,$G36+(J36-$G36)*MIN(1,C$9*30.4/(Forecast!$C$13-$F36)),$G36)*(1+Forecast!$D$12)^C$9)</f>
        <v/>
      </c>
      <c r="S36" s="29">
        <f>IF(OR($A36="",AND($C36&lt;&gt;"",N($C36)&lt;D$6)),0,IF($F36&lt;Forecast!$C$13,$G36+(J36-$G36)*MIN(1,D$9*30.4/(Forecast!$C$13-$F36)),$G36)*(1+Forecast!$D$12)^D$9)</f>
        <v/>
      </c>
    </row>
    <row r="37">
      <c r="A37" s="3">
        <f>IF(INDEX(Data_Contracts!$A:$A,25+1)="","",INDEX(Data_Contracts!$A:$A,25+1))</f>
        <v/>
      </c>
      <c r="B37" s="30">
        <f>IF(INDEX(Data_Contracts!$C:$C,25+1)="","",INDEX(Data_Contracts!$C:$C,25+1))</f>
        <v/>
      </c>
      <c r="C37" s="30">
        <f>IF(INDEX(Data_Contracts!$D:$D,25+1)="","",INDEX(Data_Contracts!$D:$D,25+1))</f>
        <v/>
      </c>
      <c r="D37" s="31">
        <f>IF(INDEX(Data_Contracts!$E:$E,25+1)="","",INDEX(Data_Contracts!$E:$E,25+1))</f>
        <v/>
      </c>
      <c r="E37" s="26">
        <f>IF(INDEX(Data_Contracts!$F:$F,25+1)="","",INDEX(Data_Contracts!$F:$F,25+1))</f>
        <v/>
      </c>
      <c r="F37" s="23">
        <f>IF($A37="","",$F$6-$B37)</f>
        <v/>
      </c>
      <c r="G37" s="29">
        <f>IF($A37="",0,N(INDEX(Data_Contracts!$H:$H,25+1)))</f>
        <v/>
      </c>
      <c r="H37" s="29">
        <f>IF(OR($A37="",N($E37)=0),0,$D37/$E37*Forecast!$B$11/30.4/1000)</f>
        <v/>
      </c>
      <c r="I37" s="29">
        <f>IF(OR($A37="",N($E37)=0),0,$D37/$E37*Forecast!$C$11/30.4/1000)</f>
        <v/>
      </c>
      <c r="J37" s="29">
        <f>IF(OR($A37="",N($E37)=0),0,$D37/$E37*Forecast!$D$11/30.4/1000)</f>
        <v/>
      </c>
      <c r="K37" s="29">
        <f>IF(OR($A37="",AND($C37&lt;&gt;"",N($C37)&lt;B$6)),0,IF($F37&lt;Forecast!$C$13,$G37+(H37-$G37)*MIN(1,B$9*30.4/(Forecast!$C$13-$F37)),$G37)*(1+Forecast!$B$12)^B$9)</f>
        <v/>
      </c>
      <c r="L37" s="29">
        <f>IF(OR($A37="",AND($C37&lt;&gt;"",N($C37)&lt;C$6)),0,IF($F37&lt;Forecast!$C$13,$G37+(H37-$G37)*MIN(1,C$9*30.4/(Forecast!$C$13-$F37)),$G37)*(1+Forecast!$B$12)^C$9)</f>
        <v/>
      </c>
      <c r="M37" s="29">
        <f>IF(OR($A37="",AND($C37&lt;&gt;"",N($C37)&lt;D$6)),0,IF($F37&lt;Forecast!$C$13,$G37+(H37-$G37)*MIN(1,D$9*30.4/(Forecast!$C$13-$F37)),$G37)*(1+Forecast!$B$12)^D$9)</f>
        <v/>
      </c>
      <c r="N37" s="29">
        <f>IF(OR($A37="",AND($C37&lt;&gt;"",N($C37)&lt;B$6)),0,IF($F37&lt;Forecast!$C$13,$G37+(I37-$G37)*MIN(1,B$9*30.4/(Forecast!$C$13-$F37)),$G37)*(1+Forecast!$C$12)^B$9)</f>
        <v/>
      </c>
      <c r="O37" s="29">
        <f>IF(OR($A37="",AND($C37&lt;&gt;"",N($C37)&lt;C$6)),0,IF($F37&lt;Forecast!$C$13,$G37+(I37-$G37)*MIN(1,C$9*30.4/(Forecast!$C$13-$F37)),$G37)*(1+Forecast!$C$12)^C$9)</f>
        <v/>
      </c>
      <c r="P37" s="29">
        <f>IF(OR($A37="",AND($C37&lt;&gt;"",N($C37)&lt;D$6)),0,IF($F37&lt;Forecast!$C$13,$G37+(I37-$G37)*MIN(1,D$9*30.4/(Forecast!$C$13-$F37)),$G37)*(1+Forecast!$C$12)^D$9)</f>
        <v/>
      </c>
      <c r="Q37" s="29">
        <f>IF(OR($A37="",AND($C37&lt;&gt;"",N($C37)&lt;B$6)),0,IF($F37&lt;Forecast!$C$13,$G37+(J37-$G37)*MIN(1,B$9*30.4/(Forecast!$C$13-$F37)),$G37)*(1+Forecast!$D$12)^B$9)</f>
        <v/>
      </c>
      <c r="R37" s="29">
        <f>IF(OR($A37="",AND($C37&lt;&gt;"",N($C37)&lt;C$6)),0,IF($F37&lt;Forecast!$C$13,$G37+(J37-$G37)*MIN(1,C$9*30.4/(Forecast!$C$13-$F37)),$G37)*(1+Forecast!$D$12)^C$9)</f>
        <v/>
      </c>
      <c r="S37" s="29">
        <f>IF(OR($A37="",AND($C37&lt;&gt;"",N($C37)&lt;D$6)),0,IF($F37&lt;Forecast!$C$13,$G37+(J37-$G37)*MIN(1,D$9*30.4/(Forecast!$C$13-$F37)),$G37)*(1+Forecast!$D$12)^D$9)</f>
        <v/>
      </c>
    </row>
    <row r="38">
      <c r="A38" s="3">
        <f>IF(INDEX(Data_Contracts!$A:$A,26+1)="","",INDEX(Data_Contracts!$A:$A,26+1))</f>
        <v/>
      </c>
      <c r="B38" s="30">
        <f>IF(INDEX(Data_Contracts!$C:$C,26+1)="","",INDEX(Data_Contracts!$C:$C,26+1))</f>
        <v/>
      </c>
      <c r="C38" s="30">
        <f>IF(INDEX(Data_Contracts!$D:$D,26+1)="","",INDEX(Data_Contracts!$D:$D,26+1))</f>
        <v/>
      </c>
      <c r="D38" s="31">
        <f>IF(INDEX(Data_Contracts!$E:$E,26+1)="","",INDEX(Data_Contracts!$E:$E,26+1))</f>
        <v/>
      </c>
      <c r="E38" s="26">
        <f>IF(INDEX(Data_Contracts!$F:$F,26+1)="","",INDEX(Data_Contracts!$F:$F,26+1))</f>
        <v/>
      </c>
      <c r="F38" s="23">
        <f>IF($A38="","",$F$6-$B38)</f>
        <v/>
      </c>
      <c r="G38" s="29">
        <f>IF($A38="",0,N(INDEX(Data_Contracts!$H:$H,26+1)))</f>
        <v/>
      </c>
      <c r="H38" s="29">
        <f>IF(OR($A38="",N($E38)=0),0,$D38/$E38*Forecast!$B$11/30.4/1000)</f>
        <v/>
      </c>
      <c r="I38" s="29">
        <f>IF(OR($A38="",N($E38)=0),0,$D38/$E38*Forecast!$C$11/30.4/1000)</f>
        <v/>
      </c>
      <c r="J38" s="29">
        <f>IF(OR($A38="",N($E38)=0),0,$D38/$E38*Forecast!$D$11/30.4/1000)</f>
        <v/>
      </c>
      <c r="K38" s="29">
        <f>IF(OR($A38="",AND($C38&lt;&gt;"",N($C38)&lt;B$6)),0,IF($F38&lt;Forecast!$C$13,$G38+(H38-$G38)*MIN(1,B$9*30.4/(Forecast!$C$13-$F38)),$G38)*(1+Forecast!$B$12)^B$9)</f>
        <v/>
      </c>
      <c r="L38" s="29">
        <f>IF(OR($A38="",AND($C38&lt;&gt;"",N($C38)&lt;C$6)),0,IF($F38&lt;Forecast!$C$13,$G38+(H38-$G38)*MIN(1,C$9*30.4/(Forecast!$C$13-$F38)),$G38)*(1+Forecast!$B$12)^C$9)</f>
        <v/>
      </c>
      <c r="M38" s="29">
        <f>IF(OR($A38="",AND($C38&lt;&gt;"",N($C38)&lt;D$6)),0,IF($F38&lt;Forecast!$C$13,$G38+(H38-$G38)*MIN(1,D$9*30.4/(Forecast!$C$13-$F38)),$G38)*(1+Forecast!$B$12)^D$9)</f>
        <v/>
      </c>
      <c r="N38" s="29">
        <f>IF(OR($A38="",AND($C38&lt;&gt;"",N($C38)&lt;B$6)),0,IF($F38&lt;Forecast!$C$13,$G38+(I38-$G38)*MIN(1,B$9*30.4/(Forecast!$C$13-$F38)),$G38)*(1+Forecast!$C$12)^B$9)</f>
        <v/>
      </c>
      <c r="O38" s="29">
        <f>IF(OR($A38="",AND($C38&lt;&gt;"",N($C38)&lt;C$6)),0,IF($F38&lt;Forecast!$C$13,$G38+(I38-$G38)*MIN(1,C$9*30.4/(Forecast!$C$13-$F38)),$G38)*(1+Forecast!$C$12)^C$9)</f>
        <v/>
      </c>
      <c r="P38" s="29">
        <f>IF(OR($A38="",AND($C38&lt;&gt;"",N($C38)&lt;D$6)),0,IF($F38&lt;Forecast!$C$13,$G38+(I38-$G38)*MIN(1,D$9*30.4/(Forecast!$C$13-$F38)),$G38)*(1+Forecast!$C$12)^D$9)</f>
        <v/>
      </c>
      <c r="Q38" s="29">
        <f>IF(OR($A38="",AND($C38&lt;&gt;"",N($C38)&lt;B$6)),0,IF($F38&lt;Forecast!$C$13,$G38+(J38-$G38)*MIN(1,B$9*30.4/(Forecast!$C$13-$F38)),$G38)*(1+Forecast!$D$12)^B$9)</f>
        <v/>
      </c>
      <c r="R38" s="29">
        <f>IF(OR($A38="",AND($C38&lt;&gt;"",N($C38)&lt;C$6)),0,IF($F38&lt;Forecast!$C$13,$G38+(J38-$G38)*MIN(1,C$9*30.4/(Forecast!$C$13-$F38)),$G38)*(1+Forecast!$D$12)^C$9)</f>
        <v/>
      </c>
      <c r="S38" s="29">
        <f>IF(OR($A38="",AND($C38&lt;&gt;"",N($C38)&lt;D$6)),0,IF($F38&lt;Forecast!$C$13,$G38+(J38-$G38)*MIN(1,D$9*30.4/(Forecast!$C$13-$F38)),$G38)*(1+Forecast!$D$12)^D$9)</f>
        <v/>
      </c>
    </row>
    <row r="39">
      <c r="A39" s="3">
        <f>IF(INDEX(Data_Contracts!$A:$A,27+1)="","",INDEX(Data_Contracts!$A:$A,27+1))</f>
        <v/>
      </c>
      <c r="B39" s="30">
        <f>IF(INDEX(Data_Contracts!$C:$C,27+1)="","",INDEX(Data_Contracts!$C:$C,27+1))</f>
        <v/>
      </c>
      <c r="C39" s="30">
        <f>IF(INDEX(Data_Contracts!$D:$D,27+1)="","",INDEX(Data_Contracts!$D:$D,27+1))</f>
        <v/>
      </c>
      <c r="D39" s="31">
        <f>IF(INDEX(Data_Contracts!$E:$E,27+1)="","",INDEX(Data_Contracts!$E:$E,27+1))</f>
        <v/>
      </c>
      <c r="E39" s="26">
        <f>IF(INDEX(Data_Contracts!$F:$F,27+1)="","",INDEX(Data_Contracts!$F:$F,27+1))</f>
        <v/>
      </c>
      <c r="F39" s="23">
        <f>IF($A39="","",$F$6-$B39)</f>
        <v/>
      </c>
      <c r="G39" s="29">
        <f>IF($A39="",0,N(INDEX(Data_Contracts!$H:$H,27+1)))</f>
        <v/>
      </c>
      <c r="H39" s="29">
        <f>IF(OR($A39="",N($E39)=0),0,$D39/$E39*Forecast!$B$11/30.4/1000)</f>
        <v/>
      </c>
      <c r="I39" s="29">
        <f>IF(OR($A39="",N($E39)=0),0,$D39/$E39*Forecast!$C$11/30.4/1000)</f>
        <v/>
      </c>
      <c r="J39" s="29">
        <f>IF(OR($A39="",N($E39)=0),0,$D39/$E39*Forecast!$D$11/30.4/1000)</f>
        <v/>
      </c>
      <c r="K39" s="29">
        <f>IF(OR($A39="",AND($C39&lt;&gt;"",N($C39)&lt;B$6)),0,IF($F39&lt;Forecast!$C$13,$G39+(H39-$G39)*MIN(1,B$9*30.4/(Forecast!$C$13-$F39)),$G39)*(1+Forecast!$B$12)^B$9)</f>
        <v/>
      </c>
      <c r="L39" s="29">
        <f>IF(OR($A39="",AND($C39&lt;&gt;"",N($C39)&lt;C$6)),0,IF($F39&lt;Forecast!$C$13,$G39+(H39-$G39)*MIN(1,C$9*30.4/(Forecast!$C$13-$F39)),$G39)*(1+Forecast!$B$12)^C$9)</f>
        <v/>
      </c>
      <c r="M39" s="29">
        <f>IF(OR($A39="",AND($C39&lt;&gt;"",N($C39)&lt;D$6)),0,IF($F39&lt;Forecast!$C$13,$G39+(H39-$G39)*MIN(1,D$9*30.4/(Forecast!$C$13-$F39)),$G39)*(1+Forecast!$B$12)^D$9)</f>
        <v/>
      </c>
      <c r="N39" s="29">
        <f>IF(OR($A39="",AND($C39&lt;&gt;"",N($C39)&lt;B$6)),0,IF($F39&lt;Forecast!$C$13,$G39+(I39-$G39)*MIN(1,B$9*30.4/(Forecast!$C$13-$F39)),$G39)*(1+Forecast!$C$12)^B$9)</f>
        <v/>
      </c>
      <c r="O39" s="29">
        <f>IF(OR($A39="",AND($C39&lt;&gt;"",N($C39)&lt;C$6)),0,IF($F39&lt;Forecast!$C$13,$G39+(I39-$G39)*MIN(1,C$9*30.4/(Forecast!$C$13-$F39)),$G39)*(1+Forecast!$C$12)^C$9)</f>
        <v/>
      </c>
      <c r="P39" s="29">
        <f>IF(OR($A39="",AND($C39&lt;&gt;"",N($C39)&lt;D$6)),0,IF($F39&lt;Forecast!$C$13,$G39+(I39-$G39)*MIN(1,D$9*30.4/(Forecast!$C$13-$F39)),$G39)*(1+Forecast!$C$12)^D$9)</f>
        <v/>
      </c>
      <c r="Q39" s="29">
        <f>IF(OR($A39="",AND($C39&lt;&gt;"",N($C39)&lt;B$6)),0,IF($F39&lt;Forecast!$C$13,$G39+(J39-$G39)*MIN(1,B$9*30.4/(Forecast!$C$13-$F39)),$G39)*(1+Forecast!$D$12)^B$9)</f>
        <v/>
      </c>
      <c r="R39" s="29">
        <f>IF(OR($A39="",AND($C39&lt;&gt;"",N($C39)&lt;C$6)),0,IF($F39&lt;Forecast!$C$13,$G39+(J39-$G39)*MIN(1,C$9*30.4/(Forecast!$C$13-$F39)),$G39)*(1+Forecast!$D$12)^C$9)</f>
        <v/>
      </c>
      <c r="S39" s="29">
        <f>IF(OR($A39="",AND($C39&lt;&gt;"",N($C39)&lt;D$6)),0,IF($F39&lt;Forecast!$C$13,$G39+(J39-$G39)*MIN(1,D$9*30.4/(Forecast!$C$13-$F39)),$G39)*(1+Forecast!$D$12)^D$9)</f>
        <v/>
      </c>
    </row>
    <row r="40">
      <c r="A40" s="3">
        <f>IF(INDEX(Data_Contracts!$A:$A,28+1)="","",INDEX(Data_Contracts!$A:$A,28+1))</f>
        <v/>
      </c>
      <c r="B40" s="30">
        <f>IF(INDEX(Data_Contracts!$C:$C,28+1)="","",INDEX(Data_Contracts!$C:$C,28+1))</f>
        <v/>
      </c>
      <c r="C40" s="30">
        <f>IF(INDEX(Data_Contracts!$D:$D,28+1)="","",INDEX(Data_Contracts!$D:$D,28+1))</f>
        <v/>
      </c>
      <c r="D40" s="31">
        <f>IF(INDEX(Data_Contracts!$E:$E,28+1)="","",INDEX(Data_Contracts!$E:$E,28+1))</f>
        <v/>
      </c>
      <c r="E40" s="26">
        <f>IF(INDEX(Data_Contracts!$F:$F,28+1)="","",INDEX(Data_Contracts!$F:$F,28+1))</f>
        <v/>
      </c>
      <c r="F40" s="23">
        <f>IF($A40="","",$F$6-$B40)</f>
        <v/>
      </c>
      <c r="G40" s="29">
        <f>IF($A40="",0,N(INDEX(Data_Contracts!$H:$H,28+1)))</f>
        <v/>
      </c>
      <c r="H40" s="29">
        <f>IF(OR($A40="",N($E40)=0),0,$D40/$E40*Forecast!$B$11/30.4/1000)</f>
        <v/>
      </c>
      <c r="I40" s="29">
        <f>IF(OR($A40="",N($E40)=0),0,$D40/$E40*Forecast!$C$11/30.4/1000)</f>
        <v/>
      </c>
      <c r="J40" s="29">
        <f>IF(OR($A40="",N($E40)=0),0,$D40/$E40*Forecast!$D$11/30.4/1000)</f>
        <v/>
      </c>
      <c r="K40" s="29">
        <f>IF(OR($A40="",AND($C40&lt;&gt;"",N($C40)&lt;B$6)),0,IF($F40&lt;Forecast!$C$13,$G40+(H40-$G40)*MIN(1,B$9*30.4/(Forecast!$C$13-$F40)),$G40)*(1+Forecast!$B$12)^B$9)</f>
        <v/>
      </c>
      <c r="L40" s="29">
        <f>IF(OR($A40="",AND($C40&lt;&gt;"",N($C40)&lt;C$6)),0,IF($F40&lt;Forecast!$C$13,$G40+(H40-$G40)*MIN(1,C$9*30.4/(Forecast!$C$13-$F40)),$G40)*(1+Forecast!$B$12)^C$9)</f>
        <v/>
      </c>
      <c r="M40" s="29">
        <f>IF(OR($A40="",AND($C40&lt;&gt;"",N($C40)&lt;D$6)),0,IF($F40&lt;Forecast!$C$13,$G40+(H40-$G40)*MIN(1,D$9*30.4/(Forecast!$C$13-$F40)),$G40)*(1+Forecast!$B$12)^D$9)</f>
        <v/>
      </c>
      <c r="N40" s="29">
        <f>IF(OR($A40="",AND($C40&lt;&gt;"",N($C40)&lt;B$6)),0,IF($F40&lt;Forecast!$C$13,$G40+(I40-$G40)*MIN(1,B$9*30.4/(Forecast!$C$13-$F40)),$G40)*(1+Forecast!$C$12)^B$9)</f>
        <v/>
      </c>
      <c r="O40" s="29">
        <f>IF(OR($A40="",AND($C40&lt;&gt;"",N($C40)&lt;C$6)),0,IF($F40&lt;Forecast!$C$13,$G40+(I40-$G40)*MIN(1,C$9*30.4/(Forecast!$C$13-$F40)),$G40)*(1+Forecast!$C$12)^C$9)</f>
        <v/>
      </c>
      <c r="P40" s="29">
        <f>IF(OR($A40="",AND($C40&lt;&gt;"",N($C40)&lt;D$6)),0,IF($F40&lt;Forecast!$C$13,$G40+(I40-$G40)*MIN(1,D$9*30.4/(Forecast!$C$13-$F40)),$G40)*(1+Forecast!$C$12)^D$9)</f>
        <v/>
      </c>
      <c r="Q40" s="29">
        <f>IF(OR($A40="",AND($C40&lt;&gt;"",N($C40)&lt;B$6)),0,IF($F40&lt;Forecast!$C$13,$G40+(J40-$G40)*MIN(1,B$9*30.4/(Forecast!$C$13-$F40)),$G40)*(1+Forecast!$D$12)^B$9)</f>
        <v/>
      </c>
      <c r="R40" s="29">
        <f>IF(OR($A40="",AND($C40&lt;&gt;"",N($C40)&lt;C$6)),0,IF($F40&lt;Forecast!$C$13,$G40+(J40-$G40)*MIN(1,C$9*30.4/(Forecast!$C$13-$F40)),$G40)*(1+Forecast!$D$12)^C$9)</f>
        <v/>
      </c>
      <c r="S40" s="29">
        <f>IF(OR($A40="",AND($C40&lt;&gt;"",N($C40)&lt;D$6)),0,IF($F40&lt;Forecast!$C$13,$G40+(J40-$G40)*MIN(1,D$9*30.4/(Forecast!$C$13-$F40)),$G40)*(1+Forecast!$D$12)^D$9)</f>
        <v/>
      </c>
    </row>
    <row r="41">
      <c r="A41" s="3">
        <f>IF(INDEX(Data_Contracts!$A:$A,29+1)="","",INDEX(Data_Contracts!$A:$A,29+1))</f>
        <v/>
      </c>
      <c r="B41" s="30">
        <f>IF(INDEX(Data_Contracts!$C:$C,29+1)="","",INDEX(Data_Contracts!$C:$C,29+1))</f>
        <v/>
      </c>
      <c r="C41" s="30">
        <f>IF(INDEX(Data_Contracts!$D:$D,29+1)="","",INDEX(Data_Contracts!$D:$D,29+1))</f>
        <v/>
      </c>
      <c r="D41" s="31">
        <f>IF(INDEX(Data_Contracts!$E:$E,29+1)="","",INDEX(Data_Contracts!$E:$E,29+1))</f>
        <v/>
      </c>
      <c r="E41" s="26">
        <f>IF(INDEX(Data_Contracts!$F:$F,29+1)="","",INDEX(Data_Contracts!$F:$F,29+1))</f>
        <v/>
      </c>
      <c r="F41" s="23">
        <f>IF($A41="","",$F$6-$B41)</f>
        <v/>
      </c>
      <c r="G41" s="29">
        <f>IF($A41="",0,N(INDEX(Data_Contracts!$H:$H,29+1)))</f>
        <v/>
      </c>
      <c r="H41" s="29">
        <f>IF(OR($A41="",N($E41)=0),0,$D41/$E41*Forecast!$B$11/30.4/1000)</f>
        <v/>
      </c>
      <c r="I41" s="29">
        <f>IF(OR($A41="",N($E41)=0),0,$D41/$E41*Forecast!$C$11/30.4/1000)</f>
        <v/>
      </c>
      <c r="J41" s="29">
        <f>IF(OR($A41="",N($E41)=0),0,$D41/$E41*Forecast!$D$11/30.4/1000)</f>
        <v/>
      </c>
      <c r="K41" s="29">
        <f>IF(OR($A41="",AND($C41&lt;&gt;"",N($C41)&lt;B$6)),0,IF($F41&lt;Forecast!$C$13,$G41+(H41-$G41)*MIN(1,B$9*30.4/(Forecast!$C$13-$F41)),$G41)*(1+Forecast!$B$12)^B$9)</f>
        <v/>
      </c>
      <c r="L41" s="29">
        <f>IF(OR($A41="",AND($C41&lt;&gt;"",N($C41)&lt;C$6)),0,IF($F41&lt;Forecast!$C$13,$G41+(H41-$G41)*MIN(1,C$9*30.4/(Forecast!$C$13-$F41)),$G41)*(1+Forecast!$B$12)^C$9)</f>
        <v/>
      </c>
      <c r="M41" s="29">
        <f>IF(OR($A41="",AND($C41&lt;&gt;"",N($C41)&lt;D$6)),0,IF($F41&lt;Forecast!$C$13,$G41+(H41-$G41)*MIN(1,D$9*30.4/(Forecast!$C$13-$F41)),$G41)*(1+Forecast!$B$12)^D$9)</f>
        <v/>
      </c>
      <c r="N41" s="29">
        <f>IF(OR($A41="",AND($C41&lt;&gt;"",N($C41)&lt;B$6)),0,IF($F41&lt;Forecast!$C$13,$G41+(I41-$G41)*MIN(1,B$9*30.4/(Forecast!$C$13-$F41)),$G41)*(1+Forecast!$C$12)^B$9)</f>
        <v/>
      </c>
      <c r="O41" s="29">
        <f>IF(OR($A41="",AND($C41&lt;&gt;"",N($C41)&lt;C$6)),0,IF($F41&lt;Forecast!$C$13,$G41+(I41-$G41)*MIN(1,C$9*30.4/(Forecast!$C$13-$F41)),$G41)*(1+Forecast!$C$12)^C$9)</f>
        <v/>
      </c>
      <c r="P41" s="29">
        <f>IF(OR($A41="",AND($C41&lt;&gt;"",N($C41)&lt;D$6)),0,IF($F41&lt;Forecast!$C$13,$G41+(I41-$G41)*MIN(1,D$9*30.4/(Forecast!$C$13-$F41)),$G41)*(1+Forecast!$C$12)^D$9)</f>
        <v/>
      </c>
      <c r="Q41" s="29">
        <f>IF(OR($A41="",AND($C41&lt;&gt;"",N($C41)&lt;B$6)),0,IF($F41&lt;Forecast!$C$13,$G41+(J41-$G41)*MIN(1,B$9*30.4/(Forecast!$C$13-$F41)),$G41)*(1+Forecast!$D$12)^B$9)</f>
        <v/>
      </c>
      <c r="R41" s="29">
        <f>IF(OR($A41="",AND($C41&lt;&gt;"",N($C41)&lt;C$6)),0,IF($F41&lt;Forecast!$C$13,$G41+(J41-$G41)*MIN(1,C$9*30.4/(Forecast!$C$13-$F41)),$G41)*(1+Forecast!$D$12)^C$9)</f>
        <v/>
      </c>
      <c r="S41" s="29">
        <f>IF(OR($A41="",AND($C41&lt;&gt;"",N($C41)&lt;D$6)),0,IF($F41&lt;Forecast!$C$13,$G41+(J41-$G41)*MIN(1,D$9*30.4/(Forecast!$C$13-$F41)),$G41)*(1+Forecast!$D$12)^D$9)</f>
        <v/>
      </c>
    </row>
    <row r="42">
      <c r="A42" s="3">
        <f>IF(INDEX(Data_Contracts!$A:$A,30+1)="","",INDEX(Data_Contracts!$A:$A,30+1))</f>
        <v/>
      </c>
      <c r="B42" s="30">
        <f>IF(INDEX(Data_Contracts!$C:$C,30+1)="","",INDEX(Data_Contracts!$C:$C,30+1))</f>
        <v/>
      </c>
      <c r="C42" s="30">
        <f>IF(INDEX(Data_Contracts!$D:$D,30+1)="","",INDEX(Data_Contracts!$D:$D,30+1))</f>
        <v/>
      </c>
      <c r="D42" s="31">
        <f>IF(INDEX(Data_Contracts!$E:$E,30+1)="","",INDEX(Data_Contracts!$E:$E,30+1))</f>
        <v/>
      </c>
      <c r="E42" s="26">
        <f>IF(INDEX(Data_Contracts!$F:$F,30+1)="","",INDEX(Data_Contracts!$F:$F,30+1))</f>
        <v/>
      </c>
      <c r="F42" s="23">
        <f>IF($A42="","",$F$6-$B42)</f>
        <v/>
      </c>
      <c r="G42" s="29">
        <f>IF($A42="",0,N(INDEX(Data_Contracts!$H:$H,30+1)))</f>
        <v/>
      </c>
      <c r="H42" s="29">
        <f>IF(OR($A42="",N($E42)=0),0,$D42/$E42*Forecast!$B$11/30.4/1000)</f>
        <v/>
      </c>
      <c r="I42" s="29">
        <f>IF(OR($A42="",N($E42)=0),0,$D42/$E42*Forecast!$C$11/30.4/1000)</f>
        <v/>
      </c>
      <c r="J42" s="29">
        <f>IF(OR($A42="",N($E42)=0),0,$D42/$E42*Forecast!$D$11/30.4/1000)</f>
        <v/>
      </c>
      <c r="K42" s="29">
        <f>IF(OR($A42="",AND($C42&lt;&gt;"",N($C42)&lt;B$6)),0,IF($F42&lt;Forecast!$C$13,$G42+(H42-$G42)*MIN(1,B$9*30.4/(Forecast!$C$13-$F42)),$G42)*(1+Forecast!$B$12)^B$9)</f>
        <v/>
      </c>
      <c r="L42" s="29">
        <f>IF(OR($A42="",AND($C42&lt;&gt;"",N($C42)&lt;C$6)),0,IF($F42&lt;Forecast!$C$13,$G42+(H42-$G42)*MIN(1,C$9*30.4/(Forecast!$C$13-$F42)),$G42)*(1+Forecast!$B$12)^C$9)</f>
        <v/>
      </c>
      <c r="M42" s="29">
        <f>IF(OR($A42="",AND($C42&lt;&gt;"",N($C42)&lt;D$6)),0,IF($F42&lt;Forecast!$C$13,$G42+(H42-$G42)*MIN(1,D$9*30.4/(Forecast!$C$13-$F42)),$G42)*(1+Forecast!$B$12)^D$9)</f>
        <v/>
      </c>
      <c r="N42" s="29">
        <f>IF(OR($A42="",AND($C42&lt;&gt;"",N($C42)&lt;B$6)),0,IF($F42&lt;Forecast!$C$13,$G42+(I42-$G42)*MIN(1,B$9*30.4/(Forecast!$C$13-$F42)),$G42)*(1+Forecast!$C$12)^B$9)</f>
        <v/>
      </c>
      <c r="O42" s="29">
        <f>IF(OR($A42="",AND($C42&lt;&gt;"",N($C42)&lt;C$6)),0,IF($F42&lt;Forecast!$C$13,$G42+(I42-$G42)*MIN(1,C$9*30.4/(Forecast!$C$13-$F42)),$G42)*(1+Forecast!$C$12)^C$9)</f>
        <v/>
      </c>
      <c r="P42" s="29">
        <f>IF(OR($A42="",AND($C42&lt;&gt;"",N($C42)&lt;D$6)),0,IF($F42&lt;Forecast!$C$13,$G42+(I42-$G42)*MIN(1,D$9*30.4/(Forecast!$C$13-$F42)),$G42)*(1+Forecast!$C$12)^D$9)</f>
        <v/>
      </c>
      <c r="Q42" s="29">
        <f>IF(OR($A42="",AND($C42&lt;&gt;"",N($C42)&lt;B$6)),0,IF($F42&lt;Forecast!$C$13,$G42+(J42-$G42)*MIN(1,B$9*30.4/(Forecast!$C$13-$F42)),$G42)*(1+Forecast!$D$12)^B$9)</f>
        <v/>
      </c>
      <c r="R42" s="29">
        <f>IF(OR($A42="",AND($C42&lt;&gt;"",N($C42)&lt;C$6)),0,IF($F42&lt;Forecast!$C$13,$G42+(J42-$G42)*MIN(1,C$9*30.4/(Forecast!$C$13-$F42)),$G42)*(1+Forecast!$D$12)^C$9)</f>
        <v/>
      </c>
      <c r="S42" s="29">
        <f>IF(OR($A42="",AND($C42&lt;&gt;"",N($C42)&lt;D$6)),0,IF($F42&lt;Forecast!$C$13,$G42+(J42-$G42)*MIN(1,D$9*30.4/(Forecast!$C$13-$F42)),$G42)*(1+Forecast!$D$12)^D$9)</f>
        <v/>
      </c>
    </row>
    <row r="43">
      <c r="A43" s="3">
        <f>IF(INDEX(Data_Contracts!$A:$A,31+1)="","",INDEX(Data_Contracts!$A:$A,31+1))</f>
        <v/>
      </c>
      <c r="B43" s="30">
        <f>IF(INDEX(Data_Contracts!$C:$C,31+1)="","",INDEX(Data_Contracts!$C:$C,31+1))</f>
        <v/>
      </c>
      <c r="C43" s="30">
        <f>IF(INDEX(Data_Contracts!$D:$D,31+1)="","",INDEX(Data_Contracts!$D:$D,31+1))</f>
        <v/>
      </c>
      <c r="D43" s="31">
        <f>IF(INDEX(Data_Contracts!$E:$E,31+1)="","",INDEX(Data_Contracts!$E:$E,31+1))</f>
        <v/>
      </c>
      <c r="E43" s="26">
        <f>IF(INDEX(Data_Contracts!$F:$F,31+1)="","",INDEX(Data_Contracts!$F:$F,31+1))</f>
        <v/>
      </c>
      <c r="F43" s="23">
        <f>IF($A43="","",$F$6-$B43)</f>
        <v/>
      </c>
      <c r="G43" s="29">
        <f>IF($A43="",0,N(INDEX(Data_Contracts!$H:$H,31+1)))</f>
        <v/>
      </c>
      <c r="H43" s="29">
        <f>IF(OR($A43="",N($E43)=0),0,$D43/$E43*Forecast!$B$11/30.4/1000)</f>
        <v/>
      </c>
      <c r="I43" s="29">
        <f>IF(OR($A43="",N($E43)=0),0,$D43/$E43*Forecast!$C$11/30.4/1000)</f>
        <v/>
      </c>
      <c r="J43" s="29">
        <f>IF(OR($A43="",N($E43)=0),0,$D43/$E43*Forecast!$D$11/30.4/1000)</f>
        <v/>
      </c>
      <c r="K43" s="29">
        <f>IF(OR($A43="",AND($C43&lt;&gt;"",N($C43)&lt;B$6)),0,IF($F43&lt;Forecast!$C$13,$G43+(H43-$G43)*MIN(1,B$9*30.4/(Forecast!$C$13-$F43)),$G43)*(1+Forecast!$B$12)^B$9)</f>
        <v/>
      </c>
      <c r="L43" s="29">
        <f>IF(OR($A43="",AND($C43&lt;&gt;"",N($C43)&lt;C$6)),0,IF($F43&lt;Forecast!$C$13,$G43+(H43-$G43)*MIN(1,C$9*30.4/(Forecast!$C$13-$F43)),$G43)*(1+Forecast!$B$12)^C$9)</f>
        <v/>
      </c>
      <c r="M43" s="29">
        <f>IF(OR($A43="",AND($C43&lt;&gt;"",N($C43)&lt;D$6)),0,IF($F43&lt;Forecast!$C$13,$G43+(H43-$G43)*MIN(1,D$9*30.4/(Forecast!$C$13-$F43)),$G43)*(1+Forecast!$B$12)^D$9)</f>
        <v/>
      </c>
      <c r="N43" s="29">
        <f>IF(OR($A43="",AND($C43&lt;&gt;"",N($C43)&lt;B$6)),0,IF($F43&lt;Forecast!$C$13,$G43+(I43-$G43)*MIN(1,B$9*30.4/(Forecast!$C$13-$F43)),$G43)*(1+Forecast!$C$12)^B$9)</f>
        <v/>
      </c>
      <c r="O43" s="29">
        <f>IF(OR($A43="",AND($C43&lt;&gt;"",N($C43)&lt;C$6)),0,IF($F43&lt;Forecast!$C$13,$G43+(I43-$G43)*MIN(1,C$9*30.4/(Forecast!$C$13-$F43)),$G43)*(1+Forecast!$C$12)^C$9)</f>
        <v/>
      </c>
      <c r="P43" s="29">
        <f>IF(OR($A43="",AND($C43&lt;&gt;"",N($C43)&lt;D$6)),0,IF($F43&lt;Forecast!$C$13,$G43+(I43-$G43)*MIN(1,D$9*30.4/(Forecast!$C$13-$F43)),$G43)*(1+Forecast!$C$12)^D$9)</f>
        <v/>
      </c>
      <c r="Q43" s="29">
        <f>IF(OR($A43="",AND($C43&lt;&gt;"",N($C43)&lt;B$6)),0,IF($F43&lt;Forecast!$C$13,$G43+(J43-$G43)*MIN(1,B$9*30.4/(Forecast!$C$13-$F43)),$G43)*(1+Forecast!$D$12)^B$9)</f>
        <v/>
      </c>
      <c r="R43" s="29">
        <f>IF(OR($A43="",AND($C43&lt;&gt;"",N($C43)&lt;C$6)),0,IF($F43&lt;Forecast!$C$13,$G43+(J43-$G43)*MIN(1,C$9*30.4/(Forecast!$C$13-$F43)),$G43)*(1+Forecast!$D$12)^C$9)</f>
        <v/>
      </c>
      <c r="S43" s="29">
        <f>IF(OR($A43="",AND($C43&lt;&gt;"",N($C43)&lt;D$6)),0,IF($F43&lt;Forecast!$C$13,$G43+(J43-$G43)*MIN(1,D$9*30.4/(Forecast!$C$13-$F43)),$G43)*(1+Forecast!$D$12)^D$9)</f>
        <v/>
      </c>
    </row>
    <row r="44">
      <c r="A44" s="3">
        <f>IF(INDEX(Data_Contracts!$A:$A,32+1)="","",INDEX(Data_Contracts!$A:$A,32+1))</f>
        <v/>
      </c>
      <c r="B44" s="30">
        <f>IF(INDEX(Data_Contracts!$C:$C,32+1)="","",INDEX(Data_Contracts!$C:$C,32+1))</f>
        <v/>
      </c>
      <c r="C44" s="30">
        <f>IF(INDEX(Data_Contracts!$D:$D,32+1)="","",INDEX(Data_Contracts!$D:$D,32+1))</f>
        <v/>
      </c>
      <c r="D44" s="31">
        <f>IF(INDEX(Data_Contracts!$E:$E,32+1)="","",INDEX(Data_Contracts!$E:$E,32+1))</f>
        <v/>
      </c>
      <c r="E44" s="26">
        <f>IF(INDEX(Data_Contracts!$F:$F,32+1)="","",INDEX(Data_Contracts!$F:$F,32+1))</f>
        <v/>
      </c>
      <c r="F44" s="23">
        <f>IF($A44="","",$F$6-$B44)</f>
        <v/>
      </c>
      <c r="G44" s="29">
        <f>IF($A44="",0,N(INDEX(Data_Contracts!$H:$H,32+1)))</f>
        <v/>
      </c>
      <c r="H44" s="29">
        <f>IF(OR($A44="",N($E44)=0),0,$D44/$E44*Forecast!$B$11/30.4/1000)</f>
        <v/>
      </c>
      <c r="I44" s="29">
        <f>IF(OR($A44="",N($E44)=0),0,$D44/$E44*Forecast!$C$11/30.4/1000)</f>
        <v/>
      </c>
      <c r="J44" s="29">
        <f>IF(OR($A44="",N($E44)=0),0,$D44/$E44*Forecast!$D$11/30.4/1000)</f>
        <v/>
      </c>
      <c r="K44" s="29">
        <f>IF(OR($A44="",AND($C44&lt;&gt;"",N($C44)&lt;B$6)),0,IF($F44&lt;Forecast!$C$13,$G44+(H44-$G44)*MIN(1,B$9*30.4/(Forecast!$C$13-$F44)),$G44)*(1+Forecast!$B$12)^B$9)</f>
        <v/>
      </c>
      <c r="L44" s="29">
        <f>IF(OR($A44="",AND($C44&lt;&gt;"",N($C44)&lt;C$6)),0,IF($F44&lt;Forecast!$C$13,$G44+(H44-$G44)*MIN(1,C$9*30.4/(Forecast!$C$13-$F44)),$G44)*(1+Forecast!$B$12)^C$9)</f>
        <v/>
      </c>
      <c r="M44" s="29">
        <f>IF(OR($A44="",AND($C44&lt;&gt;"",N($C44)&lt;D$6)),0,IF($F44&lt;Forecast!$C$13,$G44+(H44-$G44)*MIN(1,D$9*30.4/(Forecast!$C$13-$F44)),$G44)*(1+Forecast!$B$12)^D$9)</f>
        <v/>
      </c>
      <c r="N44" s="29">
        <f>IF(OR($A44="",AND($C44&lt;&gt;"",N($C44)&lt;B$6)),0,IF($F44&lt;Forecast!$C$13,$G44+(I44-$G44)*MIN(1,B$9*30.4/(Forecast!$C$13-$F44)),$G44)*(1+Forecast!$C$12)^B$9)</f>
        <v/>
      </c>
      <c r="O44" s="29">
        <f>IF(OR($A44="",AND($C44&lt;&gt;"",N($C44)&lt;C$6)),0,IF($F44&lt;Forecast!$C$13,$G44+(I44-$G44)*MIN(1,C$9*30.4/(Forecast!$C$13-$F44)),$G44)*(1+Forecast!$C$12)^C$9)</f>
        <v/>
      </c>
      <c r="P44" s="29">
        <f>IF(OR($A44="",AND($C44&lt;&gt;"",N($C44)&lt;D$6)),0,IF($F44&lt;Forecast!$C$13,$G44+(I44-$G44)*MIN(1,D$9*30.4/(Forecast!$C$13-$F44)),$G44)*(1+Forecast!$C$12)^D$9)</f>
        <v/>
      </c>
      <c r="Q44" s="29">
        <f>IF(OR($A44="",AND($C44&lt;&gt;"",N($C44)&lt;B$6)),0,IF($F44&lt;Forecast!$C$13,$G44+(J44-$G44)*MIN(1,B$9*30.4/(Forecast!$C$13-$F44)),$G44)*(1+Forecast!$D$12)^B$9)</f>
        <v/>
      </c>
      <c r="R44" s="29">
        <f>IF(OR($A44="",AND($C44&lt;&gt;"",N($C44)&lt;C$6)),0,IF($F44&lt;Forecast!$C$13,$G44+(J44-$G44)*MIN(1,C$9*30.4/(Forecast!$C$13-$F44)),$G44)*(1+Forecast!$D$12)^C$9)</f>
        <v/>
      </c>
      <c r="S44" s="29">
        <f>IF(OR($A44="",AND($C44&lt;&gt;"",N($C44)&lt;D$6)),0,IF($F44&lt;Forecast!$C$13,$G44+(J44-$G44)*MIN(1,D$9*30.4/(Forecast!$C$13-$F44)),$G44)*(1+Forecast!$D$12)^D$9)</f>
        <v/>
      </c>
    </row>
    <row r="45">
      <c r="A45" s="3">
        <f>IF(INDEX(Data_Contracts!$A:$A,33+1)="","",INDEX(Data_Contracts!$A:$A,33+1))</f>
        <v/>
      </c>
      <c r="B45" s="30">
        <f>IF(INDEX(Data_Contracts!$C:$C,33+1)="","",INDEX(Data_Contracts!$C:$C,33+1))</f>
        <v/>
      </c>
      <c r="C45" s="30">
        <f>IF(INDEX(Data_Contracts!$D:$D,33+1)="","",INDEX(Data_Contracts!$D:$D,33+1))</f>
        <v/>
      </c>
      <c r="D45" s="31">
        <f>IF(INDEX(Data_Contracts!$E:$E,33+1)="","",INDEX(Data_Contracts!$E:$E,33+1))</f>
        <v/>
      </c>
      <c r="E45" s="26">
        <f>IF(INDEX(Data_Contracts!$F:$F,33+1)="","",INDEX(Data_Contracts!$F:$F,33+1))</f>
        <v/>
      </c>
      <c r="F45" s="23">
        <f>IF($A45="","",$F$6-$B45)</f>
        <v/>
      </c>
      <c r="G45" s="29">
        <f>IF($A45="",0,N(INDEX(Data_Contracts!$H:$H,33+1)))</f>
        <v/>
      </c>
      <c r="H45" s="29">
        <f>IF(OR($A45="",N($E45)=0),0,$D45/$E45*Forecast!$B$11/30.4/1000)</f>
        <v/>
      </c>
      <c r="I45" s="29">
        <f>IF(OR($A45="",N($E45)=0),0,$D45/$E45*Forecast!$C$11/30.4/1000)</f>
        <v/>
      </c>
      <c r="J45" s="29">
        <f>IF(OR($A45="",N($E45)=0),0,$D45/$E45*Forecast!$D$11/30.4/1000)</f>
        <v/>
      </c>
      <c r="K45" s="29">
        <f>IF(OR($A45="",AND($C45&lt;&gt;"",N($C45)&lt;B$6)),0,IF($F45&lt;Forecast!$C$13,$G45+(H45-$G45)*MIN(1,B$9*30.4/(Forecast!$C$13-$F45)),$G45)*(1+Forecast!$B$12)^B$9)</f>
        <v/>
      </c>
      <c r="L45" s="29">
        <f>IF(OR($A45="",AND($C45&lt;&gt;"",N($C45)&lt;C$6)),0,IF($F45&lt;Forecast!$C$13,$G45+(H45-$G45)*MIN(1,C$9*30.4/(Forecast!$C$13-$F45)),$G45)*(1+Forecast!$B$12)^C$9)</f>
        <v/>
      </c>
      <c r="M45" s="29">
        <f>IF(OR($A45="",AND($C45&lt;&gt;"",N($C45)&lt;D$6)),0,IF($F45&lt;Forecast!$C$13,$G45+(H45-$G45)*MIN(1,D$9*30.4/(Forecast!$C$13-$F45)),$G45)*(1+Forecast!$B$12)^D$9)</f>
        <v/>
      </c>
      <c r="N45" s="29">
        <f>IF(OR($A45="",AND($C45&lt;&gt;"",N($C45)&lt;B$6)),0,IF($F45&lt;Forecast!$C$13,$G45+(I45-$G45)*MIN(1,B$9*30.4/(Forecast!$C$13-$F45)),$G45)*(1+Forecast!$C$12)^B$9)</f>
        <v/>
      </c>
      <c r="O45" s="29">
        <f>IF(OR($A45="",AND($C45&lt;&gt;"",N($C45)&lt;C$6)),0,IF($F45&lt;Forecast!$C$13,$G45+(I45-$G45)*MIN(1,C$9*30.4/(Forecast!$C$13-$F45)),$G45)*(1+Forecast!$C$12)^C$9)</f>
        <v/>
      </c>
      <c r="P45" s="29">
        <f>IF(OR($A45="",AND($C45&lt;&gt;"",N($C45)&lt;D$6)),0,IF($F45&lt;Forecast!$C$13,$G45+(I45-$G45)*MIN(1,D$9*30.4/(Forecast!$C$13-$F45)),$G45)*(1+Forecast!$C$12)^D$9)</f>
        <v/>
      </c>
      <c r="Q45" s="29">
        <f>IF(OR($A45="",AND($C45&lt;&gt;"",N($C45)&lt;B$6)),0,IF($F45&lt;Forecast!$C$13,$G45+(J45-$G45)*MIN(1,B$9*30.4/(Forecast!$C$13-$F45)),$G45)*(1+Forecast!$D$12)^B$9)</f>
        <v/>
      </c>
      <c r="R45" s="29">
        <f>IF(OR($A45="",AND($C45&lt;&gt;"",N($C45)&lt;C$6)),0,IF($F45&lt;Forecast!$C$13,$G45+(J45-$G45)*MIN(1,C$9*30.4/(Forecast!$C$13-$F45)),$G45)*(1+Forecast!$D$12)^C$9)</f>
        <v/>
      </c>
      <c r="S45" s="29">
        <f>IF(OR($A45="",AND($C45&lt;&gt;"",N($C45)&lt;D$6)),0,IF($F45&lt;Forecast!$C$13,$G45+(J45-$G45)*MIN(1,D$9*30.4/(Forecast!$C$13-$F45)),$G45)*(1+Forecast!$D$12)^D$9)</f>
        <v/>
      </c>
    </row>
    <row r="46">
      <c r="A46" s="3">
        <f>IF(INDEX(Data_Contracts!$A:$A,34+1)="","",INDEX(Data_Contracts!$A:$A,34+1))</f>
        <v/>
      </c>
      <c r="B46" s="30">
        <f>IF(INDEX(Data_Contracts!$C:$C,34+1)="","",INDEX(Data_Contracts!$C:$C,34+1))</f>
        <v/>
      </c>
      <c r="C46" s="30">
        <f>IF(INDEX(Data_Contracts!$D:$D,34+1)="","",INDEX(Data_Contracts!$D:$D,34+1))</f>
        <v/>
      </c>
      <c r="D46" s="31">
        <f>IF(INDEX(Data_Contracts!$E:$E,34+1)="","",INDEX(Data_Contracts!$E:$E,34+1))</f>
        <v/>
      </c>
      <c r="E46" s="26">
        <f>IF(INDEX(Data_Contracts!$F:$F,34+1)="","",INDEX(Data_Contracts!$F:$F,34+1))</f>
        <v/>
      </c>
      <c r="F46" s="23">
        <f>IF($A46="","",$F$6-$B46)</f>
        <v/>
      </c>
      <c r="G46" s="29">
        <f>IF($A46="",0,N(INDEX(Data_Contracts!$H:$H,34+1)))</f>
        <v/>
      </c>
      <c r="H46" s="29">
        <f>IF(OR($A46="",N($E46)=0),0,$D46/$E46*Forecast!$B$11/30.4/1000)</f>
        <v/>
      </c>
      <c r="I46" s="29">
        <f>IF(OR($A46="",N($E46)=0),0,$D46/$E46*Forecast!$C$11/30.4/1000)</f>
        <v/>
      </c>
      <c r="J46" s="29">
        <f>IF(OR($A46="",N($E46)=0),0,$D46/$E46*Forecast!$D$11/30.4/1000)</f>
        <v/>
      </c>
      <c r="K46" s="29">
        <f>IF(OR($A46="",AND($C46&lt;&gt;"",N($C46)&lt;B$6)),0,IF($F46&lt;Forecast!$C$13,$G46+(H46-$G46)*MIN(1,B$9*30.4/(Forecast!$C$13-$F46)),$G46)*(1+Forecast!$B$12)^B$9)</f>
        <v/>
      </c>
      <c r="L46" s="29">
        <f>IF(OR($A46="",AND($C46&lt;&gt;"",N($C46)&lt;C$6)),0,IF($F46&lt;Forecast!$C$13,$G46+(H46-$G46)*MIN(1,C$9*30.4/(Forecast!$C$13-$F46)),$G46)*(1+Forecast!$B$12)^C$9)</f>
        <v/>
      </c>
      <c r="M46" s="29">
        <f>IF(OR($A46="",AND($C46&lt;&gt;"",N($C46)&lt;D$6)),0,IF($F46&lt;Forecast!$C$13,$G46+(H46-$G46)*MIN(1,D$9*30.4/(Forecast!$C$13-$F46)),$G46)*(1+Forecast!$B$12)^D$9)</f>
        <v/>
      </c>
      <c r="N46" s="29">
        <f>IF(OR($A46="",AND($C46&lt;&gt;"",N($C46)&lt;B$6)),0,IF($F46&lt;Forecast!$C$13,$G46+(I46-$G46)*MIN(1,B$9*30.4/(Forecast!$C$13-$F46)),$G46)*(1+Forecast!$C$12)^B$9)</f>
        <v/>
      </c>
      <c r="O46" s="29">
        <f>IF(OR($A46="",AND($C46&lt;&gt;"",N($C46)&lt;C$6)),0,IF($F46&lt;Forecast!$C$13,$G46+(I46-$G46)*MIN(1,C$9*30.4/(Forecast!$C$13-$F46)),$G46)*(1+Forecast!$C$12)^C$9)</f>
        <v/>
      </c>
      <c r="P46" s="29">
        <f>IF(OR($A46="",AND($C46&lt;&gt;"",N($C46)&lt;D$6)),0,IF($F46&lt;Forecast!$C$13,$G46+(I46-$G46)*MIN(1,D$9*30.4/(Forecast!$C$13-$F46)),$G46)*(1+Forecast!$C$12)^D$9)</f>
        <v/>
      </c>
      <c r="Q46" s="29">
        <f>IF(OR($A46="",AND($C46&lt;&gt;"",N($C46)&lt;B$6)),0,IF($F46&lt;Forecast!$C$13,$G46+(J46-$G46)*MIN(1,B$9*30.4/(Forecast!$C$13-$F46)),$G46)*(1+Forecast!$D$12)^B$9)</f>
        <v/>
      </c>
      <c r="R46" s="29">
        <f>IF(OR($A46="",AND($C46&lt;&gt;"",N($C46)&lt;C$6)),0,IF($F46&lt;Forecast!$C$13,$G46+(J46-$G46)*MIN(1,C$9*30.4/(Forecast!$C$13-$F46)),$G46)*(1+Forecast!$D$12)^C$9)</f>
        <v/>
      </c>
      <c r="S46" s="29">
        <f>IF(OR($A46="",AND($C46&lt;&gt;"",N($C46)&lt;D$6)),0,IF($F46&lt;Forecast!$C$13,$G46+(J46-$G46)*MIN(1,D$9*30.4/(Forecast!$C$13-$F46)),$G46)*(1+Forecast!$D$12)^D$9)</f>
        <v/>
      </c>
    </row>
    <row r="47">
      <c r="A47" s="3">
        <f>IF(INDEX(Data_Contracts!$A:$A,35+1)="","",INDEX(Data_Contracts!$A:$A,35+1))</f>
        <v/>
      </c>
      <c r="B47" s="30">
        <f>IF(INDEX(Data_Contracts!$C:$C,35+1)="","",INDEX(Data_Contracts!$C:$C,35+1))</f>
        <v/>
      </c>
      <c r="C47" s="30">
        <f>IF(INDEX(Data_Contracts!$D:$D,35+1)="","",INDEX(Data_Contracts!$D:$D,35+1))</f>
        <v/>
      </c>
      <c r="D47" s="31">
        <f>IF(INDEX(Data_Contracts!$E:$E,35+1)="","",INDEX(Data_Contracts!$E:$E,35+1))</f>
        <v/>
      </c>
      <c r="E47" s="26">
        <f>IF(INDEX(Data_Contracts!$F:$F,35+1)="","",INDEX(Data_Contracts!$F:$F,35+1))</f>
        <v/>
      </c>
      <c r="F47" s="23">
        <f>IF($A47="","",$F$6-$B47)</f>
        <v/>
      </c>
      <c r="G47" s="29">
        <f>IF($A47="",0,N(INDEX(Data_Contracts!$H:$H,35+1)))</f>
        <v/>
      </c>
      <c r="H47" s="29">
        <f>IF(OR($A47="",N($E47)=0),0,$D47/$E47*Forecast!$B$11/30.4/1000)</f>
        <v/>
      </c>
      <c r="I47" s="29">
        <f>IF(OR($A47="",N($E47)=0),0,$D47/$E47*Forecast!$C$11/30.4/1000)</f>
        <v/>
      </c>
      <c r="J47" s="29">
        <f>IF(OR($A47="",N($E47)=0),0,$D47/$E47*Forecast!$D$11/30.4/1000)</f>
        <v/>
      </c>
      <c r="K47" s="29">
        <f>IF(OR($A47="",AND($C47&lt;&gt;"",N($C47)&lt;B$6)),0,IF($F47&lt;Forecast!$C$13,$G47+(H47-$G47)*MIN(1,B$9*30.4/(Forecast!$C$13-$F47)),$G47)*(1+Forecast!$B$12)^B$9)</f>
        <v/>
      </c>
      <c r="L47" s="29">
        <f>IF(OR($A47="",AND($C47&lt;&gt;"",N($C47)&lt;C$6)),0,IF($F47&lt;Forecast!$C$13,$G47+(H47-$G47)*MIN(1,C$9*30.4/(Forecast!$C$13-$F47)),$G47)*(1+Forecast!$B$12)^C$9)</f>
        <v/>
      </c>
      <c r="M47" s="29">
        <f>IF(OR($A47="",AND($C47&lt;&gt;"",N($C47)&lt;D$6)),0,IF($F47&lt;Forecast!$C$13,$G47+(H47-$G47)*MIN(1,D$9*30.4/(Forecast!$C$13-$F47)),$G47)*(1+Forecast!$B$12)^D$9)</f>
        <v/>
      </c>
      <c r="N47" s="29">
        <f>IF(OR($A47="",AND($C47&lt;&gt;"",N($C47)&lt;B$6)),0,IF($F47&lt;Forecast!$C$13,$G47+(I47-$G47)*MIN(1,B$9*30.4/(Forecast!$C$13-$F47)),$G47)*(1+Forecast!$C$12)^B$9)</f>
        <v/>
      </c>
      <c r="O47" s="29">
        <f>IF(OR($A47="",AND($C47&lt;&gt;"",N($C47)&lt;C$6)),0,IF($F47&lt;Forecast!$C$13,$G47+(I47-$G47)*MIN(1,C$9*30.4/(Forecast!$C$13-$F47)),$G47)*(1+Forecast!$C$12)^C$9)</f>
        <v/>
      </c>
      <c r="P47" s="29">
        <f>IF(OR($A47="",AND($C47&lt;&gt;"",N($C47)&lt;D$6)),0,IF($F47&lt;Forecast!$C$13,$G47+(I47-$G47)*MIN(1,D$9*30.4/(Forecast!$C$13-$F47)),$G47)*(1+Forecast!$C$12)^D$9)</f>
        <v/>
      </c>
      <c r="Q47" s="29">
        <f>IF(OR($A47="",AND($C47&lt;&gt;"",N($C47)&lt;B$6)),0,IF($F47&lt;Forecast!$C$13,$G47+(J47-$G47)*MIN(1,B$9*30.4/(Forecast!$C$13-$F47)),$G47)*(1+Forecast!$D$12)^B$9)</f>
        <v/>
      </c>
      <c r="R47" s="29">
        <f>IF(OR($A47="",AND($C47&lt;&gt;"",N($C47)&lt;C$6)),0,IF($F47&lt;Forecast!$C$13,$G47+(J47-$G47)*MIN(1,C$9*30.4/(Forecast!$C$13-$F47)),$G47)*(1+Forecast!$D$12)^C$9)</f>
        <v/>
      </c>
      <c r="S47" s="29">
        <f>IF(OR($A47="",AND($C47&lt;&gt;"",N($C47)&lt;D$6)),0,IF($F47&lt;Forecast!$C$13,$G47+(J47-$G47)*MIN(1,D$9*30.4/(Forecast!$C$13-$F47)),$G47)*(1+Forecast!$D$12)^D$9)</f>
        <v/>
      </c>
    </row>
    <row r="48">
      <c r="A48" s="3">
        <f>IF(INDEX(Data_Contracts!$A:$A,36+1)="","",INDEX(Data_Contracts!$A:$A,36+1))</f>
        <v/>
      </c>
      <c r="B48" s="30">
        <f>IF(INDEX(Data_Contracts!$C:$C,36+1)="","",INDEX(Data_Contracts!$C:$C,36+1))</f>
        <v/>
      </c>
      <c r="C48" s="30">
        <f>IF(INDEX(Data_Contracts!$D:$D,36+1)="","",INDEX(Data_Contracts!$D:$D,36+1))</f>
        <v/>
      </c>
      <c r="D48" s="31">
        <f>IF(INDEX(Data_Contracts!$E:$E,36+1)="","",INDEX(Data_Contracts!$E:$E,36+1))</f>
        <v/>
      </c>
      <c r="E48" s="26">
        <f>IF(INDEX(Data_Contracts!$F:$F,36+1)="","",INDEX(Data_Contracts!$F:$F,36+1))</f>
        <v/>
      </c>
      <c r="F48" s="23">
        <f>IF($A48="","",$F$6-$B48)</f>
        <v/>
      </c>
      <c r="G48" s="29">
        <f>IF($A48="",0,N(INDEX(Data_Contracts!$H:$H,36+1)))</f>
        <v/>
      </c>
      <c r="H48" s="29">
        <f>IF(OR($A48="",N($E48)=0),0,$D48/$E48*Forecast!$B$11/30.4/1000)</f>
        <v/>
      </c>
      <c r="I48" s="29">
        <f>IF(OR($A48="",N($E48)=0),0,$D48/$E48*Forecast!$C$11/30.4/1000)</f>
        <v/>
      </c>
      <c r="J48" s="29">
        <f>IF(OR($A48="",N($E48)=0),0,$D48/$E48*Forecast!$D$11/30.4/1000)</f>
        <v/>
      </c>
      <c r="K48" s="29">
        <f>IF(OR($A48="",AND($C48&lt;&gt;"",N($C48)&lt;B$6)),0,IF($F48&lt;Forecast!$C$13,$G48+(H48-$G48)*MIN(1,B$9*30.4/(Forecast!$C$13-$F48)),$G48)*(1+Forecast!$B$12)^B$9)</f>
        <v/>
      </c>
      <c r="L48" s="29">
        <f>IF(OR($A48="",AND($C48&lt;&gt;"",N($C48)&lt;C$6)),0,IF($F48&lt;Forecast!$C$13,$G48+(H48-$G48)*MIN(1,C$9*30.4/(Forecast!$C$13-$F48)),$G48)*(1+Forecast!$B$12)^C$9)</f>
        <v/>
      </c>
      <c r="M48" s="29">
        <f>IF(OR($A48="",AND($C48&lt;&gt;"",N($C48)&lt;D$6)),0,IF($F48&lt;Forecast!$C$13,$G48+(H48-$G48)*MIN(1,D$9*30.4/(Forecast!$C$13-$F48)),$G48)*(1+Forecast!$B$12)^D$9)</f>
        <v/>
      </c>
      <c r="N48" s="29">
        <f>IF(OR($A48="",AND($C48&lt;&gt;"",N($C48)&lt;B$6)),0,IF($F48&lt;Forecast!$C$13,$G48+(I48-$G48)*MIN(1,B$9*30.4/(Forecast!$C$13-$F48)),$G48)*(1+Forecast!$C$12)^B$9)</f>
        <v/>
      </c>
      <c r="O48" s="29">
        <f>IF(OR($A48="",AND($C48&lt;&gt;"",N($C48)&lt;C$6)),0,IF($F48&lt;Forecast!$C$13,$G48+(I48-$G48)*MIN(1,C$9*30.4/(Forecast!$C$13-$F48)),$G48)*(1+Forecast!$C$12)^C$9)</f>
        <v/>
      </c>
      <c r="P48" s="29">
        <f>IF(OR($A48="",AND($C48&lt;&gt;"",N($C48)&lt;D$6)),0,IF($F48&lt;Forecast!$C$13,$G48+(I48-$G48)*MIN(1,D$9*30.4/(Forecast!$C$13-$F48)),$G48)*(1+Forecast!$C$12)^D$9)</f>
        <v/>
      </c>
      <c r="Q48" s="29">
        <f>IF(OR($A48="",AND($C48&lt;&gt;"",N($C48)&lt;B$6)),0,IF($F48&lt;Forecast!$C$13,$G48+(J48-$G48)*MIN(1,B$9*30.4/(Forecast!$C$13-$F48)),$G48)*(1+Forecast!$D$12)^B$9)</f>
        <v/>
      </c>
      <c r="R48" s="29">
        <f>IF(OR($A48="",AND($C48&lt;&gt;"",N($C48)&lt;C$6)),0,IF($F48&lt;Forecast!$C$13,$G48+(J48-$G48)*MIN(1,C$9*30.4/(Forecast!$C$13-$F48)),$G48)*(1+Forecast!$D$12)^C$9)</f>
        <v/>
      </c>
      <c r="S48" s="29">
        <f>IF(OR($A48="",AND($C48&lt;&gt;"",N($C48)&lt;D$6)),0,IF($F48&lt;Forecast!$C$13,$G48+(J48-$G48)*MIN(1,D$9*30.4/(Forecast!$C$13-$F48)),$G48)*(1+Forecast!$D$12)^D$9)</f>
        <v/>
      </c>
    </row>
    <row r="49">
      <c r="A49" s="3">
        <f>IF(INDEX(Data_Contracts!$A:$A,37+1)="","",INDEX(Data_Contracts!$A:$A,37+1))</f>
        <v/>
      </c>
      <c r="B49" s="30">
        <f>IF(INDEX(Data_Contracts!$C:$C,37+1)="","",INDEX(Data_Contracts!$C:$C,37+1))</f>
        <v/>
      </c>
      <c r="C49" s="30">
        <f>IF(INDEX(Data_Contracts!$D:$D,37+1)="","",INDEX(Data_Contracts!$D:$D,37+1))</f>
        <v/>
      </c>
      <c r="D49" s="31">
        <f>IF(INDEX(Data_Contracts!$E:$E,37+1)="","",INDEX(Data_Contracts!$E:$E,37+1))</f>
        <v/>
      </c>
      <c r="E49" s="26">
        <f>IF(INDEX(Data_Contracts!$F:$F,37+1)="","",INDEX(Data_Contracts!$F:$F,37+1))</f>
        <v/>
      </c>
      <c r="F49" s="23">
        <f>IF($A49="","",$F$6-$B49)</f>
        <v/>
      </c>
      <c r="G49" s="29">
        <f>IF($A49="",0,N(INDEX(Data_Contracts!$H:$H,37+1)))</f>
        <v/>
      </c>
      <c r="H49" s="29">
        <f>IF(OR($A49="",N($E49)=0),0,$D49/$E49*Forecast!$B$11/30.4/1000)</f>
        <v/>
      </c>
      <c r="I49" s="29">
        <f>IF(OR($A49="",N($E49)=0),0,$D49/$E49*Forecast!$C$11/30.4/1000)</f>
        <v/>
      </c>
      <c r="J49" s="29">
        <f>IF(OR($A49="",N($E49)=0),0,$D49/$E49*Forecast!$D$11/30.4/1000)</f>
        <v/>
      </c>
      <c r="K49" s="29">
        <f>IF(OR($A49="",AND($C49&lt;&gt;"",N($C49)&lt;B$6)),0,IF($F49&lt;Forecast!$C$13,$G49+(H49-$G49)*MIN(1,B$9*30.4/(Forecast!$C$13-$F49)),$G49)*(1+Forecast!$B$12)^B$9)</f>
        <v/>
      </c>
      <c r="L49" s="29">
        <f>IF(OR($A49="",AND($C49&lt;&gt;"",N($C49)&lt;C$6)),0,IF($F49&lt;Forecast!$C$13,$G49+(H49-$G49)*MIN(1,C$9*30.4/(Forecast!$C$13-$F49)),$G49)*(1+Forecast!$B$12)^C$9)</f>
        <v/>
      </c>
      <c r="M49" s="29">
        <f>IF(OR($A49="",AND($C49&lt;&gt;"",N($C49)&lt;D$6)),0,IF($F49&lt;Forecast!$C$13,$G49+(H49-$G49)*MIN(1,D$9*30.4/(Forecast!$C$13-$F49)),$G49)*(1+Forecast!$B$12)^D$9)</f>
        <v/>
      </c>
      <c r="N49" s="29">
        <f>IF(OR($A49="",AND($C49&lt;&gt;"",N($C49)&lt;B$6)),0,IF($F49&lt;Forecast!$C$13,$G49+(I49-$G49)*MIN(1,B$9*30.4/(Forecast!$C$13-$F49)),$G49)*(1+Forecast!$C$12)^B$9)</f>
        <v/>
      </c>
      <c r="O49" s="29">
        <f>IF(OR($A49="",AND($C49&lt;&gt;"",N($C49)&lt;C$6)),0,IF($F49&lt;Forecast!$C$13,$G49+(I49-$G49)*MIN(1,C$9*30.4/(Forecast!$C$13-$F49)),$G49)*(1+Forecast!$C$12)^C$9)</f>
        <v/>
      </c>
      <c r="P49" s="29">
        <f>IF(OR($A49="",AND($C49&lt;&gt;"",N($C49)&lt;D$6)),0,IF($F49&lt;Forecast!$C$13,$G49+(I49-$G49)*MIN(1,D$9*30.4/(Forecast!$C$13-$F49)),$G49)*(1+Forecast!$C$12)^D$9)</f>
        <v/>
      </c>
      <c r="Q49" s="29">
        <f>IF(OR($A49="",AND($C49&lt;&gt;"",N($C49)&lt;B$6)),0,IF($F49&lt;Forecast!$C$13,$G49+(J49-$G49)*MIN(1,B$9*30.4/(Forecast!$C$13-$F49)),$G49)*(1+Forecast!$D$12)^B$9)</f>
        <v/>
      </c>
      <c r="R49" s="29">
        <f>IF(OR($A49="",AND($C49&lt;&gt;"",N($C49)&lt;C$6)),0,IF($F49&lt;Forecast!$C$13,$G49+(J49-$G49)*MIN(1,C$9*30.4/(Forecast!$C$13-$F49)),$G49)*(1+Forecast!$D$12)^C$9)</f>
        <v/>
      </c>
      <c r="S49" s="29">
        <f>IF(OR($A49="",AND($C49&lt;&gt;"",N($C49)&lt;D$6)),0,IF($F49&lt;Forecast!$C$13,$G49+(J49-$G49)*MIN(1,D$9*30.4/(Forecast!$C$13-$F49)),$G49)*(1+Forecast!$D$12)^D$9)</f>
        <v/>
      </c>
    </row>
    <row r="50">
      <c r="A50" s="3">
        <f>IF(INDEX(Data_Contracts!$A:$A,38+1)="","",INDEX(Data_Contracts!$A:$A,38+1))</f>
        <v/>
      </c>
      <c r="B50" s="30">
        <f>IF(INDEX(Data_Contracts!$C:$C,38+1)="","",INDEX(Data_Contracts!$C:$C,38+1))</f>
        <v/>
      </c>
      <c r="C50" s="30">
        <f>IF(INDEX(Data_Contracts!$D:$D,38+1)="","",INDEX(Data_Contracts!$D:$D,38+1))</f>
        <v/>
      </c>
      <c r="D50" s="31">
        <f>IF(INDEX(Data_Contracts!$E:$E,38+1)="","",INDEX(Data_Contracts!$E:$E,38+1))</f>
        <v/>
      </c>
      <c r="E50" s="26">
        <f>IF(INDEX(Data_Contracts!$F:$F,38+1)="","",INDEX(Data_Contracts!$F:$F,38+1))</f>
        <v/>
      </c>
      <c r="F50" s="23">
        <f>IF($A50="","",$F$6-$B50)</f>
        <v/>
      </c>
      <c r="G50" s="29">
        <f>IF($A50="",0,N(INDEX(Data_Contracts!$H:$H,38+1)))</f>
        <v/>
      </c>
      <c r="H50" s="29">
        <f>IF(OR($A50="",N($E50)=0),0,$D50/$E50*Forecast!$B$11/30.4/1000)</f>
        <v/>
      </c>
      <c r="I50" s="29">
        <f>IF(OR($A50="",N($E50)=0),0,$D50/$E50*Forecast!$C$11/30.4/1000)</f>
        <v/>
      </c>
      <c r="J50" s="29">
        <f>IF(OR($A50="",N($E50)=0),0,$D50/$E50*Forecast!$D$11/30.4/1000)</f>
        <v/>
      </c>
      <c r="K50" s="29">
        <f>IF(OR($A50="",AND($C50&lt;&gt;"",N($C50)&lt;B$6)),0,IF($F50&lt;Forecast!$C$13,$G50+(H50-$G50)*MIN(1,B$9*30.4/(Forecast!$C$13-$F50)),$G50)*(1+Forecast!$B$12)^B$9)</f>
        <v/>
      </c>
      <c r="L50" s="29">
        <f>IF(OR($A50="",AND($C50&lt;&gt;"",N($C50)&lt;C$6)),0,IF($F50&lt;Forecast!$C$13,$G50+(H50-$G50)*MIN(1,C$9*30.4/(Forecast!$C$13-$F50)),$G50)*(1+Forecast!$B$12)^C$9)</f>
        <v/>
      </c>
      <c r="M50" s="29">
        <f>IF(OR($A50="",AND($C50&lt;&gt;"",N($C50)&lt;D$6)),0,IF($F50&lt;Forecast!$C$13,$G50+(H50-$G50)*MIN(1,D$9*30.4/(Forecast!$C$13-$F50)),$G50)*(1+Forecast!$B$12)^D$9)</f>
        <v/>
      </c>
      <c r="N50" s="29">
        <f>IF(OR($A50="",AND($C50&lt;&gt;"",N($C50)&lt;B$6)),0,IF($F50&lt;Forecast!$C$13,$G50+(I50-$G50)*MIN(1,B$9*30.4/(Forecast!$C$13-$F50)),$G50)*(1+Forecast!$C$12)^B$9)</f>
        <v/>
      </c>
      <c r="O50" s="29">
        <f>IF(OR($A50="",AND($C50&lt;&gt;"",N($C50)&lt;C$6)),0,IF($F50&lt;Forecast!$C$13,$G50+(I50-$G50)*MIN(1,C$9*30.4/(Forecast!$C$13-$F50)),$G50)*(1+Forecast!$C$12)^C$9)</f>
        <v/>
      </c>
      <c r="P50" s="29">
        <f>IF(OR($A50="",AND($C50&lt;&gt;"",N($C50)&lt;D$6)),0,IF($F50&lt;Forecast!$C$13,$G50+(I50-$G50)*MIN(1,D$9*30.4/(Forecast!$C$13-$F50)),$G50)*(1+Forecast!$C$12)^D$9)</f>
        <v/>
      </c>
      <c r="Q50" s="29">
        <f>IF(OR($A50="",AND($C50&lt;&gt;"",N($C50)&lt;B$6)),0,IF($F50&lt;Forecast!$C$13,$G50+(J50-$G50)*MIN(1,B$9*30.4/(Forecast!$C$13-$F50)),$G50)*(1+Forecast!$D$12)^B$9)</f>
        <v/>
      </c>
      <c r="R50" s="29">
        <f>IF(OR($A50="",AND($C50&lt;&gt;"",N($C50)&lt;C$6)),0,IF($F50&lt;Forecast!$C$13,$G50+(J50-$G50)*MIN(1,C$9*30.4/(Forecast!$C$13-$F50)),$G50)*(1+Forecast!$D$12)^C$9)</f>
        <v/>
      </c>
      <c r="S50" s="29">
        <f>IF(OR($A50="",AND($C50&lt;&gt;"",N($C50)&lt;D$6)),0,IF($F50&lt;Forecast!$C$13,$G50+(J50-$G50)*MIN(1,D$9*30.4/(Forecast!$C$13-$F50)),$G50)*(1+Forecast!$D$12)^D$9)</f>
        <v/>
      </c>
    </row>
    <row r="51">
      <c r="A51" s="3">
        <f>IF(INDEX(Data_Contracts!$A:$A,39+1)="","",INDEX(Data_Contracts!$A:$A,39+1))</f>
        <v/>
      </c>
      <c r="B51" s="30">
        <f>IF(INDEX(Data_Contracts!$C:$C,39+1)="","",INDEX(Data_Contracts!$C:$C,39+1))</f>
        <v/>
      </c>
      <c r="C51" s="30">
        <f>IF(INDEX(Data_Contracts!$D:$D,39+1)="","",INDEX(Data_Contracts!$D:$D,39+1))</f>
        <v/>
      </c>
      <c r="D51" s="31">
        <f>IF(INDEX(Data_Contracts!$E:$E,39+1)="","",INDEX(Data_Contracts!$E:$E,39+1))</f>
        <v/>
      </c>
      <c r="E51" s="26">
        <f>IF(INDEX(Data_Contracts!$F:$F,39+1)="","",INDEX(Data_Contracts!$F:$F,39+1))</f>
        <v/>
      </c>
      <c r="F51" s="23">
        <f>IF($A51="","",$F$6-$B51)</f>
        <v/>
      </c>
      <c r="G51" s="29">
        <f>IF($A51="",0,N(INDEX(Data_Contracts!$H:$H,39+1)))</f>
        <v/>
      </c>
      <c r="H51" s="29">
        <f>IF(OR($A51="",N($E51)=0),0,$D51/$E51*Forecast!$B$11/30.4/1000)</f>
        <v/>
      </c>
      <c r="I51" s="29">
        <f>IF(OR($A51="",N($E51)=0),0,$D51/$E51*Forecast!$C$11/30.4/1000)</f>
        <v/>
      </c>
      <c r="J51" s="29">
        <f>IF(OR($A51="",N($E51)=0),0,$D51/$E51*Forecast!$D$11/30.4/1000)</f>
        <v/>
      </c>
      <c r="K51" s="29">
        <f>IF(OR($A51="",AND($C51&lt;&gt;"",N($C51)&lt;B$6)),0,IF($F51&lt;Forecast!$C$13,$G51+(H51-$G51)*MIN(1,B$9*30.4/(Forecast!$C$13-$F51)),$G51)*(1+Forecast!$B$12)^B$9)</f>
        <v/>
      </c>
      <c r="L51" s="29">
        <f>IF(OR($A51="",AND($C51&lt;&gt;"",N($C51)&lt;C$6)),0,IF($F51&lt;Forecast!$C$13,$G51+(H51-$G51)*MIN(1,C$9*30.4/(Forecast!$C$13-$F51)),$G51)*(1+Forecast!$B$12)^C$9)</f>
        <v/>
      </c>
      <c r="M51" s="29">
        <f>IF(OR($A51="",AND($C51&lt;&gt;"",N($C51)&lt;D$6)),0,IF($F51&lt;Forecast!$C$13,$G51+(H51-$G51)*MIN(1,D$9*30.4/(Forecast!$C$13-$F51)),$G51)*(1+Forecast!$B$12)^D$9)</f>
        <v/>
      </c>
      <c r="N51" s="29">
        <f>IF(OR($A51="",AND($C51&lt;&gt;"",N($C51)&lt;B$6)),0,IF($F51&lt;Forecast!$C$13,$G51+(I51-$G51)*MIN(1,B$9*30.4/(Forecast!$C$13-$F51)),$G51)*(1+Forecast!$C$12)^B$9)</f>
        <v/>
      </c>
      <c r="O51" s="29">
        <f>IF(OR($A51="",AND($C51&lt;&gt;"",N($C51)&lt;C$6)),0,IF($F51&lt;Forecast!$C$13,$G51+(I51-$G51)*MIN(1,C$9*30.4/(Forecast!$C$13-$F51)),$G51)*(1+Forecast!$C$12)^C$9)</f>
        <v/>
      </c>
      <c r="P51" s="29">
        <f>IF(OR($A51="",AND($C51&lt;&gt;"",N($C51)&lt;D$6)),0,IF($F51&lt;Forecast!$C$13,$G51+(I51-$G51)*MIN(1,D$9*30.4/(Forecast!$C$13-$F51)),$G51)*(1+Forecast!$C$12)^D$9)</f>
        <v/>
      </c>
      <c r="Q51" s="29">
        <f>IF(OR($A51="",AND($C51&lt;&gt;"",N($C51)&lt;B$6)),0,IF($F51&lt;Forecast!$C$13,$G51+(J51-$G51)*MIN(1,B$9*30.4/(Forecast!$C$13-$F51)),$G51)*(1+Forecast!$D$12)^B$9)</f>
        <v/>
      </c>
      <c r="R51" s="29">
        <f>IF(OR($A51="",AND($C51&lt;&gt;"",N($C51)&lt;C$6)),0,IF($F51&lt;Forecast!$C$13,$G51+(J51-$G51)*MIN(1,C$9*30.4/(Forecast!$C$13-$F51)),$G51)*(1+Forecast!$D$12)^C$9)</f>
        <v/>
      </c>
      <c r="S51" s="29">
        <f>IF(OR($A51="",AND($C51&lt;&gt;"",N($C51)&lt;D$6)),0,IF($F51&lt;Forecast!$C$13,$G51+(J51-$G51)*MIN(1,D$9*30.4/(Forecast!$C$13-$F51)),$G51)*(1+Forecast!$D$12)^D$9)</f>
        <v/>
      </c>
    </row>
    <row r="52">
      <c r="A52" s="3">
        <f>IF(INDEX(Data_Contracts!$A:$A,40+1)="","",INDEX(Data_Contracts!$A:$A,40+1))</f>
        <v/>
      </c>
      <c r="B52" s="30">
        <f>IF(INDEX(Data_Contracts!$C:$C,40+1)="","",INDEX(Data_Contracts!$C:$C,40+1))</f>
        <v/>
      </c>
      <c r="C52" s="30">
        <f>IF(INDEX(Data_Contracts!$D:$D,40+1)="","",INDEX(Data_Contracts!$D:$D,40+1))</f>
        <v/>
      </c>
      <c r="D52" s="31">
        <f>IF(INDEX(Data_Contracts!$E:$E,40+1)="","",INDEX(Data_Contracts!$E:$E,40+1))</f>
        <v/>
      </c>
      <c r="E52" s="26">
        <f>IF(INDEX(Data_Contracts!$F:$F,40+1)="","",INDEX(Data_Contracts!$F:$F,40+1))</f>
        <v/>
      </c>
      <c r="F52" s="23">
        <f>IF($A52="","",$F$6-$B52)</f>
        <v/>
      </c>
      <c r="G52" s="29">
        <f>IF($A52="",0,N(INDEX(Data_Contracts!$H:$H,40+1)))</f>
        <v/>
      </c>
      <c r="H52" s="29">
        <f>IF(OR($A52="",N($E52)=0),0,$D52/$E52*Forecast!$B$11/30.4/1000)</f>
        <v/>
      </c>
      <c r="I52" s="29">
        <f>IF(OR($A52="",N($E52)=0),0,$D52/$E52*Forecast!$C$11/30.4/1000)</f>
        <v/>
      </c>
      <c r="J52" s="29">
        <f>IF(OR($A52="",N($E52)=0),0,$D52/$E52*Forecast!$D$11/30.4/1000)</f>
        <v/>
      </c>
      <c r="K52" s="29">
        <f>IF(OR($A52="",AND($C52&lt;&gt;"",N($C52)&lt;B$6)),0,IF($F52&lt;Forecast!$C$13,$G52+(H52-$G52)*MIN(1,B$9*30.4/(Forecast!$C$13-$F52)),$G52)*(1+Forecast!$B$12)^B$9)</f>
        <v/>
      </c>
      <c r="L52" s="29">
        <f>IF(OR($A52="",AND($C52&lt;&gt;"",N($C52)&lt;C$6)),0,IF($F52&lt;Forecast!$C$13,$G52+(H52-$G52)*MIN(1,C$9*30.4/(Forecast!$C$13-$F52)),$G52)*(1+Forecast!$B$12)^C$9)</f>
        <v/>
      </c>
      <c r="M52" s="29">
        <f>IF(OR($A52="",AND($C52&lt;&gt;"",N($C52)&lt;D$6)),0,IF($F52&lt;Forecast!$C$13,$G52+(H52-$G52)*MIN(1,D$9*30.4/(Forecast!$C$13-$F52)),$G52)*(1+Forecast!$B$12)^D$9)</f>
        <v/>
      </c>
      <c r="N52" s="29">
        <f>IF(OR($A52="",AND($C52&lt;&gt;"",N($C52)&lt;B$6)),0,IF($F52&lt;Forecast!$C$13,$G52+(I52-$G52)*MIN(1,B$9*30.4/(Forecast!$C$13-$F52)),$G52)*(1+Forecast!$C$12)^B$9)</f>
        <v/>
      </c>
      <c r="O52" s="29">
        <f>IF(OR($A52="",AND($C52&lt;&gt;"",N($C52)&lt;C$6)),0,IF($F52&lt;Forecast!$C$13,$G52+(I52-$G52)*MIN(1,C$9*30.4/(Forecast!$C$13-$F52)),$G52)*(1+Forecast!$C$12)^C$9)</f>
        <v/>
      </c>
      <c r="P52" s="29">
        <f>IF(OR($A52="",AND($C52&lt;&gt;"",N($C52)&lt;D$6)),0,IF($F52&lt;Forecast!$C$13,$G52+(I52-$G52)*MIN(1,D$9*30.4/(Forecast!$C$13-$F52)),$G52)*(1+Forecast!$C$12)^D$9)</f>
        <v/>
      </c>
      <c r="Q52" s="29">
        <f>IF(OR($A52="",AND($C52&lt;&gt;"",N($C52)&lt;B$6)),0,IF($F52&lt;Forecast!$C$13,$G52+(J52-$G52)*MIN(1,B$9*30.4/(Forecast!$C$13-$F52)),$G52)*(1+Forecast!$D$12)^B$9)</f>
        <v/>
      </c>
      <c r="R52" s="29">
        <f>IF(OR($A52="",AND($C52&lt;&gt;"",N($C52)&lt;C$6)),0,IF($F52&lt;Forecast!$C$13,$G52+(J52-$G52)*MIN(1,C$9*30.4/(Forecast!$C$13-$F52)),$G52)*(1+Forecast!$D$12)^C$9)</f>
        <v/>
      </c>
      <c r="S52" s="29">
        <f>IF(OR($A52="",AND($C52&lt;&gt;"",N($C52)&lt;D$6)),0,IF($F52&lt;Forecast!$C$13,$G52+(J52-$G52)*MIN(1,D$9*30.4/(Forecast!$C$13-$F52)),$G52)*(1+Forecast!$D$12)^D$9)</f>
        <v/>
      </c>
    </row>
    <row r="53">
      <c r="A53" s="2" t="inlineStr">
        <is>
          <t>Total</t>
        </is>
      </c>
      <c r="K53" s="41">
        <f>SUM(K13:K52)</f>
        <v/>
      </c>
      <c r="L53" s="41">
        <f>SUM(L13:L52)</f>
        <v/>
      </c>
      <c r="M53" s="41">
        <f>SUM(M13:M52)</f>
        <v/>
      </c>
      <c r="N53" s="41">
        <f>SUM(N13:N52)</f>
        <v/>
      </c>
      <c r="O53" s="41">
        <f>SUM(O13:O52)</f>
        <v/>
      </c>
      <c r="P53" s="41">
        <f>SUM(P13:P52)</f>
        <v/>
      </c>
      <c r="Q53" s="41">
        <f>SUM(Q13:Q52)</f>
        <v/>
      </c>
      <c r="R53" s="41">
        <f>SUM(R13:R52)</f>
        <v/>
      </c>
      <c r="S53" s="41">
        <f>SUM(S13:S52)</f>
        <v/>
      </c>
    </row>
    <row r="55">
      <c r="A55" s="2" t="inlineStr">
        <is>
          <t>Signed contracts: revenue ($) = greater of usage x price and the commitment</t>
        </is>
      </c>
    </row>
    <row r="56">
      <c r="A56" s="8" t="inlineStr">
        <is>
          <t>Customer</t>
        </is>
      </c>
      <c r="B56" s="8" t="inlineStr">
        <is>
          <t>Low M+1</t>
        </is>
      </c>
      <c r="C56" s="8" t="inlineStr">
        <is>
          <t>Low M+2</t>
        </is>
      </c>
      <c r="D56" s="8" t="inlineStr">
        <is>
          <t>Low M+3</t>
        </is>
      </c>
      <c r="E56" s="8" t="inlineStr">
        <is>
          <t>Base M+1</t>
        </is>
      </c>
      <c r="F56" s="8" t="inlineStr">
        <is>
          <t>Base M+2</t>
        </is>
      </c>
      <c r="G56" s="8" t="inlineStr">
        <is>
          <t>Base M+3</t>
        </is>
      </c>
      <c r="H56" s="8" t="inlineStr">
        <is>
          <t>High M+1</t>
        </is>
      </c>
      <c r="I56" s="8" t="inlineStr">
        <is>
          <t>High M+2</t>
        </is>
      </c>
      <c r="J56" s="8" t="inlineStr">
        <is>
          <t>High M+3</t>
        </is>
      </c>
    </row>
    <row r="57">
      <c r="A57" s="3">
        <f>A13</f>
        <v/>
      </c>
      <c r="B57" s="31">
        <f>IF(OR($A13="",AND($C13&lt;&gt;"",N($C13)&lt;B$6)),0,MAX(K13*B$8*1000*$E13,$D13))</f>
        <v/>
      </c>
      <c r="C57" s="31">
        <f>IF(OR($A13="",AND($C13&lt;&gt;"",N($C13)&lt;C$6)),0,MAX(L13*C$8*1000*$E13,$D13))</f>
        <v/>
      </c>
      <c r="D57" s="31">
        <f>IF(OR($A13="",AND($C13&lt;&gt;"",N($C13)&lt;D$6)),0,MAX(M13*D$8*1000*$E13,$D13))</f>
        <v/>
      </c>
      <c r="E57" s="31">
        <f>IF(OR($A13="",AND($C13&lt;&gt;"",N($C13)&lt;B$6)),0,MAX(N13*B$8*1000*$E13,$D13))</f>
        <v/>
      </c>
      <c r="F57" s="31">
        <f>IF(OR($A13="",AND($C13&lt;&gt;"",N($C13)&lt;C$6)),0,MAX(O13*C$8*1000*$E13,$D13))</f>
        <v/>
      </c>
      <c r="G57" s="31">
        <f>IF(OR($A13="",AND($C13&lt;&gt;"",N($C13)&lt;D$6)),0,MAX(P13*D$8*1000*$E13,$D13))</f>
        <v/>
      </c>
      <c r="H57" s="31">
        <f>IF(OR($A13="",AND($C13&lt;&gt;"",N($C13)&lt;B$6)),0,MAX(Q13*B$8*1000*$E13,$D13))</f>
        <v/>
      </c>
      <c r="I57" s="31">
        <f>IF(OR($A13="",AND($C13&lt;&gt;"",N($C13)&lt;C$6)),0,MAX(R13*C$8*1000*$E13,$D13))</f>
        <v/>
      </c>
      <c r="J57" s="31">
        <f>IF(OR($A13="",AND($C13&lt;&gt;"",N($C13)&lt;D$6)),0,MAX(S13*D$8*1000*$E13,$D13))</f>
        <v/>
      </c>
    </row>
    <row r="58">
      <c r="A58" s="3">
        <f>A14</f>
        <v/>
      </c>
      <c r="B58" s="31">
        <f>IF(OR($A14="",AND($C14&lt;&gt;"",N($C14)&lt;B$6)),0,MAX(K14*B$8*1000*$E14,$D14))</f>
        <v/>
      </c>
      <c r="C58" s="31">
        <f>IF(OR($A14="",AND($C14&lt;&gt;"",N($C14)&lt;C$6)),0,MAX(L14*C$8*1000*$E14,$D14))</f>
        <v/>
      </c>
      <c r="D58" s="31">
        <f>IF(OR($A14="",AND($C14&lt;&gt;"",N($C14)&lt;D$6)),0,MAX(M14*D$8*1000*$E14,$D14))</f>
        <v/>
      </c>
      <c r="E58" s="31">
        <f>IF(OR($A14="",AND($C14&lt;&gt;"",N($C14)&lt;B$6)),0,MAX(N14*B$8*1000*$E14,$D14))</f>
        <v/>
      </c>
      <c r="F58" s="31">
        <f>IF(OR($A14="",AND($C14&lt;&gt;"",N($C14)&lt;C$6)),0,MAX(O14*C$8*1000*$E14,$D14))</f>
        <v/>
      </c>
      <c r="G58" s="31">
        <f>IF(OR($A14="",AND($C14&lt;&gt;"",N($C14)&lt;D$6)),0,MAX(P14*D$8*1000*$E14,$D14))</f>
        <v/>
      </c>
      <c r="H58" s="31">
        <f>IF(OR($A14="",AND($C14&lt;&gt;"",N($C14)&lt;B$6)),0,MAX(Q14*B$8*1000*$E14,$D14))</f>
        <v/>
      </c>
      <c r="I58" s="31">
        <f>IF(OR($A14="",AND($C14&lt;&gt;"",N($C14)&lt;C$6)),0,MAX(R14*C$8*1000*$E14,$D14))</f>
        <v/>
      </c>
      <c r="J58" s="31">
        <f>IF(OR($A14="",AND($C14&lt;&gt;"",N($C14)&lt;D$6)),0,MAX(S14*D$8*1000*$E14,$D14))</f>
        <v/>
      </c>
    </row>
    <row r="59">
      <c r="A59" s="3">
        <f>A15</f>
        <v/>
      </c>
      <c r="B59" s="31">
        <f>IF(OR($A15="",AND($C15&lt;&gt;"",N($C15)&lt;B$6)),0,MAX(K15*B$8*1000*$E15,$D15))</f>
        <v/>
      </c>
      <c r="C59" s="31">
        <f>IF(OR($A15="",AND($C15&lt;&gt;"",N($C15)&lt;C$6)),0,MAX(L15*C$8*1000*$E15,$D15))</f>
        <v/>
      </c>
      <c r="D59" s="31">
        <f>IF(OR($A15="",AND($C15&lt;&gt;"",N($C15)&lt;D$6)),0,MAX(M15*D$8*1000*$E15,$D15))</f>
        <v/>
      </c>
      <c r="E59" s="31">
        <f>IF(OR($A15="",AND($C15&lt;&gt;"",N($C15)&lt;B$6)),0,MAX(N15*B$8*1000*$E15,$D15))</f>
        <v/>
      </c>
      <c r="F59" s="31">
        <f>IF(OR($A15="",AND($C15&lt;&gt;"",N($C15)&lt;C$6)),0,MAX(O15*C$8*1000*$E15,$D15))</f>
        <v/>
      </c>
      <c r="G59" s="31">
        <f>IF(OR($A15="",AND($C15&lt;&gt;"",N($C15)&lt;D$6)),0,MAX(P15*D$8*1000*$E15,$D15))</f>
        <v/>
      </c>
      <c r="H59" s="31">
        <f>IF(OR($A15="",AND($C15&lt;&gt;"",N($C15)&lt;B$6)),0,MAX(Q15*B$8*1000*$E15,$D15))</f>
        <v/>
      </c>
      <c r="I59" s="31">
        <f>IF(OR($A15="",AND($C15&lt;&gt;"",N($C15)&lt;C$6)),0,MAX(R15*C$8*1000*$E15,$D15))</f>
        <v/>
      </c>
      <c r="J59" s="31">
        <f>IF(OR($A15="",AND($C15&lt;&gt;"",N($C15)&lt;D$6)),0,MAX(S15*D$8*1000*$E15,$D15))</f>
        <v/>
      </c>
    </row>
    <row r="60">
      <c r="A60" s="3">
        <f>A16</f>
        <v/>
      </c>
      <c r="B60" s="31">
        <f>IF(OR($A16="",AND($C16&lt;&gt;"",N($C16)&lt;B$6)),0,MAX(K16*B$8*1000*$E16,$D16))</f>
        <v/>
      </c>
      <c r="C60" s="31">
        <f>IF(OR($A16="",AND($C16&lt;&gt;"",N($C16)&lt;C$6)),0,MAX(L16*C$8*1000*$E16,$D16))</f>
        <v/>
      </c>
      <c r="D60" s="31">
        <f>IF(OR($A16="",AND($C16&lt;&gt;"",N($C16)&lt;D$6)),0,MAX(M16*D$8*1000*$E16,$D16))</f>
        <v/>
      </c>
      <c r="E60" s="31">
        <f>IF(OR($A16="",AND($C16&lt;&gt;"",N($C16)&lt;B$6)),0,MAX(N16*B$8*1000*$E16,$D16))</f>
        <v/>
      </c>
      <c r="F60" s="31">
        <f>IF(OR($A16="",AND($C16&lt;&gt;"",N($C16)&lt;C$6)),0,MAX(O16*C$8*1000*$E16,$D16))</f>
        <v/>
      </c>
      <c r="G60" s="31">
        <f>IF(OR($A16="",AND($C16&lt;&gt;"",N($C16)&lt;D$6)),0,MAX(P16*D$8*1000*$E16,$D16))</f>
        <v/>
      </c>
      <c r="H60" s="31">
        <f>IF(OR($A16="",AND($C16&lt;&gt;"",N($C16)&lt;B$6)),0,MAX(Q16*B$8*1000*$E16,$D16))</f>
        <v/>
      </c>
      <c r="I60" s="31">
        <f>IF(OR($A16="",AND($C16&lt;&gt;"",N($C16)&lt;C$6)),0,MAX(R16*C$8*1000*$E16,$D16))</f>
        <v/>
      </c>
      <c r="J60" s="31">
        <f>IF(OR($A16="",AND($C16&lt;&gt;"",N($C16)&lt;D$6)),0,MAX(S16*D$8*1000*$E16,$D16))</f>
        <v/>
      </c>
    </row>
    <row r="61">
      <c r="A61" s="3">
        <f>A17</f>
        <v/>
      </c>
      <c r="B61" s="31">
        <f>IF(OR($A17="",AND($C17&lt;&gt;"",N($C17)&lt;B$6)),0,MAX(K17*B$8*1000*$E17,$D17))</f>
        <v/>
      </c>
      <c r="C61" s="31">
        <f>IF(OR($A17="",AND($C17&lt;&gt;"",N($C17)&lt;C$6)),0,MAX(L17*C$8*1000*$E17,$D17))</f>
        <v/>
      </c>
      <c r="D61" s="31">
        <f>IF(OR($A17="",AND($C17&lt;&gt;"",N($C17)&lt;D$6)),0,MAX(M17*D$8*1000*$E17,$D17))</f>
        <v/>
      </c>
      <c r="E61" s="31">
        <f>IF(OR($A17="",AND($C17&lt;&gt;"",N($C17)&lt;B$6)),0,MAX(N17*B$8*1000*$E17,$D17))</f>
        <v/>
      </c>
      <c r="F61" s="31">
        <f>IF(OR($A17="",AND($C17&lt;&gt;"",N($C17)&lt;C$6)),0,MAX(O17*C$8*1000*$E17,$D17))</f>
        <v/>
      </c>
      <c r="G61" s="31">
        <f>IF(OR($A17="",AND($C17&lt;&gt;"",N($C17)&lt;D$6)),0,MAX(P17*D$8*1000*$E17,$D17))</f>
        <v/>
      </c>
      <c r="H61" s="31">
        <f>IF(OR($A17="",AND($C17&lt;&gt;"",N($C17)&lt;B$6)),0,MAX(Q17*B$8*1000*$E17,$D17))</f>
        <v/>
      </c>
      <c r="I61" s="31">
        <f>IF(OR($A17="",AND($C17&lt;&gt;"",N($C17)&lt;C$6)),0,MAX(R17*C$8*1000*$E17,$D17))</f>
        <v/>
      </c>
      <c r="J61" s="31">
        <f>IF(OR($A17="",AND($C17&lt;&gt;"",N($C17)&lt;D$6)),0,MAX(S17*D$8*1000*$E17,$D17))</f>
        <v/>
      </c>
    </row>
    <row r="62">
      <c r="A62" s="3">
        <f>A18</f>
        <v/>
      </c>
      <c r="B62" s="31">
        <f>IF(OR($A18="",AND($C18&lt;&gt;"",N($C18)&lt;B$6)),0,MAX(K18*B$8*1000*$E18,$D18))</f>
        <v/>
      </c>
      <c r="C62" s="31">
        <f>IF(OR($A18="",AND($C18&lt;&gt;"",N($C18)&lt;C$6)),0,MAX(L18*C$8*1000*$E18,$D18))</f>
        <v/>
      </c>
      <c r="D62" s="31">
        <f>IF(OR($A18="",AND($C18&lt;&gt;"",N($C18)&lt;D$6)),0,MAX(M18*D$8*1000*$E18,$D18))</f>
        <v/>
      </c>
      <c r="E62" s="31">
        <f>IF(OR($A18="",AND($C18&lt;&gt;"",N($C18)&lt;B$6)),0,MAX(N18*B$8*1000*$E18,$D18))</f>
        <v/>
      </c>
      <c r="F62" s="31">
        <f>IF(OR($A18="",AND($C18&lt;&gt;"",N($C18)&lt;C$6)),0,MAX(O18*C$8*1000*$E18,$D18))</f>
        <v/>
      </c>
      <c r="G62" s="31">
        <f>IF(OR($A18="",AND($C18&lt;&gt;"",N($C18)&lt;D$6)),0,MAX(P18*D$8*1000*$E18,$D18))</f>
        <v/>
      </c>
      <c r="H62" s="31">
        <f>IF(OR($A18="",AND($C18&lt;&gt;"",N($C18)&lt;B$6)),0,MAX(Q18*B$8*1000*$E18,$D18))</f>
        <v/>
      </c>
      <c r="I62" s="31">
        <f>IF(OR($A18="",AND($C18&lt;&gt;"",N($C18)&lt;C$6)),0,MAX(R18*C$8*1000*$E18,$D18))</f>
        <v/>
      </c>
      <c r="J62" s="31">
        <f>IF(OR($A18="",AND($C18&lt;&gt;"",N($C18)&lt;D$6)),0,MAX(S18*D$8*1000*$E18,$D18))</f>
        <v/>
      </c>
    </row>
    <row r="63">
      <c r="A63" s="3">
        <f>A19</f>
        <v/>
      </c>
      <c r="B63" s="31">
        <f>IF(OR($A19="",AND($C19&lt;&gt;"",N($C19)&lt;B$6)),0,MAX(K19*B$8*1000*$E19,$D19))</f>
        <v/>
      </c>
      <c r="C63" s="31">
        <f>IF(OR($A19="",AND($C19&lt;&gt;"",N($C19)&lt;C$6)),0,MAX(L19*C$8*1000*$E19,$D19))</f>
        <v/>
      </c>
      <c r="D63" s="31">
        <f>IF(OR($A19="",AND($C19&lt;&gt;"",N($C19)&lt;D$6)),0,MAX(M19*D$8*1000*$E19,$D19))</f>
        <v/>
      </c>
      <c r="E63" s="31">
        <f>IF(OR($A19="",AND($C19&lt;&gt;"",N($C19)&lt;B$6)),0,MAX(N19*B$8*1000*$E19,$D19))</f>
        <v/>
      </c>
      <c r="F63" s="31">
        <f>IF(OR($A19="",AND($C19&lt;&gt;"",N($C19)&lt;C$6)),0,MAX(O19*C$8*1000*$E19,$D19))</f>
        <v/>
      </c>
      <c r="G63" s="31">
        <f>IF(OR($A19="",AND($C19&lt;&gt;"",N($C19)&lt;D$6)),0,MAX(P19*D$8*1000*$E19,$D19))</f>
        <v/>
      </c>
      <c r="H63" s="31">
        <f>IF(OR($A19="",AND($C19&lt;&gt;"",N($C19)&lt;B$6)),0,MAX(Q19*B$8*1000*$E19,$D19))</f>
        <v/>
      </c>
      <c r="I63" s="31">
        <f>IF(OR($A19="",AND($C19&lt;&gt;"",N($C19)&lt;C$6)),0,MAX(R19*C$8*1000*$E19,$D19))</f>
        <v/>
      </c>
      <c r="J63" s="31">
        <f>IF(OR($A19="",AND($C19&lt;&gt;"",N($C19)&lt;D$6)),0,MAX(S19*D$8*1000*$E19,$D19))</f>
        <v/>
      </c>
    </row>
    <row r="64">
      <c r="A64" s="3">
        <f>A20</f>
        <v/>
      </c>
      <c r="B64" s="31">
        <f>IF(OR($A20="",AND($C20&lt;&gt;"",N($C20)&lt;B$6)),0,MAX(K20*B$8*1000*$E20,$D20))</f>
        <v/>
      </c>
      <c r="C64" s="31">
        <f>IF(OR($A20="",AND($C20&lt;&gt;"",N($C20)&lt;C$6)),0,MAX(L20*C$8*1000*$E20,$D20))</f>
        <v/>
      </c>
      <c r="D64" s="31">
        <f>IF(OR($A20="",AND($C20&lt;&gt;"",N($C20)&lt;D$6)),0,MAX(M20*D$8*1000*$E20,$D20))</f>
        <v/>
      </c>
      <c r="E64" s="31">
        <f>IF(OR($A20="",AND($C20&lt;&gt;"",N($C20)&lt;B$6)),0,MAX(N20*B$8*1000*$E20,$D20))</f>
        <v/>
      </c>
      <c r="F64" s="31">
        <f>IF(OR($A20="",AND($C20&lt;&gt;"",N($C20)&lt;C$6)),0,MAX(O20*C$8*1000*$E20,$D20))</f>
        <v/>
      </c>
      <c r="G64" s="31">
        <f>IF(OR($A20="",AND($C20&lt;&gt;"",N($C20)&lt;D$6)),0,MAX(P20*D$8*1000*$E20,$D20))</f>
        <v/>
      </c>
      <c r="H64" s="31">
        <f>IF(OR($A20="",AND($C20&lt;&gt;"",N($C20)&lt;B$6)),0,MAX(Q20*B$8*1000*$E20,$D20))</f>
        <v/>
      </c>
      <c r="I64" s="31">
        <f>IF(OR($A20="",AND($C20&lt;&gt;"",N($C20)&lt;C$6)),0,MAX(R20*C$8*1000*$E20,$D20))</f>
        <v/>
      </c>
      <c r="J64" s="31">
        <f>IF(OR($A20="",AND($C20&lt;&gt;"",N($C20)&lt;D$6)),0,MAX(S20*D$8*1000*$E20,$D20))</f>
        <v/>
      </c>
    </row>
    <row r="65">
      <c r="A65" s="3">
        <f>A21</f>
        <v/>
      </c>
      <c r="B65" s="31">
        <f>IF(OR($A21="",AND($C21&lt;&gt;"",N($C21)&lt;B$6)),0,MAX(K21*B$8*1000*$E21,$D21))</f>
        <v/>
      </c>
      <c r="C65" s="31">
        <f>IF(OR($A21="",AND($C21&lt;&gt;"",N($C21)&lt;C$6)),0,MAX(L21*C$8*1000*$E21,$D21))</f>
        <v/>
      </c>
      <c r="D65" s="31">
        <f>IF(OR($A21="",AND($C21&lt;&gt;"",N($C21)&lt;D$6)),0,MAX(M21*D$8*1000*$E21,$D21))</f>
        <v/>
      </c>
      <c r="E65" s="31">
        <f>IF(OR($A21="",AND($C21&lt;&gt;"",N($C21)&lt;B$6)),0,MAX(N21*B$8*1000*$E21,$D21))</f>
        <v/>
      </c>
      <c r="F65" s="31">
        <f>IF(OR($A21="",AND($C21&lt;&gt;"",N($C21)&lt;C$6)),0,MAX(O21*C$8*1000*$E21,$D21))</f>
        <v/>
      </c>
      <c r="G65" s="31">
        <f>IF(OR($A21="",AND($C21&lt;&gt;"",N($C21)&lt;D$6)),0,MAX(P21*D$8*1000*$E21,$D21))</f>
        <v/>
      </c>
      <c r="H65" s="31">
        <f>IF(OR($A21="",AND($C21&lt;&gt;"",N($C21)&lt;B$6)),0,MAX(Q21*B$8*1000*$E21,$D21))</f>
        <v/>
      </c>
      <c r="I65" s="31">
        <f>IF(OR($A21="",AND($C21&lt;&gt;"",N($C21)&lt;C$6)),0,MAX(R21*C$8*1000*$E21,$D21))</f>
        <v/>
      </c>
      <c r="J65" s="31">
        <f>IF(OR($A21="",AND($C21&lt;&gt;"",N($C21)&lt;D$6)),0,MAX(S21*D$8*1000*$E21,$D21))</f>
        <v/>
      </c>
    </row>
    <row r="66">
      <c r="A66" s="3">
        <f>A22</f>
        <v/>
      </c>
      <c r="B66" s="31">
        <f>IF(OR($A22="",AND($C22&lt;&gt;"",N($C22)&lt;B$6)),0,MAX(K22*B$8*1000*$E22,$D22))</f>
        <v/>
      </c>
      <c r="C66" s="31">
        <f>IF(OR($A22="",AND($C22&lt;&gt;"",N($C22)&lt;C$6)),0,MAX(L22*C$8*1000*$E22,$D22))</f>
        <v/>
      </c>
      <c r="D66" s="31">
        <f>IF(OR($A22="",AND($C22&lt;&gt;"",N($C22)&lt;D$6)),0,MAX(M22*D$8*1000*$E22,$D22))</f>
        <v/>
      </c>
      <c r="E66" s="31">
        <f>IF(OR($A22="",AND($C22&lt;&gt;"",N($C22)&lt;B$6)),0,MAX(N22*B$8*1000*$E22,$D22))</f>
        <v/>
      </c>
      <c r="F66" s="31">
        <f>IF(OR($A22="",AND($C22&lt;&gt;"",N($C22)&lt;C$6)),0,MAX(O22*C$8*1000*$E22,$D22))</f>
        <v/>
      </c>
      <c r="G66" s="31">
        <f>IF(OR($A22="",AND($C22&lt;&gt;"",N($C22)&lt;D$6)),0,MAX(P22*D$8*1000*$E22,$D22))</f>
        <v/>
      </c>
      <c r="H66" s="31">
        <f>IF(OR($A22="",AND($C22&lt;&gt;"",N($C22)&lt;B$6)),0,MAX(Q22*B$8*1000*$E22,$D22))</f>
        <v/>
      </c>
      <c r="I66" s="31">
        <f>IF(OR($A22="",AND($C22&lt;&gt;"",N($C22)&lt;C$6)),0,MAX(R22*C$8*1000*$E22,$D22))</f>
        <v/>
      </c>
      <c r="J66" s="31">
        <f>IF(OR($A22="",AND($C22&lt;&gt;"",N($C22)&lt;D$6)),0,MAX(S22*D$8*1000*$E22,$D22))</f>
        <v/>
      </c>
    </row>
    <row r="67">
      <c r="A67" s="3">
        <f>A23</f>
        <v/>
      </c>
      <c r="B67" s="31">
        <f>IF(OR($A23="",AND($C23&lt;&gt;"",N($C23)&lt;B$6)),0,MAX(K23*B$8*1000*$E23,$D23))</f>
        <v/>
      </c>
      <c r="C67" s="31">
        <f>IF(OR($A23="",AND($C23&lt;&gt;"",N($C23)&lt;C$6)),0,MAX(L23*C$8*1000*$E23,$D23))</f>
        <v/>
      </c>
      <c r="D67" s="31">
        <f>IF(OR($A23="",AND($C23&lt;&gt;"",N($C23)&lt;D$6)),0,MAX(M23*D$8*1000*$E23,$D23))</f>
        <v/>
      </c>
      <c r="E67" s="31">
        <f>IF(OR($A23="",AND($C23&lt;&gt;"",N($C23)&lt;B$6)),0,MAX(N23*B$8*1000*$E23,$D23))</f>
        <v/>
      </c>
      <c r="F67" s="31">
        <f>IF(OR($A23="",AND($C23&lt;&gt;"",N($C23)&lt;C$6)),0,MAX(O23*C$8*1000*$E23,$D23))</f>
        <v/>
      </c>
      <c r="G67" s="31">
        <f>IF(OR($A23="",AND($C23&lt;&gt;"",N($C23)&lt;D$6)),0,MAX(P23*D$8*1000*$E23,$D23))</f>
        <v/>
      </c>
      <c r="H67" s="31">
        <f>IF(OR($A23="",AND($C23&lt;&gt;"",N($C23)&lt;B$6)),0,MAX(Q23*B$8*1000*$E23,$D23))</f>
        <v/>
      </c>
      <c r="I67" s="31">
        <f>IF(OR($A23="",AND($C23&lt;&gt;"",N($C23)&lt;C$6)),0,MAX(R23*C$8*1000*$E23,$D23))</f>
        <v/>
      </c>
      <c r="J67" s="31">
        <f>IF(OR($A23="",AND($C23&lt;&gt;"",N($C23)&lt;D$6)),0,MAX(S23*D$8*1000*$E23,$D23))</f>
        <v/>
      </c>
    </row>
    <row r="68">
      <c r="A68" s="3">
        <f>A24</f>
        <v/>
      </c>
      <c r="B68" s="31">
        <f>IF(OR($A24="",AND($C24&lt;&gt;"",N($C24)&lt;B$6)),0,MAX(K24*B$8*1000*$E24,$D24))</f>
        <v/>
      </c>
      <c r="C68" s="31">
        <f>IF(OR($A24="",AND($C24&lt;&gt;"",N($C24)&lt;C$6)),0,MAX(L24*C$8*1000*$E24,$D24))</f>
        <v/>
      </c>
      <c r="D68" s="31">
        <f>IF(OR($A24="",AND($C24&lt;&gt;"",N($C24)&lt;D$6)),0,MAX(M24*D$8*1000*$E24,$D24))</f>
        <v/>
      </c>
      <c r="E68" s="31">
        <f>IF(OR($A24="",AND($C24&lt;&gt;"",N($C24)&lt;B$6)),0,MAX(N24*B$8*1000*$E24,$D24))</f>
        <v/>
      </c>
      <c r="F68" s="31">
        <f>IF(OR($A24="",AND($C24&lt;&gt;"",N($C24)&lt;C$6)),0,MAX(O24*C$8*1000*$E24,$D24))</f>
        <v/>
      </c>
      <c r="G68" s="31">
        <f>IF(OR($A24="",AND($C24&lt;&gt;"",N($C24)&lt;D$6)),0,MAX(P24*D$8*1000*$E24,$D24))</f>
        <v/>
      </c>
      <c r="H68" s="31">
        <f>IF(OR($A24="",AND($C24&lt;&gt;"",N($C24)&lt;B$6)),0,MAX(Q24*B$8*1000*$E24,$D24))</f>
        <v/>
      </c>
      <c r="I68" s="31">
        <f>IF(OR($A24="",AND($C24&lt;&gt;"",N($C24)&lt;C$6)),0,MAX(R24*C$8*1000*$E24,$D24))</f>
        <v/>
      </c>
      <c r="J68" s="31">
        <f>IF(OR($A24="",AND($C24&lt;&gt;"",N($C24)&lt;D$6)),0,MAX(S24*D$8*1000*$E24,$D24))</f>
        <v/>
      </c>
    </row>
    <row r="69">
      <c r="A69" s="3">
        <f>A25</f>
        <v/>
      </c>
      <c r="B69" s="31">
        <f>IF(OR($A25="",AND($C25&lt;&gt;"",N($C25)&lt;B$6)),0,MAX(K25*B$8*1000*$E25,$D25))</f>
        <v/>
      </c>
      <c r="C69" s="31">
        <f>IF(OR($A25="",AND($C25&lt;&gt;"",N($C25)&lt;C$6)),0,MAX(L25*C$8*1000*$E25,$D25))</f>
        <v/>
      </c>
      <c r="D69" s="31">
        <f>IF(OR($A25="",AND($C25&lt;&gt;"",N($C25)&lt;D$6)),0,MAX(M25*D$8*1000*$E25,$D25))</f>
        <v/>
      </c>
      <c r="E69" s="31">
        <f>IF(OR($A25="",AND($C25&lt;&gt;"",N($C25)&lt;B$6)),0,MAX(N25*B$8*1000*$E25,$D25))</f>
        <v/>
      </c>
      <c r="F69" s="31">
        <f>IF(OR($A25="",AND($C25&lt;&gt;"",N($C25)&lt;C$6)),0,MAX(O25*C$8*1000*$E25,$D25))</f>
        <v/>
      </c>
      <c r="G69" s="31">
        <f>IF(OR($A25="",AND($C25&lt;&gt;"",N($C25)&lt;D$6)),0,MAX(P25*D$8*1000*$E25,$D25))</f>
        <v/>
      </c>
      <c r="H69" s="31">
        <f>IF(OR($A25="",AND($C25&lt;&gt;"",N($C25)&lt;B$6)),0,MAX(Q25*B$8*1000*$E25,$D25))</f>
        <v/>
      </c>
      <c r="I69" s="31">
        <f>IF(OR($A25="",AND($C25&lt;&gt;"",N($C25)&lt;C$6)),0,MAX(R25*C$8*1000*$E25,$D25))</f>
        <v/>
      </c>
      <c r="J69" s="31">
        <f>IF(OR($A25="",AND($C25&lt;&gt;"",N($C25)&lt;D$6)),0,MAX(S25*D$8*1000*$E25,$D25))</f>
        <v/>
      </c>
    </row>
    <row r="70">
      <c r="A70" s="3">
        <f>A26</f>
        <v/>
      </c>
      <c r="B70" s="31">
        <f>IF(OR($A26="",AND($C26&lt;&gt;"",N($C26)&lt;B$6)),0,MAX(K26*B$8*1000*$E26,$D26))</f>
        <v/>
      </c>
      <c r="C70" s="31">
        <f>IF(OR($A26="",AND($C26&lt;&gt;"",N($C26)&lt;C$6)),0,MAX(L26*C$8*1000*$E26,$D26))</f>
        <v/>
      </c>
      <c r="D70" s="31">
        <f>IF(OR($A26="",AND($C26&lt;&gt;"",N($C26)&lt;D$6)),0,MAX(M26*D$8*1000*$E26,$D26))</f>
        <v/>
      </c>
      <c r="E70" s="31">
        <f>IF(OR($A26="",AND($C26&lt;&gt;"",N($C26)&lt;B$6)),0,MAX(N26*B$8*1000*$E26,$D26))</f>
        <v/>
      </c>
      <c r="F70" s="31">
        <f>IF(OR($A26="",AND($C26&lt;&gt;"",N($C26)&lt;C$6)),0,MAX(O26*C$8*1000*$E26,$D26))</f>
        <v/>
      </c>
      <c r="G70" s="31">
        <f>IF(OR($A26="",AND($C26&lt;&gt;"",N($C26)&lt;D$6)),0,MAX(P26*D$8*1000*$E26,$D26))</f>
        <v/>
      </c>
      <c r="H70" s="31">
        <f>IF(OR($A26="",AND($C26&lt;&gt;"",N($C26)&lt;B$6)),0,MAX(Q26*B$8*1000*$E26,$D26))</f>
        <v/>
      </c>
      <c r="I70" s="31">
        <f>IF(OR($A26="",AND($C26&lt;&gt;"",N($C26)&lt;C$6)),0,MAX(R26*C$8*1000*$E26,$D26))</f>
        <v/>
      </c>
      <c r="J70" s="31">
        <f>IF(OR($A26="",AND($C26&lt;&gt;"",N($C26)&lt;D$6)),0,MAX(S26*D$8*1000*$E26,$D26))</f>
        <v/>
      </c>
    </row>
    <row r="71">
      <c r="A71" s="3">
        <f>A27</f>
        <v/>
      </c>
      <c r="B71" s="31">
        <f>IF(OR($A27="",AND($C27&lt;&gt;"",N($C27)&lt;B$6)),0,MAX(K27*B$8*1000*$E27,$D27))</f>
        <v/>
      </c>
      <c r="C71" s="31">
        <f>IF(OR($A27="",AND($C27&lt;&gt;"",N($C27)&lt;C$6)),0,MAX(L27*C$8*1000*$E27,$D27))</f>
        <v/>
      </c>
      <c r="D71" s="31">
        <f>IF(OR($A27="",AND($C27&lt;&gt;"",N($C27)&lt;D$6)),0,MAX(M27*D$8*1000*$E27,$D27))</f>
        <v/>
      </c>
      <c r="E71" s="31">
        <f>IF(OR($A27="",AND($C27&lt;&gt;"",N($C27)&lt;B$6)),0,MAX(N27*B$8*1000*$E27,$D27))</f>
        <v/>
      </c>
      <c r="F71" s="31">
        <f>IF(OR($A27="",AND($C27&lt;&gt;"",N($C27)&lt;C$6)),0,MAX(O27*C$8*1000*$E27,$D27))</f>
        <v/>
      </c>
      <c r="G71" s="31">
        <f>IF(OR($A27="",AND($C27&lt;&gt;"",N($C27)&lt;D$6)),0,MAX(P27*D$8*1000*$E27,$D27))</f>
        <v/>
      </c>
      <c r="H71" s="31">
        <f>IF(OR($A27="",AND($C27&lt;&gt;"",N($C27)&lt;B$6)),0,MAX(Q27*B$8*1000*$E27,$D27))</f>
        <v/>
      </c>
      <c r="I71" s="31">
        <f>IF(OR($A27="",AND($C27&lt;&gt;"",N($C27)&lt;C$6)),0,MAX(R27*C$8*1000*$E27,$D27))</f>
        <v/>
      </c>
      <c r="J71" s="31">
        <f>IF(OR($A27="",AND($C27&lt;&gt;"",N($C27)&lt;D$6)),0,MAX(S27*D$8*1000*$E27,$D27))</f>
        <v/>
      </c>
    </row>
    <row r="72">
      <c r="A72" s="3">
        <f>A28</f>
        <v/>
      </c>
      <c r="B72" s="31">
        <f>IF(OR($A28="",AND($C28&lt;&gt;"",N($C28)&lt;B$6)),0,MAX(K28*B$8*1000*$E28,$D28))</f>
        <v/>
      </c>
      <c r="C72" s="31">
        <f>IF(OR($A28="",AND($C28&lt;&gt;"",N($C28)&lt;C$6)),0,MAX(L28*C$8*1000*$E28,$D28))</f>
        <v/>
      </c>
      <c r="D72" s="31">
        <f>IF(OR($A28="",AND($C28&lt;&gt;"",N($C28)&lt;D$6)),0,MAX(M28*D$8*1000*$E28,$D28))</f>
        <v/>
      </c>
      <c r="E72" s="31">
        <f>IF(OR($A28="",AND($C28&lt;&gt;"",N($C28)&lt;B$6)),0,MAX(N28*B$8*1000*$E28,$D28))</f>
        <v/>
      </c>
      <c r="F72" s="31">
        <f>IF(OR($A28="",AND($C28&lt;&gt;"",N($C28)&lt;C$6)),0,MAX(O28*C$8*1000*$E28,$D28))</f>
        <v/>
      </c>
      <c r="G72" s="31">
        <f>IF(OR($A28="",AND($C28&lt;&gt;"",N($C28)&lt;D$6)),0,MAX(P28*D$8*1000*$E28,$D28))</f>
        <v/>
      </c>
      <c r="H72" s="31">
        <f>IF(OR($A28="",AND($C28&lt;&gt;"",N($C28)&lt;B$6)),0,MAX(Q28*B$8*1000*$E28,$D28))</f>
        <v/>
      </c>
      <c r="I72" s="31">
        <f>IF(OR($A28="",AND($C28&lt;&gt;"",N($C28)&lt;C$6)),0,MAX(R28*C$8*1000*$E28,$D28))</f>
        <v/>
      </c>
      <c r="J72" s="31">
        <f>IF(OR($A28="",AND($C28&lt;&gt;"",N($C28)&lt;D$6)),0,MAX(S28*D$8*1000*$E28,$D28))</f>
        <v/>
      </c>
    </row>
    <row r="73">
      <c r="A73" s="3">
        <f>A29</f>
        <v/>
      </c>
      <c r="B73" s="31">
        <f>IF(OR($A29="",AND($C29&lt;&gt;"",N($C29)&lt;B$6)),0,MAX(K29*B$8*1000*$E29,$D29))</f>
        <v/>
      </c>
      <c r="C73" s="31">
        <f>IF(OR($A29="",AND($C29&lt;&gt;"",N($C29)&lt;C$6)),0,MAX(L29*C$8*1000*$E29,$D29))</f>
        <v/>
      </c>
      <c r="D73" s="31">
        <f>IF(OR($A29="",AND($C29&lt;&gt;"",N($C29)&lt;D$6)),0,MAX(M29*D$8*1000*$E29,$D29))</f>
        <v/>
      </c>
      <c r="E73" s="31">
        <f>IF(OR($A29="",AND($C29&lt;&gt;"",N($C29)&lt;B$6)),0,MAX(N29*B$8*1000*$E29,$D29))</f>
        <v/>
      </c>
      <c r="F73" s="31">
        <f>IF(OR($A29="",AND($C29&lt;&gt;"",N($C29)&lt;C$6)),0,MAX(O29*C$8*1000*$E29,$D29))</f>
        <v/>
      </c>
      <c r="G73" s="31">
        <f>IF(OR($A29="",AND($C29&lt;&gt;"",N($C29)&lt;D$6)),0,MAX(P29*D$8*1000*$E29,$D29))</f>
        <v/>
      </c>
      <c r="H73" s="31">
        <f>IF(OR($A29="",AND($C29&lt;&gt;"",N($C29)&lt;B$6)),0,MAX(Q29*B$8*1000*$E29,$D29))</f>
        <v/>
      </c>
      <c r="I73" s="31">
        <f>IF(OR($A29="",AND($C29&lt;&gt;"",N($C29)&lt;C$6)),0,MAX(R29*C$8*1000*$E29,$D29))</f>
        <v/>
      </c>
      <c r="J73" s="31">
        <f>IF(OR($A29="",AND($C29&lt;&gt;"",N($C29)&lt;D$6)),0,MAX(S29*D$8*1000*$E29,$D29))</f>
        <v/>
      </c>
    </row>
    <row r="74">
      <c r="A74" s="3">
        <f>A30</f>
        <v/>
      </c>
      <c r="B74" s="31">
        <f>IF(OR($A30="",AND($C30&lt;&gt;"",N($C30)&lt;B$6)),0,MAX(K30*B$8*1000*$E30,$D30))</f>
        <v/>
      </c>
      <c r="C74" s="31">
        <f>IF(OR($A30="",AND($C30&lt;&gt;"",N($C30)&lt;C$6)),0,MAX(L30*C$8*1000*$E30,$D30))</f>
        <v/>
      </c>
      <c r="D74" s="31">
        <f>IF(OR($A30="",AND($C30&lt;&gt;"",N($C30)&lt;D$6)),0,MAX(M30*D$8*1000*$E30,$D30))</f>
        <v/>
      </c>
      <c r="E74" s="31">
        <f>IF(OR($A30="",AND($C30&lt;&gt;"",N($C30)&lt;B$6)),0,MAX(N30*B$8*1000*$E30,$D30))</f>
        <v/>
      </c>
      <c r="F74" s="31">
        <f>IF(OR($A30="",AND($C30&lt;&gt;"",N($C30)&lt;C$6)),0,MAX(O30*C$8*1000*$E30,$D30))</f>
        <v/>
      </c>
      <c r="G74" s="31">
        <f>IF(OR($A30="",AND($C30&lt;&gt;"",N($C30)&lt;D$6)),0,MAX(P30*D$8*1000*$E30,$D30))</f>
        <v/>
      </c>
      <c r="H74" s="31">
        <f>IF(OR($A30="",AND($C30&lt;&gt;"",N($C30)&lt;B$6)),0,MAX(Q30*B$8*1000*$E30,$D30))</f>
        <v/>
      </c>
      <c r="I74" s="31">
        <f>IF(OR($A30="",AND($C30&lt;&gt;"",N($C30)&lt;C$6)),0,MAX(R30*C$8*1000*$E30,$D30))</f>
        <v/>
      </c>
      <c r="J74" s="31">
        <f>IF(OR($A30="",AND($C30&lt;&gt;"",N($C30)&lt;D$6)),0,MAX(S30*D$8*1000*$E30,$D30))</f>
        <v/>
      </c>
    </row>
    <row r="75">
      <c r="A75" s="3">
        <f>A31</f>
        <v/>
      </c>
      <c r="B75" s="31">
        <f>IF(OR($A31="",AND($C31&lt;&gt;"",N($C31)&lt;B$6)),0,MAX(K31*B$8*1000*$E31,$D31))</f>
        <v/>
      </c>
      <c r="C75" s="31">
        <f>IF(OR($A31="",AND($C31&lt;&gt;"",N($C31)&lt;C$6)),0,MAX(L31*C$8*1000*$E31,$D31))</f>
        <v/>
      </c>
      <c r="D75" s="31">
        <f>IF(OR($A31="",AND($C31&lt;&gt;"",N($C31)&lt;D$6)),0,MAX(M31*D$8*1000*$E31,$D31))</f>
        <v/>
      </c>
      <c r="E75" s="31">
        <f>IF(OR($A31="",AND($C31&lt;&gt;"",N($C31)&lt;B$6)),0,MAX(N31*B$8*1000*$E31,$D31))</f>
        <v/>
      </c>
      <c r="F75" s="31">
        <f>IF(OR($A31="",AND($C31&lt;&gt;"",N($C31)&lt;C$6)),0,MAX(O31*C$8*1000*$E31,$D31))</f>
        <v/>
      </c>
      <c r="G75" s="31">
        <f>IF(OR($A31="",AND($C31&lt;&gt;"",N($C31)&lt;D$6)),0,MAX(P31*D$8*1000*$E31,$D31))</f>
        <v/>
      </c>
      <c r="H75" s="31">
        <f>IF(OR($A31="",AND($C31&lt;&gt;"",N($C31)&lt;B$6)),0,MAX(Q31*B$8*1000*$E31,$D31))</f>
        <v/>
      </c>
      <c r="I75" s="31">
        <f>IF(OR($A31="",AND($C31&lt;&gt;"",N($C31)&lt;C$6)),0,MAX(R31*C$8*1000*$E31,$D31))</f>
        <v/>
      </c>
      <c r="J75" s="31">
        <f>IF(OR($A31="",AND($C31&lt;&gt;"",N($C31)&lt;D$6)),0,MAX(S31*D$8*1000*$E31,$D31))</f>
        <v/>
      </c>
    </row>
    <row r="76">
      <c r="A76" s="3">
        <f>A32</f>
        <v/>
      </c>
      <c r="B76" s="31">
        <f>IF(OR($A32="",AND($C32&lt;&gt;"",N($C32)&lt;B$6)),0,MAX(K32*B$8*1000*$E32,$D32))</f>
        <v/>
      </c>
      <c r="C76" s="31">
        <f>IF(OR($A32="",AND($C32&lt;&gt;"",N($C32)&lt;C$6)),0,MAX(L32*C$8*1000*$E32,$D32))</f>
        <v/>
      </c>
      <c r="D76" s="31">
        <f>IF(OR($A32="",AND($C32&lt;&gt;"",N($C32)&lt;D$6)),0,MAX(M32*D$8*1000*$E32,$D32))</f>
        <v/>
      </c>
      <c r="E76" s="31">
        <f>IF(OR($A32="",AND($C32&lt;&gt;"",N($C32)&lt;B$6)),0,MAX(N32*B$8*1000*$E32,$D32))</f>
        <v/>
      </c>
      <c r="F76" s="31">
        <f>IF(OR($A32="",AND($C32&lt;&gt;"",N($C32)&lt;C$6)),0,MAX(O32*C$8*1000*$E32,$D32))</f>
        <v/>
      </c>
      <c r="G76" s="31">
        <f>IF(OR($A32="",AND($C32&lt;&gt;"",N($C32)&lt;D$6)),0,MAX(P32*D$8*1000*$E32,$D32))</f>
        <v/>
      </c>
      <c r="H76" s="31">
        <f>IF(OR($A32="",AND($C32&lt;&gt;"",N($C32)&lt;B$6)),0,MAX(Q32*B$8*1000*$E32,$D32))</f>
        <v/>
      </c>
      <c r="I76" s="31">
        <f>IF(OR($A32="",AND($C32&lt;&gt;"",N($C32)&lt;C$6)),0,MAX(R32*C$8*1000*$E32,$D32))</f>
        <v/>
      </c>
      <c r="J76" s="31">
        <f>IF(OR($A32="",AND($C32&lt;&gt;"",N($C32)&lt;D$6)),0,MAX(S32*D$8*1000*$E32,$D32))</f>
        <v/>
      </c>
    </row>
    <row r="77">
      <c r="A77" s="3">
        <f>A33</f>
        <v/>
      </c>
      <c r="B77" s="31">
        <f>IF(OR($A33="",AND($C33&lt;&gt;"",N($C33)&lt;B$6)),0,MAX(K33*B$8*1000*$E33,$D33))</f>
        <v/>
      </c>
      <c r="C77" s="31">
        <f>IF(OR($A33="",AND($C33&lt;&gt;"",N($C33)&lt;C$6)),0,MAX(L33*C$8*1000*$E33,$D33))</f>
        <v/>
      </c>
      <c r="D77" s="31">
        <f>IF(OR($A33="",AND($C33&lt;&gt;"",N($C33)&lt;D$6)),0,MAX(M33*D$8*1000*$E33,$D33))</f>
        <v/>
      </c>
      <c r="E77" s="31">
        <f>IF(OR($A33="",AND($C33&lt;&gt;"",N($C33)&lt;B$6)),0,MAX(N33*B$8*1000*$E33,$D33))</f>
        <v/>
      </c>
      <c r="F77" s="31">
        <f>IF(OR($A33="",AND($C33&lt;&gt;"",N($C33)&lt;C$6)),0,MAX(O33*C$8*1000*$E33,$D33))</f>
        <v/>
      </c>
      <c r="G77" s="31">
        <f>IF(OR($A33="",AND($C33&lt;&gt;"",N($C33)&lt;D$6)),0,MAX(P33*D$8*1000*$E33,$D33))</f>
        <v/>
      </c>
      <c r="H77" s="31">
        <f>IF(OR($A33="",AND($C33&lt;&gt;"",N($C33)&lt;B$6)),0,MAX(Q33*B$8*1000*$E33,$D33))</f>
        <v/>
      </c>
      <c r="I77" s="31">
        <f>IF(OR($A33="",AND($C33&lt;&gt;"",N($C33)&lt;C$6)),0,MAX(R33*C$8*1000*$E33,$D33))</f>
        <v/>
      </c>
      <c r="J77" s="31">
        <f>IF(OR($A33="",AND($C33&lt;&gt;"",N($C33)&lt;D$6)),0,MAX(S33*D$8*1000*$E33,$D33))</f>
        <v/>
      </c>
    </row>
    <row r="78">
      <c r="A78" s="3">
        <f>A34</f>
        <v/>
      </c>
      <c r="B78" s="31">
        <f>IF(OR($A34="",AND($C34&lt;&gt;"",N($C34)&lt;B$6)),0,MAX(K34*B$8*1000*$E34,$D34))</f>
        <v/>
      </c>
      <c r="C78" s="31">
        <f>IF(OR($A34="",AND($C34&lt;&gt;"",N($C34)&lt;C$6)),0,MAX(L34*C$8*1000*$E34,$D34))</f>
        <v/>
      </c>
      <c r="D78" s="31">
        <f>IF(OR($A34="",AND($C34&lt;&gt;"",N($C34)&lt;D$6)),0,MAX(M34*D$8*1000*$E34,$D34))</f>
        <v/>
      </c>
      <c r="E78" s="31">
        <f>IF(OR($A34="",AND($C34&lt;&gt;"",N($C34)&lt;B$6)),0,MAX(N34*B$8*1000*$E34,$D34))</f>
        <v/>
      </c>
      <c r="F78" s="31">
        <f>IF(OR($A34="",AND($C34&lt;&gt;"",N($C34)&lt;C$6)),0,MAX(O34*C$8*1000*$E34,$D34))</f>
        <v/>
      </c>
      <c r="G78" s="31">
        <f>IF(OR($A34="",AND($C34&lt;&gt;"",N($C34)&lt;D$6)),0,MAX(P34*D$8*1000*$E34,$D34))</f>
        <v/>
      </c>
      <c r="H78" s="31">
        <f>IF(OR($A34="",AND($C34&lt;&gt;"",N($C34)&lt;B$6)),0,MAX(Q34*B$8*1000*$E34,$D34))</f>
        <v/>
      </c>
      <c r="I78" s="31">
        <f>IF(OR($A34="",AND($C34&lt;&gt;"",N($C34)&lt;C$6)),0,MAX(R34*C$8*1000*$E34,$D34))</f>
        <v/>
      </c>
      <c r="J78" s="31">
        <f>IF(OR($A34="",AND($C34&lt;&gt;"",N($C34)&lt;D$6)),0,MAX(S34*D$8*1000*$E34,$D34))</f>
        <v/>
      </c>
    </row>
    <row r="79">
      <c r="A79" s="3">
        <f>A35</f>
        <v/>
      </c>
      <c r="B79" s="31">
        <f>IF(OR($A35="",AND($C35&lt;&gt;"",N($C35)&lt;B$6)),0,MAX(K35*B$8*1000*$E35,$D35))</f>
        <v/>
      </c>
      <c r="C79" s="31">
        <f>IF(OR($A35="",AND($C35&lt;&gt;"",N($C35)&lt;C$6)),0,MAX(L35*C$8*1000*$E35,$D35))</f>
        <v/>
      </c>
      <c r="D79" s="31">
        <f>IF(OR($A35="",AND($C35&lt;&gt;"",N($C35)&lt;D$6)),0,MAX(M35*D$8*1000*$E35,$D35))</f>
        <v/>
      </c>
      <c r="E79" s="31">
        <f>IF(OR($A35="",AND($C35&lt;&gt;"",N($C35)&lt;B$6)),0,MAX(N35*B$8*1000*$E35,$D35))</f>
        <v/>
      </c>
      <c r="F79" s="31">
        <f>IF(OR($A35="",AND($C35&lt;&gt;"",N($C35)&lt;C$6)),0,MAX(O35*C$8*1000*$E35,$D35))</f>
        <v/>
      </c>
      <c r="G79" s="31">
        <f>IF(OR($A35="",AND($C35&lt;&gt;"",N($C35)&lt;D$6)),0,MAX(P35*D$8*1000*$E35,$D35))</f>
        <v/>
      </c>
      <c r="H79" s="31">
        <f>IF(OR($A35="",AND($C35&lt;&gt;"",N($C35)&lt;B$6)),0,MAX(Q35*B$8*1000*$E35,$D35))</f>
        <v/>
      </c>
      <c r="I79" s="31">
        <f>IF(OR($A35="",AND($C35&lt;&gt;"",N($C35)&lt;C$6)),0,MAX(R35*C$8*1000*$E35,$D35))</f>
        <v/>
      </c>
      <c r="J79" s="31">
        <f>IF(OR($A35="",AND($C35&lt;&gt;"",N($C35)&lt;D$6)),0,MAX(S35*D$8*1000*$E35,$D35))</f>
        <v/>
      </c>
    </row>
    <row r="80">
      <c r="A80" s="3">
        <f>A36</f>
        <v/>
      </c>
      <c r="B80" s="31">
        <f>IF(OR($A36="",AND($C36&lt;&gt;"",N($C36)&lt;B$6)),0,MAX(K36*B$8*1000*$E36,$D36))</f>
        <v/>
      </c>
      <c r="C80" s="31">
        <f>IF(OR($A36="",AND($C36&lt;&gt;"",N($C36)&lt;C$6)),0,MAX(L36*C$8*1000*$E36,$D36))</f>
        <v/>
      </c>
      <c r="D80" s="31">
        <f>IF(OR($A36="",AND($C36&lt;&gt;"",N($C36)&lt;D$6)),0,MAX(M36*D$8*1000*$E36,$D36))</f>
        <v/>
      </c>
      <c r="E80" s="31">
        <f>IF(OR($A36="",AND($C36&lt;&gt;"",N($C36)&lt;B$6)),0,MAX(N36*B$8*1000*$E36,$D36))</f>
        <v/>
      </c>
      <c r="F80" s="31">
        <f>IF(OR($A36="",AND($C36&lt;&gt;"",N($C36)&lt;C$6)),0,MAX(O36*C$8*1000*$E36,$D36))</f>
        <v/>
      </c>
      <c r="G80" s="31">
        <f>IF(OR($A36="",AND($C36&lt;&gt;"",N($C36)&lt;D$6)),0,MAX(P36*D$8*1000*$E36,$D36))</f>
        <v/>
      </c>
      <c r="H80" s="31">
        <f>IF(OR($A36="",AND($C36&lt;&gt;"",N($C36)&lt;B$6)),0,MAX(Q36*B$8*1000*$E36,$D36))</f>
        <v/>
      </c>
      <c r="I80" s="31">
        <f>IF(OR($A36="",AND($C36&lt;&gt;"",N($C36)&lt;C$6)),0,MAX(R36*C$8*1000*$E36,$D36))</f>
        <v/>
      </c>
      <c r="J80" s="31">
        <f>IF(OR($A36="",AND($C36&lt;&gt;"",N($C36)&lt;D$6)),0,MAX(S36*D$8*1000*$E36,$D36))</f>
        <v/>
      </c>
    </row>
    <row r="81">
      <c r="A81" s="3">
        <f>A37</f>
        <v/>
      </c>
      <c r="B81" s="31">
        <f>IF(OR($A37="",AND($C37&lt;&gt;"",N($C37)&lt;B$6)),0,MAX(K37*B$8*1000*$E37,$D37))</f>
        <v/>
      </c>
      <c r="C81" s="31">
        <f>IF(OR($A37="",AND($C37&lt;&gt;"",N($C37)&lt;C$6)),0,MAX(L37*C$8*1000*$E37,$D37))</f>
        <v/>
      </c>
      <c r="D81" s="31">
        <f>IF(OR($A37="",AND($C37&lt;&gt;"",N($C37)&lt;D$6)),0,MAX(M37*D$8*1000*$E37,$D37))</f>
        <v/>
      </c>
      <c r="E81" s="31">
        <f>IF(OR($A37="",AND($C37&lt;&gt;"",N($C37)&lt;B$6)),0,MAX(N37*B$8*1000*$E37,$D37))</f>
        <v/>
      </c>
      <c r="F81" s="31">
        <f>IF(OR($A37="",AND($C37&lt;&gt;"",N($C37)&lt;C$6)),0,MAX(O37*C$8*1000*$E37,$D37))</f>
        <v/>
      </c>
      <c r="G81" s="31">
        <f>IF(OR($A37="",AND($C37&lt;&gt;"",N($C37)&lt;D$6)),0,MAX(P37*D$8*1000*$E37,$D37))</f>
        <v/>
      </c>
      <c r="H81" s="31">
        <f>IF(OR($A37="",AND($C37&lt;&gt;"",N($C37)&lt;B$6)),0,MAX(Q37*B$8*1000*$E37,$D37))</f>
        <v/>
      </c>
      <c r="I81" s="31">
        <f>IF(OR($A37="",AND($C37&lt;&gt;"",N($C37)&lt;C$6)),0,MAX(R37*C$8*1000*$E37,$D37))</f>
        <v/>
      </c>
      <c r="J81" s="31">
        <f>IF(OR($A37="",AND($C37&lt;&gt;"",N($C37)&lt;D$6)),0,MAX(S37*D$8*1000*$E37,$D37))</f>
        <v/>
      </c>
    </row>
    <row r="82">
      <c r="A82" s="3">
        <f>A38</f>
        <v/>
      </c>
      <c r="B82" s="31">
        <f>IF(OR($A38="",AND($C38&lt;&gt;"",N($C38)&lt;B$6)),0,MAX(K38*B$8*1000*$E38,$D38))</f>
        <v/>
      </c>
      <c r="C82" s="31">
        <f>IF(OR($A38="",AND($C38&lt;&gt;"",N($C38)&lt;C$6)),0,MAX(L38*C$8*1000*$E38,$D38))</f>
        <v/>
      </c>
      <c r="D82" s="31">
        <f>IF(OR($A38="",AND($C38&lt;&gt;"",N($C38)&lt;D$6)),0,MAX(M38*D$8*1000*$E38,$D38))</f>
        <v/>
      </c>
      <c r="E82" s="31">
        <f>IF(OR($A38="",AND($C38&lt;&gt;"",N($C38)&lt;B$6)),0,MAX(N38*B$8*1000*$E38,$D38))</f>
        <v/>
      </c>
      <c r="F82" s="31">
        <f>IF(OR($A38="",AND($C38&lt;&gt;"",N($C38)&lt;C$6)),0,MAX(O38*C$8*1000*$E38,$D38))</f>
        <v/>
      </c>
      <c r="G82" s="31">
        <f>IF(OR($A38="",AND($C38&lt;&gt;"",N($C38)&lt;D$6)),0,MAX(P38*D$8*1000*$E38,$D38))</f>
        <v/>
      </c>
      <c r="H82" s="31">
        <f>IF(OR($A38="",AND($C38&lt;&gt;"",N($C38)&lt;B$6)),0,MAX(Q38*B$8*1000*$E38,$D38))</f>
        <v/>
      </c>
      <c r="I82" s="31">
        <f>IF(OR($A38="",AND($C38&lt;&gt;"",N($C38)&lt;C$6)),0,MAX(R38*C$8*1000*$E38,$D38))</f>
        <v/>
      </c>
      <c r="J82" s="31">
        <f>IF(OR($A38="",AND($C38&lt;&gt;"",N($C38)&lt;D$6)),0,MAX(S38*D$8*1000*$E38,$D38))</f>
        <v/>
      </c>
    </row>
    <row r="83">
      <c r="A83" s="3">
        <f>A39</f>
        <v/>
      </c>
      <c r="B83" s="31">
        <f>IF(OR($A39="",AND($C39&lt;&gt;"",N($C39)&lt;B$6)),0,MAX(K39*B$8*1000*$E39,$D39))</f>
        <v/>
      </c>
      <c r="C83" s="31">
        <f>IF(OR($A39="",AND($C39&lt;&gt;"",N($C39)&lt;C$6)),0,MAX(L39*C$8*1000*$E39,$D39))</f>
        <v/>
      </c>
      <c r="D83" s="31">
        <f>IF(OR($A39="",AND($C39&lt;&gt;"",N($C39)&lt;D$6)),0,MAX(M39*D$8*1000*$E39,$D39))</f>
        <v/>
      </c>
      <c r="E83" s="31">
        <f>IF(OR($A39="",AND($C39&lt;&gt;"",N($C39)&lt;B$6)),0,MAX(N39*B$8*1000*$E39,$D39))</f>
        <v/>
      </c>
      <c r="F83" s="31">
        <f>IF(OR($A39="",AND($C39&lt;&gt;"",N($C39)&lt;C$6)),0,MAX(O39*C$8*1000*$E39,$D39))</f>
        <v/>
      </c>
      <c r="G83" s="31">
        <f>IF(OR($A39="",AND($C39&lt;&gt;"",N($C39)&lt;D$6)),0,MAX(P39*D$8*1000*$E39,$D39))</f>
        <v/>
      </c>
      <c r="H83" s="31">
        <f>IF(OR($A39="",AND($C39&lt;&gt;"",N($C39)&lt;B$6)),0,MAX(Q39*B$8*1000*$E39,$D39))</f>
        <v/>
      </c>
      <c r="I83" s="31">
        <f>IF(OR($A39="",AND($C39&lt;&gt;"",N($C39)&lt;C$6)),0,MAX(R39*C$8*1000*$E39,$D39))</f>
        <v/>
      </c>
      <c r="J83" s="31">
        <f>IF(OR($A39="",AND($C39&lt;&gt;"",N($C39)&lt;D$6)),0,MAX(S39*D$8*1000*$E39,$D39))</f>
        <v/>
      </c>
    </row>
    <row r="84">
      <c r="A84" s="3">
        <f>A40</f>
        <v/>
      </c>
      <c r="B84" s="31">
        <f>IF(OR($A40="",AND($C40&lt;&gt;"",N($C40)&lt;B$6)),0,MAX(K40*B$8*1000*$E40,$D40))</f>
        <v/>
      </c>
      <c r="C84" s="31">
        <f>IF(OR($A40="",AND($C40&lt;&gt;"",N($C40)&lt;C$6)),0,MAX(L40*C$8*1000*$E40,$D40))</f>
        <v/>
      </c>
      <c r="D84" s="31">
        <f>IF(OR($A40="",AND($C40&lt;&gt;"",N($C40)&lt;D$6)),0,MAX(M40*D$8*1000*$E40,$D40))</f>
        <v/>
      </c>
      <c r="E84" s="31">
        <f>IF(OR($A40="",AND($C40&lt;&gt;"",N($C40)&lt;B$6)),0,MAX(N40*B$8*1000*$E40,$D40))</f>
        <v/>
      </c>
      <c r="F84" s="31">
        <f>IF(OR($A40="",AND($C40&lt;&gt;"",N($C40)&lt;C$6)),0,MAX(O40*C$8*1000*$E40,$D40))</f>
        <v/>
      </c>
      <c r="G84" s="31">
        <f>IF(OR($A40="",AND($C40&lt;&gt;"",N($C40)&lt;D$6)),0,MAX(P40*D$8*1000*$E40,$D40))</f>
        <v/>
      </c>
      <c r="H84" s="31">
        <f>IF(OR($A40="",AND($C40&lt;&gt;"",N($C40)&lt;B$6)),0,MAX(Q40*B$8*1000*$E40,$D40))</f>
        <v/>
      </c>
      <c r="I84" s="31">
        <f>IF(OR($A40="",AND($C40&lt;&gt;"",N($C40)&lt;C$6)),0,MAX(R40*C$8*1000*$E40,$D40))</f>
        <v/>
      </c>
      <c r="J84" s="31">
        <f>IF(OR($A40="",AND($C40&lt;&gt;"",N($C40)&lt;D$6)),0,MAX(S40*D$8*1000*$E40,$D40))</f>
        <v/>
      </c>
    </row>
    <row r="85">
      <c r="A85" s="3">
        <f>A41</f>
        <v/>
      </c>
      <c r="B85" s="31">
        <f>IF(OR($A41="",AND($C41&lt;&gt;"",N($C41)&lt;B$6)),0,MAX(K41*B$8*1000*$E41,$D41))</f>
        <v/>
      </c>
      <c r="C85" s="31">
        <f>IF(OR($A41="",AND($C41&lt;&gt;"",N($C41)&lt;C$6)),0,MAX(L41*C$8*1000*$E41,$D41))</f>
        <v/>
      </c>
      <c r="D85" s="31">
        <f>IF(OR($A41="",AND($C41&lt;&gt;"",N($C41)&lt;D$6)),0,MAX(M41*D$8*1000*$E41,$D41))</f>
        <v/>
      </c>
      <c r="E85" s="31">
        <f>IF(OR($A41="",AND($C41&lt;&gt;"",N($C41)&lt;B$6)),0,MAX(N41*B$8*1000*$E41,$D41))</f>
        <v/>
      </c>
      <c r="F85" s="31">
        <f>IF(OR($A41="",AND($C41&lt;&gt;"",N($C41)&lt;C$6)),0,MAX(O41*C$8*1000*$E41,$D41))</f>
        <v/>
      </c>
      <c r="G85" s="31">
        <f>IF(OR($A41="",AND($C41&lt;&gt;"",N($C41)&lt;D$6)),0,MAX(P41*D$8*1000*$E41,$D41))</f>
        <v/>
      </c>
      <c r="H85" s="31">
        <f>IF(OR($A41="",AND($C41&lt;&gt;"",N($C41)&lt;B$6)),0,MAX(Q41*B$8*1000*$E41,$D41))</f>
        <v/>
      </c>
      <c r="I85" s="31">
        <f>IF(OR($A41="",AND($C41&lt;&gt;"",N($C41)&lt;C$6)),0,MAX(R41*C$8*1000*$E41,$D41))</f>
        <v/>
      </c>
      <c r="J85" s="31">
        <f>IF(OR($A41="",AND($C41&lt;&gt;"",N($C41)&lt;D$6)),0,MAX(S41*D$8*1000*$E41,$D41))</f>
        <v/>
      </c>
    </row>
    <row r="86">
      <c r="A86" s="3">
        <f>A42</f>
        <v/>
      </c>
      <c r="B86" s="31">
        <f>IF(OR($A42="",AND($C42&lt;&gt;"",N($C42)&lt;B$6)),0,MAX(K42*B$8*1000*$E42,$D42))</f>
        <v/>
      </c>
      <c r="C86" s="31">
        <f>IF(OR($A42="",AND($C42&lt;&gt;"",N($C42)&lt;C$6)),0,MAX(L42*C$8*1000*$E42,$D42))</f>
        <v/>
      </c>
      <c r="D86" s="31">
        <f>IF(OR($A42="",AND($C42&lt;&gt;"",N($C42)&lt;D$6)),0,MAX(M42*D$8*1000*$E42,$D42))</f>
        <v/>
      </c>
      <c r="E86" s="31">
        <f>IF(OR($A42="",AND($C42&lt;&gt;"",N($C42)&lt;B$6)),0,MAX(N42*B$8*1000*$E42,$D42))</f>
        <v/>
      </c>
      <c r="F86" s="31">
        <f>IF(OR($A42="",AND($C42&lt;&gt;"",N($C42)&lt;C$6)),0,MAX(O42*C$8*1000*$E42,$D42))</f>
        <v/>
      </c>
      <c r="G86" s="31">
        <f>IF(OR($A42="",AND($C42&lt;&gt;"",N($C42)&lt;D$6)),0,MAX(P42*D$8*1000*$E42,$D42))</f>
        <v/>
      </c>
      <c r="H86" s="31">
        <f>IF(OR($A42="",AND($C42&lt;&gt;"",N($C42)&lt;B$6)),0,MAX(Q42*B$8*1000*$E42,$D42))</f>
        <v/>
      </c>
      <c r="I86" s="31">
        <f>IF(OR($A42="",AND($C42&lt;&gt;"",N($C42)&lt;C$6)),0,MAX(R42*C$8*1000*$E42,$D42))</f>
        <v/>
      </c>
      <c r="J86" s="31">
        <f>IF(OR($A42="",AND($C42&lt;&gt;"",N($C42)&lt;D$6)),0,MAX(S42*D$8*1000*$E42,$D42))</f>
        <v/>
      </c>
    </row>
    <row r="87">
      <c r="A87" s="3">
        <f>A43</f>
        <v/>
      </c>
      <c r="B87" s="31">
        <f>IF(OR($A43="",AND($C43&lt;&gt;"",N($C43)&lt;B$6)),0,MAX(K43*B$8*1000*$E43,$D43))</f>
        <v/>
      </c>
      <c r="C87" s="31">
        <f>IF(OR($A43="",AND($C43&lt;&gt;"",N($C43)&lt;C$6)),0,MAX(L43*C$8*1000*$E43,$D43))</f>
        <v/>
      </c>
      <c r="D87" s="31">
        <f>IF(OR($A43="",AND($C43&lt;&gt;"",N($C43)&lt;D$6)),0,MAX(M43*D$8*1000*$E43,$D43))</f>
        <v/>
      </c>
      <c r="E87" s="31">
        <f>IF(OR($A43="",AND($C43&lt;&gt;"",N($C43)&lt;B$6)),0,MAX(N43*B$8*1000*$E43,$D43))</f>
        <v/>
      </c>
      <c r="F87" s="31">
        <f>IF(OR($A43="",AND($C43&lt;&gt;"",N($C43)&lt;C$6)),0,MAX(O43*C$8*1000*$E43,$D43))</f>
        <v/>
      </c>
      <c r="G87" s="31">
        <f>IF(OR($A43="",AND($C43&lt;&gt;"",N($C43)&lt;D$6)),0,MAX(P43*D$8*1000*$E43,$D43))</f>
        <v/>
      </c>
      <c r="H87" s="31">
        <f>IF(OR($A43="",AND($C43&lt;&gt;"",N($C43)&lt;B$6)),0,MAX(Q43*B$8*1000*$E43,$D43))</f>
        <v/>
      </c>
      <c r="I87" s="31">
        <f>IF(OR($A43="",AND($C43&lt;&gt;"",N($C43)&lt;C$6)),0,MAX(R43*C$8*1000*$E43,$D43))</f>
        <v/>
      </c>
      <c r="J87" s="31">
        <f>IF(OR($A43="",AND($C43&lt;&gt;"",N($C43)&lt;D$6)),0,MAX(S43*D$8*1000*$E43,$D43))</f>
        <v/>
      </c>
    </row>
    <row r="88">
      <c r="A88" s="3">
        <f>A44</f>
        <v/>
      </c>
      <c r="B88" s="31">
        <f>IF(OR($A44="",AND($C44&lt;&gt;"",N($C44)&lt;B$6)),0,MAX(K44*B$8*1000*$E44,$D44))</f>
        <v/>
      </c>
      <c r="C88" s="31">
        <f>IF(OR($A44="",AND($C44&lt;&gt;"",N($C44)&lt;C$6)),0,MAX(L44*C$8*1000*$E44,$D44))</f>
        <v/>
      </c>
      <c r="D88" s="31">
        <f>IF(OR($A44="",AND($C44&lt;&gt;"",N($C44)&lt;D$6)),0,MAX(M44*D$8*1000*$E44,$D44))</f>
        <v/>
      </c>
      <c r="E88" s="31">
        <f>IF(OR($A44="",AND($C44&lt;&gt;"",N($C44)&lt;B$6)),0,MAX(N44*B$8*1000*$E44,$D44))</f>
        <v/>
      </c>
      <c r="F88" s="31">
        <f>IF(OR($A44="",AND($C44&lt;&gt;"",N($C44)&lt;C$6)),0,MAX(O44*C$8*1000*$E44,$D44))</f>
        <v/>
      </c>
      <c r="G88" s="31">
        <f>IF(OR($A44="",AND($C44&lt;&gt;"",N($C44)&lt;D$6)),0,MAX(P44*D$8*1000*$E44,$D44))</f>
        <v/>
      </c>
      <c r="H88" s="31">
        <f>IF(OR($A44="",AND($C44&lt;&gt;"",N($C44)&lt;B$6)),0,MAX(Q44*B$8*1000*$E44,$D44))</f>
        <v/>
      </c>
      <c r="I88" s="31">
        <f>IF(OR($A44="",AND($C44&lt;&gt;"",N($C44)&lt;C$6)),0,MAX(R44*C$8*1000*$E44,$D44))</f>
        <v/>
      </c>
      <c r="J88" s="31">
        <f>IF(OR($A44="",AND($C44&lt;&gt;"",N($C44)&lt;D$6)),0,MAX(S44*D$8*1000*$E44,$D44))</f>
        <v/>
      </c>
    </row>
    <row r="89">
      <c r="A89" s="3">
        <f>A45</f>
        <v/>
      </c>
      <c r="B89" s="31">
        <f>IF(OR($A45="",AND($C45&lt;&gt;"",N($C45)&lt;B$6)),0,MAX(K45*B$8*1000*$E45,$D45))</f>
        <v/>
      </c>
      <c r="C89" s="31">
        <f>IF(OR($A45="",AND($C45&lt;&gt;"",N($C45)&lt;C$6)),0,MAX(L45*C$8*1000*$E45,$D45))</f>
        <v/>
      </c>
      <c r="D89" s="31">
        <f>IF(OR($A45="",AND($C45&lt;&gt;"",N($C45)&lt;D$6)),0,MAX(M45*D$8*1000*$E45,$D45))</f>
        <v/>
      </c>
      <c r="E89" s="31">
        <f>IF(OR($A45="",AND($C45&lt;&gt;"",N($C45)&lt;B$6)),0,MAX(N45*B$8*1000*$E45,$D45))</f>
        <v/>
      </c>
      <c r="F89" s="31">
        <f>IF(OR($A45="",AND($C45&lt;&gt;"",N($C45)&lt;C$6)),0,MAX(O45*C$8*1000*$E45,$D45))</f>
        <v/>
      </c>
      <c r="G89" s="31">
        <f>IF(OR($A45="",AND($C45&lt;&gt;"",N($C45)&lt;D$6)),0,MAX(P45*D$8*1000*$E45,$D45))</f>
        <v/>
      </c>
      <c r="H89" s="31">
        <f>IF(OR($A45="",AND($C45&lt;&gt;"",N($C45)&lt;B$6)),0,MAX(Q45*B$8*1000*$E45,$D45))</f>
        <v/>
      </c>
      <c r="I89" s="31">
        <f>IF(OR($A45="",AND($C45&lt;&gt;"",N($C45)&lt;C$6)),0,MAX(R45*C$8*1000*$E45,$D45))</f>
        <v/>
      </c>
      <c r="J89" s="31">
        <f>IF(OR($A45="",AND($C45&lt;&gt;"",N($C45)&lt;D$6)),0,MAX(S45*D$8*1000*$E45,$D45))</f>
        <v/>
      </c>
    </row>
    <row r="90">
      <c r="A90" s="3">
        <f>A46</f>
        <v/>
      </c>
      <c r="B90" s="31">
        <f>IF(OR($A46="",AND($C46&lt;&gt;"",N($C46)&lt;B$6)),0,MAX(K46*B$8*1000*$E46,$D46))</f>
        <v/>
      </c>
      <c r="C90" s="31">
        <f>IF(OR($A46="",AND($C46&lt;&gt;"",N($C46)&lt;C$6)),0,MAX(L46*C$8*1000*$E46,$D46))</f>
        <v/>
      </c>
      <c r="D90" s="31">
        <f>IF(OR($A46="",AND($C46&lt;&gt;"",N($C46)&lt;D$6)),0,MAX(M46*D$8*1000*$E46,$D46))</f>
        <v/>
      </c>
      <c r="E90" s="31">
        <f>IF(OR($A46="",AND($C46&lt;&gt;"",N($C46)&lt;B$6)),0,MAX(N46*B$8*1000*$E46,$D46))</f>
        <v/>
      </c>
      <c r="F90" s="31">
        <f>IF(OR($A46="",AND($C46&lt;&gt;"",N($C46)&lt;C$6)),0,MAX(O46*C$8*1000*$E46,$D46))</f>
        <v/>
      </c>
      <c r="G90" s="31">
        <f>IF(OR($A46="",AND($C46&lt;&gt;"",N($C46)&lt;D$6)),0,MAX(P46*D$8*1000*$E46,$D46))</f>
        <v/>
      </c>
      <c r="H90" s="31">
        <f>IF(OR($A46="",AND($C46&lt;&gt;"",N($C46)&lt;B$6)),0,MAX(Q46*B$8*1000*$E46,$D46))</f>
        <v/>
      </c>
      <c r="I90" s="31">
        <f>IF(OR($A46="",AND($C46&lt;&gt;"",N($C46)&lt;C$6)),0,MAX(R46*C$8*1000*$E46,$D46))</f>
        <v/>
      </c>
      <c r="J90" s="31">
        <f>IF(OR($A46="",AND($C46&lt;&gt;"",N($C46)&lt;D$6)),0,MAX(S46*D$8*1000*$E46,$D46))</f>
        <v/>
      </c>
    </row>
    <row r="91">
      <c r="A91" s="3">
        <f>A47</f>
        <v/>
      </c>
      <c r="B91" s="31">
        <f>IF(OR($A47="",AND($C47&lt;&gt;"",N($C47)&lt;B$6)),0,MAX(K47*B$8*1000*$E47,$D47))</f>
        <v/>
      </c>
      <c r="C91" s="31">
        <f>IF(OR($A47="",AND($C47&lt;&gt;"",N($C47)&lt;C$6)),0,MAX(L47*C$8*1000*$E47,$D47))</f>
        <v/>
      </c>
      <c r="D91" s="31">
        <f>IF(OR($A47="",AND($C47&lt;&gt;"",N($C47)&lt;D$6)),0,MAX(M47*D$8*1000*$E47,$D47))</f>
        <v/>
      </c>
      <c r="E91" s="31">
        <f>IF(OR($A47="",AND($C47&lt;&gt;"",N($C47)&lt;B$6)),0,MAX(N47*B$8*1000*$E47,$D47))</f>
        <v/>
      </c>
      <c r="F91" s="31">
        <f>IF(OR($A47="",AND($C47&lt;&gt;"",N($C47)&lt;C$6)),0,MAX(O47*C$8*1000*$E47,$D47))</f>
        <v/>
      </c>
      <c r="G91" s="31">
        <f>IF(OR($A47="",AND($C47&lt;&gt;"",N($C47)&lt;D$6)),0,MAX(P47*D$8*1000*$E47,$D47))</f>
        <v/>
      </c>
      <c r="H91" s="31">
        <f>IF(OR($A47="",AND($C47&lt;&gt;"",N($C47)&lt;B$6)),0,MAX(Q47*B$8*1000*$E47,$D47))</f>
        <v/>
      </c>
      <c r="I91" s="31">
        <f>IF(OR($A47="",AND($C47&lt;&gt;"",N($C47)&lt;C$6)),0,MAX(R47*C$8*1000*$E47,$D47))</f>
        <v/>
      </c>
      <c r="J91" s="31">
        <f>IF(OR($A47="",AND($C47&lt;&gt;"",N($C47)&lt;D$6)),0,MAX(S47*D$8*1000*$E47,$D47))</f>
        <v/>
      </c>
    </row>
    <row r="92">
      <c r="A92" s="3">
        <f>A48</f>
        <v/>
      </c>
      <c r="B92" s="31">
        <f>IF(OR($A48="",AND($C48&lt;&gt;"",N($C48)&lt;B$6)),0,MAX(K48*B$8*1000*$E48,$D48))</f>
        <v/>
      </c>
      <c r="C92" s="31">
        <f>IF(OR($A48="",AND($C48&lt;&gt;"",N($C48)&lt;C$6)),0,MAX(L48*C$8*1000*$E48,$D48))</f>
        <v/>
      </c>
      <c r="D92" s="31">
        <f>IF(OR($A48="",AND($C48&lt;&gt;"",N($C48)&lt;D$6)),0,MAX(M48*D$8*1000*$E48,$D48))</f>
        <v/>
      </c>
      <c r="E92" s="31">
        <f>IF(OR($A48="",AND($C48&lt;&gt;"",N($C48)&lt;B$6)),0,MAX(N48*B$8*1000*$E48,$D48))</f>
        <v/>
      </c>
      <c r="F92" s="31">
        <f>IF(OR($A48="",AND($C48&lt;&gt;"",N($C48)&lt;C$6)),0,MAX(O48*C$8*1000*$E48,$D48))</f>
        <v/>
      </c>
      <c r="G92" s="31">
        <f>IF(OR($A48="",AND($C48&lt;&gt;"",N($C48)&lt;D$6)),0,MAX(P48*D$8*1000*$E48,$D48))</f>
        <v/>
      </c>
      <c r="H92" s="31">
        <f>IF(OR($A48="",AND($C48&lt;&gt;"",N($C48)&lt;B$6)),0,MAX(Q48*B$8*1000*$E48,$D48))</f>
        <v/>
      </c>
      <c r="I92" s="31">
        <f>IF(OR($A48="",AND($C48&lt;&gt;"",N($C48)&lt;C$6)),0,MAX(R48*C$8*1000*$E48,$D48))</f>
        <v/>
      </c>
      <c r="J92" s="31">
        <f>IF(OR($A48="",AND($C48&lt;&gt;"",N($C48)&lt;D$6)),0,MAX(S48*D$8*1000*$E48,$D48))</f>
        <v/>
      </c>
    </row>
    <row r="93">
      <c r="A93" s="3">
        <f>A49</f>
        <v/>
      </c>
      <c r="B93" s="31">
        <f>IF(OR($A49="",AND($C49&lt;&gt;"",N($C49)&lt;B$6)),0,MAX(K49*B$8*1000*$E49,$D49))</f>
        <v/>
      </c>
      <c r="C93" s="31">
        <f>IF(OR($A49="",AND($C49&lt;&gt;"",N($C49)&lt;C$6)),0,MAX(L49*C$8*1000*$E49,$D49))</f>
        <v/>
      </c>
      <c r="D93" s="31">
        <f>IF(OR($A49="",AND($C49&lt;&gt;"",N($C49)&lt;D$6)),0,MAX(M49*D$8*1000*$E49,$D49))</f>
        <v/>
      </c>
      <c r="E93" s="31">
        <f>IF(OR($A49="",AND($C49&lt;&gt;"",N($C49)&lt;B$6)),0,MAX(N49*B$8*1000*$E49,$D49))</f>
        <v/>
      </c>
      <c r="F93" s="31">
        <f>IF(OR($A49="",AND($C49&lt;&gt;"",N($C49)&lt;C$6)),0,MAX(O49*C$8*1000*$E49,$D49))</f>
        <v/>
      </c>
      <c r="G93" s="31">
        <f>IF(OR($A49="",AND($C49&lt;&gt;"",N($C49)&lt;D$6)),0,MAX(P49*D$8*1000*$E49,$D49))</f>
        <v/>
      </c>
      <c r="H93" s="31">
        <f>IF(OR($A49="",AND($C49&lt;&gt;"",N($C49)&lt;B$6)),0,MAX(Q49*B$8*1000*$E49,$D49))</f>
        <v/>
      </c>
      <c r="I93" s="31">
        <f>IF(OR($A49="",AND($C49&lt;&gt;"",N($C49)&lt;C$6)),0,MAX(R49*C$8*1000*$E49,$D49))</f>
        <v/>
      </c>
      <c r="J93" s="31">
        <f>IF(OR($A49="",AND($C49&lt;&gt;"",N($C49)&lt;D$6)),0,MAX(S49*D$8*1000*$E49,$D49))</f>
        <v/>
      </c>
    </row>
    <row r="94">
      <c r="A94" s="3">
        <f>A50</f>
        <v/>
      </c>
      <c r="B94" s="31">
        <f>IF(OR($A50="",AND($C50&lt;&gt;"",N($C50)&lt;B$6)),0,MAX(K50*B$8*1000*$E50,$D50))</f>
        <v/>
      </c>
      <c r="C94" s="31">
        <f>IF(OR($A50="",AND($C50&lt;&gt;"",N($C50)&lt;C$6)),0,MAX(L50*C$8*1000*$E50,$D50))</f>
        <v/>
      </c>
      <c r="D94" s="31">
        <f>IF(OR($A50="",AND($C50&lt;&gt;"",N($C50)&lt;D$6)),0,MAX(M50*D$8*1000*$E50,$D50))</f>
        <v/>
      </c>
      <c r="E94" s="31">
        <f>IF(OR($A50="",AND($C50&lt;&gt;"",N($C50)&lt;B$6)),0,MAX(N50*B$8*1000*$E50,$D50))</f>
        <v/>
      </c>
      <c r="F94" s="31">
        <f>IF(OR($A50="",AND($C50&lt;&gt;"",N($C50)&lt;C$6)),0,MAX(O50*C$8*1000*$E50,$D50))</f>
        <v/>
      </c>
      <c r="G94" s="31">
        <f>IF(OR($A50="",AND($C50&lt;&gt;"",N($C50)&lt;D$6)),0,MAX(P50*D$8*1000*$E50,$D50))</f>
        <v/>
      </c>
      <c r="H94" s="31">
        <f>IF(OR($A50="",AND($C50&lt;&gt;"",N($C50)&lt;B$6)),0,MAX(Q50*B$8*1000*$E50,$D50))</f>
        <v/>
      </c>
      <c r="I94" s="31">
        <f>IF(OR($A50="",AND($C50&lt;&gt;"",N($C50)&lt;C$6)),0,MAX(R50*C$8*1000*$E50,$D50))</f>
        <v/>
      </c>
      <c r="J94" s="31">
        <f>IF(OR($A50="",AND($C50&lt;&gt;"",N($C50)&lt;D$6)),0,MAX(S50*D$8*1000*$E50,$D50))</f>
        <v/>
      </c>
    </row>
    <row r="95">
      <c r="A95" s="3">
        <f>A51</f>
        <v/>
      </c>
      <c r="B95" s="31">
        <f>IF(OR($A51="",AND($C51&lt;&gt;"",N($C51)&lt;B$6)),0,MAX(K51*B$8*1000*$E51,$D51))</f>
        <v/>
      </c>
      <c r="C95" s="31">
        <f>IF(OR($A51="",AND($C51&lt;&gt;"",N($C51)&lt;C$6)),0,MAX(L51*C$8*1000*$E51,$D51))</f>
        <v/>
      </c>
      <c r="D95" s="31">
        <f>IF(OR($A51="",AND($C51&lt;&gt;"",N($C51)&lt;D$6)),0,MAX(M51*D$8*1000*$E51,$D51))</f>
        <v/>
      </c>
      <c r="E95" s="31">
        <f>IF(OR($A51="",AND($C51&lt;&gt;"",N($C51)&lt;B$6)),0,MAX(N51*B$8*1000*$E51,$D51))</f>
        <v/>
      </c>
      <c r="F95" s="31">
        <f>IF(OR($A51="",AND($C51&lt;&gt;"",N($C51)&lt;C$6)),0,MAX(O51*C$8*1000*$E51,$D51))</f>
        <v/>
      </c>
      <c r="G95" s="31">
        <f>IF(OR($A51="",AND($C51&lt;&gt;"",N($C51)&lt;D$6)),0,MAX(P51*D$8*1000*$E51,$D51))</f>
        <v/>
      </c>
      <c r="H95" s="31">
        <f>IF(OR($A51="",AND($C51&lt;&gt;"",N($C51)&lt;B$6)),0,MAX(Q51*B$8*1000*$E51,$D51))</f>
        <v/>
      </c>
      <c r="I95" s="31">
        <f>IF(OR($A51="",AND($C51&lt;&gt;"",N($C51)&lt;C$6)),0,MAX(R51*C$8*1000*$E51,$D51))</f>
        <v/>
      </c>
      <c r="J95" s="31">
        <f>IF(OR($A51="",AND($C51&lt;&gt;"",N($C51)&lt;D$6)),0,MAX(S51*D$8*1000*$E51,$D51))</f>
        <v/>
      </c>
    </row>
    <row r="96">
      <c r="A96" s="3">
        <f>A52</f>
        <v/>
      </c>
      <c r="B96" s="31">
        <f>IF(OR($A52="",AND($C52&lt;&gt;"",N($C52)&lt;B$6)),0,MAX(K52*B$8*1000*$E52,$D52))</f>
        <v/>
      </c>
      <c r="C96" s="31">
        <f>IF(OR($A52="",AND($C52&lt;&gt;"",N($C52)&lt;C$6)),0,MAX(L52*C$8*1000*$E52,$D52))</f>
        <v/>
      </c>
      <c r="D96" s="31">
        <f>IF(OR($A52="",AND($C52&lt;&gt;"",N($C52)&lt;D$6)),0,MAX(M52*D$8*1000*$E52,$D52))</f>
        <v/>
      </c>
      <c r="E96" s="31">
        <f>IF(OR($A52="",AND($C52&lt;&gt;"",N($C52)&lt;B$6)),0,MAX(N52*B$8*1000*$E52,$D52))</f>
        <v/>
      </c>
      <c r="F96" s="31">
        <f>IF(OR($A52="",AND($C52&lt;&gt;"",N($C52)&lt;C$6)),0,MAX(O52*C$8*1000*$E52,$D52))</f>
        <v/>
      </c>
      <c r="G96" s="31">
        <f>IF(OR($A52="",AND($C52&lt;&gt;"",N($C52)&lt;D$6)),0,MAX(P52*D$8*1000*$E52,$D52))</f>
        <v/>
      </c>
      <c r="H96" s="31">
        <f>IF(OR($A52="",AND($C52&lt;&gt;"",N($C52)&lt;B$6)),0,MAX(Q52*B$8*1000*$E52,$D52))</f>
        <v/>
      </c>
      <c r="I96" s="31">
        <f>IF(OR($A52="",AND($C52&lt;&gt;"",N($C52)&lt;C$6)),0,MAX(R52*C$8*1000*$E52,$D52))</f>
        <v/>
      </c>
      <c r="J96" s="31">
        <f>IF(OR($A52="",AND($C52&lt;&gt;"",N($C52)&lt;D$6)),0,MAX(S52*D$8*1000*$E52,$D52))</f>
        <v/>
      </c>
    </row>
    <row r="97">
      <c r="A97" s="2" t="inlineStr">
        <is>
          <t>Total</t>
        </is>
      </c>
      <c r="B97" s="32">
        <f>SUM(B57:B96)</f>
        <v/>
      </c>
      <c r="C97" s="32">
        <f>SUM(C57:C96)</f>
        <v/>
      </c>
      <c r="D97" s="32">
        <f>SUM(D57:D96)</f>
        <v/>
      </c>
      <c r="E97" s="32">
        <f>SUM(E57:E96)</f>
        <v/>
      </c>
      <c r="F97" s="32">
        <f>SUM(F57:F96)</f>
        <v/>
      </c>
      <c r="G97" s="32">
        <f>SUM(G57:G96)</f>
        <v/>
      </c>
      <c r="H97" s="32">
        <f>SUM(H57:H96)</f>
        <v/>
      </c>
      <c r="I97" s="32">
        <f>SUM(I57:I96)</f>
        <v/>
      </c>
      <c r="J97" s="32">
        <f>SUM(J57:J96)</f>
        <v/>
      </c>
    </row>
    <row r="99">
      <c r="A99" s="2" t="inlineStr">
        <is>
          <t>Open pipeline: low = none, base = probability-weighted, high = deals at 50%+ counted in full</t>
        </is>
      </c>
    </row>
    <row r="100">
      <c r="A100" s="8" t="inlineStr">
        <is>
          <t>Deal</t>
        </is>
      </c>
      <c r="B100" s="8" t="inlineStr">
        <is>
          <t>Customer</t>
        </is>
      </c>
      <c r="C100" s="8" t="inlineStr">
        <is>
          <t>Probability</t>
        </is>
      </c>
      <c r="D100" s="8" t="inlineStr">
        <is>
          <t>Expected commit ($)</t>
        </is>
      </c>
      <c r="E100" s="8" t="inlineStr">
        <is>
          <t>Expected start</t>
        </is>
      </c>
      <c r="F100" s="8" t="inlineStr">
        <is>
          <t>Discount</t>
        </is>
      </c>
      <c r="G100" s="8" t="inlineStr">
        <is>
          <t>Price ($/M)</t>
        </is>
      </c>
      <c r="H100" s="8" t="inlineStr">
        <is>
          <t>Steady tokens/day (B)</t>
        </is>
      </c>
      <c r="I100" s="8" t="inlineStr">
        <is>
          <t>Weight low</t>
        </is>
      </c>
      <c r="J100" s="8" t="inlineStr">
        <is>
          <t>Weight base</t>
        </is>
      </c>
      <c r="K100" s="8" t="inlineStr">
        <is>
          <t>Weight high</t>
        </is>
      </c>
      <c r="L100" s="8" t="inlineStr">
        <is>
          <t>Active days M+1</t>
        </is>
      </c>
      <c r="M100" s="8" t="inlineStr">
        <is>
          <t>Avg ramp M+1</t>
        </is>
      </c>
      <c r="N100" s="8" t="inlineStr">
        <is>
          <t>Active days M+2</t>
        </is>
      </c>
      <c r="O100" s="8" t="inlineStr">
        <is>
          <t>Avg ramp M+2</t>
        </is>
      </c>
      <c r="P100" s="8" t="inlineStr">
        <is>
          <t>Active days M+3</t>
        </is>
      </c>
      <c r="Q100" s="8" t="inlineStr">
        <is>
          <t>Avg ramp M+3</t>
        </is>
      </c>
    </row>
    <row r="101">
      <c r="A101" s="3">
        <f>IF(INDEX(Data_Pipeline!$A:$A,1+1)="","",INDEX(Data_Pipeline!$A:$A,1+1))</f>
        <v/>
      </c>
      <c r="B101" s="3">
        <f>IF(INDEX(Data_Pipeline!$B:$B,1+1)="","",INDEX(Data_Pipeline!$B:$B,1+1))</f>
        <v/>
      </c>
      <c r="C101" s="25">
        <f>IF($A101="",0,N(INDEX(Data_Pipeline!$D:$D,1+1)))</f>
        <v/>
      </c>
      <c r="D101" s="31">
        <f>IF($A101="",0,N(INDEX(Data_Pipeline!$E:$E,1+1)))</f>
        <v/>
      </c>
      <c r="E101" s="30">
        <f>IF(INDEX(Data_Pipeline!$F:$F,1+1)="","",INDEX(Data_Pipeline!$F:$F,1+1))</f>
        <v/>
      </c>
      <c r="F101" s="25">
        <f>IF($A101="",0,N(INDEX(Data_Pipeline!$G:$G,1+1)))</f>
        <v/>
      </c>
      <c r="G101" s="26">
        <f>$F$8*(1-F101)</f>
        <v/>
      </c>
      <c r="H101" s="29">
        <f>IF(G101=0,0,D101/G101/30.4/1000)</f>
        <v/>
      </c>
      <c r="I101" s="25" t="n">
        <v>0</v>
      </c>
      <c r="J101" s="25">
        <f>C101</f>
        <v/>
      </c>
      <c r="K101" s="25">
        <f>IF(C101&gt;=0.5,1,C101)</f>
        <v/>
      </c>
      <c r="L101" s="23">
        <f>IF(OR($A101="",$E101=""),0,MAX(0,B$7-MAX($E101,B$6)+1))</f>
        <v/>
      </c>
      <c r="M101" s="25">
        <f>IF(L101=0,0,MIN(1,0.1+0.9*((MAX($E101,B$6)+B$7)/2-$E101)/Forecast!$C$13))</f>
        <v/>
      </c>
      <c r="N101" s="23">
        <f>IF(OR($A101="",$E101=""),0,MAX(0,C$7-MAX($E101,C$6)+1))</f>
        <v/>
      </c>
      <c r="O101" s="25">
        <f>IF(N101=0,0,MIN(1,0.1+0.9*((MAX($E101,C$6)+C$7)/2-$E101)/Forecast!$C$13))</f>
        <v/>
      </c>
      <c r="P101" s="23">
        <f>IF(OR($A101="",$E101=""),0,MAX(0,D$7-MAX($E101,D$6)+1))</f>
        <v/>
      </c>
      <c r="Q101" s="25">
        <f>IF(P101=0,0,MIN(1,0.1+0.9*((MAX($E101,D$6)+D$7)/2-$E101)/Forecast!$C$13))</f>
        <v/>
      </c>
    </row>
    <row r="102">
      <c r="A102" s="3">
        <f>IF(INDEX(Data_Pipeline!$A:$A,2+1)="","",INDEX(Data_Pipeline!$A:$A,2+1))</f>
        <v/>
      </c>
      <c r="B102" s="3">
        <f>IF(INDEX(Data_Pipeline!$B:$B,2+1)="","",INDEX(Data_Pipeline!$B:$B,2+1))</f>
        <v/>
      </c>
      <c r="C102" s="25">
        <f>IF($A102="",0,N(INDEX(Data_Pipeline!$D:$D,2+1)))</f>
        <v/>
      </c>
      <c r="D102" s="31">
        <f>IF($A102="",0,N(INDEX(Data_Pipeline!$E:$E,2+1)))</f>
        <v/>
      </c>
      <c r="E102" s="30">
        <f>IF(INDEX(Data_Pipeline!$F:$F,2+1)="","",INDEX(Data_Pipeline!$F:$F,2+1))</f>
        <v/>
      </c>
      <c r="F102" s="25">
        <f>IF($A102="",0,N(INDEX(Data_Pipeline!$G:$G,2+1)))</f>
        <v/>
      </c>
      <c r="G102" s="26">
        <f>$F$8*(1-F102)</f>
        <v/>
      </c>
      <c r="H102" s="29">
        <f>IF(G102=0,0,D102/G102/30.4/1000)</f>
        <v/>
      </c>
      <c r="I102" s="25" t="n">
        <v>0</v>
      </c>
      <c r="J102" s="25">
        <f>C102</f>
        <v/>
      </c>
      <c r="K102" s="25">
        <f>IF(C102&gt;=0.5,1,C102)</f>
        <v/>
      </c>
      <c r="L102" s="23">
        <f>IF(OR($A102="",$E102=""),0,MAX(0,B$7-MAX($E102,B$6)+1))</f>
        <v/>
      </c>
      <c r="M102" s="25">
        <f>IF(L102=0,0,MIN(1,0.1+0.9*((MAX($E102,B$6)+B$7)/2-$E102)/Forecast!$C$13))</f>
        <v/>
      </c>
      <c r="N102" s="23">
        <f>IF(OR($A102="",$E102=""),0,MAX(0,C$7-MAX($E102,C$6)+1))</f>
        <v/>
      </c>
      <c r="O102" s="25">
        <f>IF(N102=0,0,MIN(1,0.1+0.9*((MAX($E102,C$6)+C$7)/2-$E102)/Forecast!$C$13))</f>
        <v/>
      </c>
      <c r="P102" s="23">
        <f>IF(OR($A102="",$E102=""),0,MAX(0,D$7-MAX($E102,D$6)+1))</f>
        <v/>
      </c>
      <c r="Q102" s="25">
        <f>IF(P102=0,0,MIN(1,0.1+0.9*((MAX($E102,D$6)+D$7)/2-$E102)/Forecast!$C$13))</f>
        <v/>
      </c>
    </row>
    <row r="103">
      <c r="A103" s="3">
        <f>IF(INDEX(Data_Pipeline!$A:$A,3+1)="","",INDEX(Data_Pipeline!$A:$A,3+1))</f>
        <v/>
      </c>
      <c r="B103" s="3">
        <f>IF(INDEX(Data_Pipeline!$B:$B,3+1)="","",INDEX(Data_Pipeline!$B:$B,3+1))</f>
        <v/>
      </c>
      <c r="C103" s="25">
        <f>IF($A103="",0,N(INDEX(Data_Pipeline!$D:$D,3+1)))</f>
        <v/>
      </c>
      <c r="D103" s="31">
        <f>IF($A103="",0,N(INDEX(Data_Pipeline!$E:$E,3+1)))</f>
        <v/>
      </c>
      <c r="E103" s="30">
        <f>IF(INDEX(Data_Pipeline!$F:$F,3+1)="","",INDEX(Data_Pipeline!$F:$F,3+1))</f>
        <v/>
      </c>
      <c r="F103" s="25">
        <f>IF($A103="",0,N(INDEX(Data_Pipeline!$G:$G,3+1)))</f>
        <v/>
      </c>
      <c r="G103" s="26">
        <f>$F$8*(1-F103)</f>
        <v/>
      </c>
      <c r="H103" s="29">
        <f>IF(G103=0,0,D103/G103/30.4/1000)</f>
        <v/>
      </c>
      <c r="I103" s="25" t="n">
        <v>0</v>
      </c>
      <c r="J103" s="25">
        <f>C103</f>
        <v/>
      </c>
      <c r="K103" s="25">
        <f>IF(C103&gt;=0.5,1,C103)</f>
        <v/>
      </c>
      <c r="L103" s="23">
        <f>IF(OR($A103="",$E103=""),0,MAX(0,B$7-MAX($E103,B$6)+1))</f>
        <v/>
      </c>
      <c r="M103" s="25">
        <f>IF(L103=0,0,MIN(1,0.1+0.9*((MAX($E103,B$6)+B$7)/2-$E103)/Forecast!$C$13))</f>
        <v/>
      </c>
      <c r="N103" s="23">
        <f>IF(OR($A103="",$E103=""),0,MAX(0,C$7-MAX($E103,C$6)+1))</f>
        <v/>
      </c>
      <c r="O103" s="25">
        <f>IF(N103=0,0,MIN(1,0.1+0.9*((MAX($E103,C$6)+C$7)/2-$E103)/Forecast!$C$13))</f>
        <v/>
      </c>
      <c r="P103" s="23">
        <f>IF(OR($A103="",$E103=""),0,MAX(0,D$7-MAX($E103,D$6)+1))</f>
        <v/>
      </c>
      <c r="Q103" s="25">
        <f>IF(P103=0,0,MIN(1,0.1+0.9*((MAX($E103,D$6)+D$7)/2-$E103)/Forecast!$C$13))</f>
        <v/>
      </c>
    </row>
    <row r="104">
      <c r="A104" s="3">
        <f>IF(INDEX(Data_Pipeline!$A:$A,4+1)="","",INDEX(Data_Pipeline!$A:$A,4+1))</f>
        <v/>
      </c>
      <c r="B104" s="3">
        <f>IF(INDEX(Data_Pipeline!$B:$B,4+1)="","",INDEX(Data_Pipeline!$B:$B,4+1))</f>
        <v/>
      </c>
      <c r="C104" s="25">
        <f>IF($A104="",0,N(INDEX(Data_Pipeline!$D:$D,4+1)))</f>
        <v/>
      </c>
      <c r="D104" s="31">
        <f>IF($A104="",0,N(INDEX(Data_Pipeline!$E:$E,4+1)))</f>
        <v/>
      </c>
      <c r="E104" s="30">
        <f>IF(INDEX(Data_Pipeline!$F:$F,4+1)="","",INDEX(Data_Pipeline!$F:$F,4+1))</f>
        <v/>
      </c>
      <c r="F104" s="25">
        <f>IF($A104="",0,N(INDEX(Data_Pipeline!$G:$G,4+1)))</f>
        <v/>
      </c>
      <c r="G104" s="26">
        <f>$F$8*(1-F104)</f>
        <v/>
      </c>
      <c r="H104" s="29">
        <f>IF(G104=0,0,D104/G104/30.4/1000)</f>
        <v/>
      </c>
      <c r="I104" s="25" t="n">
        <v>0</v>
      </c>
      <c r="J104" s="25">
        <f>C104</f>
        <v/>
      </c>
      <c r="K104" s="25">
        <f>IF(C104&gt;=0.5,1,C104)</f>
        <v/>
      </c>
      <c r="L104" s="23">
        <f>IF(OR($A104="",$E104=""),0,MAX(0,B$7-MAX($E104,B$6)+1))</f>
        <v/>
      </c>
      <c r="M104" s="25">
        <f>IF(L104=0,0,MIN(1,0.1+0.9*((MAX($E104,B$6)+B$7)/2-$E104)/Forecast!$C$13))</f>
        <v/>
      </c>
      <c r="N104" s="23">
        <f>IF(OR($A104="",$E104=""),0,MAX(0,C$7-MAX($E104,C$6)+1))</f>
        <v/>
      </c>
      <c r="O104" s="25">
        <f>IF(N104=0,0,MIN(1,0.1+0.9*((MAX($E104,C$6)+C$7)/2-$E104)/Forecast!$C$13))</f>
        <v/>
      </c>
      <c r="P104" s="23">
        <f>IF(OR($A104="",$E104=""),0,MAX(0,D$7-MAX($E104,D$6)+1))</f>
        <v/>
      </c>
      <c r="Q104" s="25">
        <f>IF(P104=0,0,MIN(1,0.1+0.9*((MAX($E104,D$6)+D$7)/2-$E104)/Forecast!$C$13))</f>
        <v/>
      </c>
    </row>
    <row r="105">
      <c r="A105" s="3">
        <f>IF(INDEX(Data_Pipeline!$A:$A,5+1)="","",INDEX(Data_Pipeline!$A:$A,5+1))</f>
        <v/>
      </c>
      <c r="B105" s="3">
        <f>IF(INDEX(Data_Pipeline!$B:$B,5+1)="","",INDEX(Data_Pipeline!$B:$B,5+1))</f>
        <v/>
      </c>
      <c r="C105" s="25">
        <f>IF($A105="",0,N(INDEX(Data_Pipeline!$D:$D,5+1)))</f>
        <v/>
      </c>
      <c r="D105" s="31">
        <f>IF($A105="",0,N(INDEX(Data_Pipeline!$E:$E,5+1)))</f>
        <v/>
      </c>
      <c r="E105" s="30">
        <f>IF(INDEX(Data_Pipeline!$F:$F,5+1)="","",INDEX(Data_Pipeline!$F:$F,5+1))</f>
        <v/>
      </c>
      <c r="F105" s="25">
        <f>IF($A105="",0,N(INDEX(Data_Pipeline!$G:$G,5+1)))</f>
        <v/>
      </c>
      <c r="G105" s="26">
        <f>$F$8*(1-F105)</f>
        <v/>
      </c>
      <c r="H105" s="29">
        <f>IF(G105=0,0,D105/G105/30.4/1000)</f>
        <v/>
      </c>
      <c r="I105" s="25" t="n">
        <v>0</v>
      </c>
      <c r="J105" s="25">
        <f>C105</f>
        <v/>
      </c>
      <c r="K105" s="25">
        <f>IF(C105&gt;=0.5,1,C105)</f>
        <v/>
      </c>
      <c r="L105" s="23">
        <f>IF(OR($A105="",$E105=""),0,MAX(0,B$7-MAX($E105,B$6)+1))</f>
        <v/>
      </c>
      <c r="M105" s="25">
        <f>IF(L105=0,0,MIN(1,0.1+0.9*((MAX($E105,B$6)+B$7)/2-$E105)/Forecast!$C$13))</f>
        <v/>
      </c>
      <c r="N105" s="23">
        <f>IF(OR($A105="",$E105=""),0,MAX(0,C$7-MAX($E105,C$6)+1))</f>
        <v/>
      </c>
      <c r="O105" s="25">
        <f>IF(N105=0,0,MIN(1,0.1+0.9*((MAX($E105,C$6)+C$7)/2-$E105)/Forecast!$C$13))</f>
        <v/>
      </c>
      <c r="P105" s="23">
        <f>IF(OR($A105="",$E105=""),0,MAX(0,D$7-MAX($E105,D$6)+1))</f>
        <v/>
      </c>
      <c r="Q105" s="25">
        <f>IF(P105=0,0,MIN(1,0.1+0.9*((MAX($E105,D$6)+D$7)/2-$E105)/Forecast!$C$13))</f>
        <v/>
      </c>
    </row>
    <row r="106">
      <c r="A106" s="3">
        <f>IF(INDEX(Data_Pipeline!$A:$A,6+1)="","",INDEX(Data_Pipeline!$A:$A,6+1))</f>
        <v/>
      </c>
      <c r="B106" s="3">
        <f>IF(INDEX(Data_Pipeline!$B:$B,6+1)="","",INDEX(Data_Pipeline!$B:$B,6+1))</f>
        <v/>
      </c>
      <c r="C106" s="25">
        <f>IF($A106="",0,N(INDEX(Data_Pipeline!$D:$D,6+1)))</f>
        <v/>
      </c>
      <c r="D106" s="31">
        <f>IF($A106="",0,N(INDEX(Data_Pipeline!$E:$E,6+1)))</f>
        <v/>
      </c>
      <c r="E106" s="30">
        <f>IF(INDEX(Data_Pipeline!$F:$F,6+1)="","",INDEX(Data_Pipeline!$F:$F,6+1))</f>
        <v/>
      </c>
      <c r="F106" s="25">
        <f>IF($A106="",0,N(INDEX(Data_Pipeline!$G:$G,6+1)))</f>
        <v/>
      </c>
      <c r="G106" s="26">
        <f>$F$8*(1-F106)</f>
        <v/>
      </c>
      <c r="H106" s="29">
        <f>IF(G106=0,0,D106/G106/30.4/1000)</f>
        <v/>
      </c>
      <c r="I106" s="25" t="n">
        <v>0</v>
      </c>
      <c r="J106" s="25">
        <f>C106</f>
        <v/>
      </c>
      <c r="K106" s="25">
        <f>IF(C106&gt;=0.5,1,C106)</f>
        <v/>
      </c>
      <c r="L106" s="23">
        <f>IF(OR($A106="",$E106=""),0,MAX(0,B$7-MAX($E106,B$6)+1))</f>
        <v/>
      </c>
      <c r="M106" s="25">
        <f>IF(L106=0,0,MIN(1,0.1+0.9*((MAX($E106,B$6)+B$7)/2-$E106)/Forecast!$C$13))</f>
        <v/>
      </c>
      <c r="N106" s="23">
        <f>IF(OR($A106="",$E106=""),0,MAX(0,C$7-MAX($E106,C$6)+1))</f>
        <v/>
      </c>
      <c r="O106" s="25">
        <f>IF(N106=0,0,MIN(1,0.1+0.9*((MAX($E106,C$6)+C$7)/2-$E106)/Forecast!$C$13))</f>
        <v/>
      </c>
      <c r="P106" s="23">
        <f>IF(OR($A106="",$E106=""),0,MAX(0,D$7-MAX($E106,D$6)+1))</f>
        <v/>
      </c>
      <c r="Q106" s="25">
        <f>IF(P106=0,0,MIN(1,0.1+0.9*((MAX($E106,D$6)+D$7)/2-$E106)/Forecast!$C$13))</f>
        <v/>
      </c>
    </row>
    <row r="107">
      <c r="A107" s="3">
        <f>IF(INDEX(Data_Pipeline!$A:$A,7+1)="","",INDEX(Data_Pipeline!$A:$A,7+1))</f>
        <v/>
      </c>
      <c r="B107" s="3">
        <f>IF(INDEX(Data_Pipeline!$B:$B,7+1)="","",INDEX(Data_Pipeline!$B:$B,7+1))</f>
        <v/>
      </c>
      <c r="C107" s="25">
        <f>IF($A107="",0,N(INDEX(Data_Pipeline!$D:$D,7+1)))</f>
        <v/>
      </c>
      <c r="D107" s="31">
        <f>IF($A107="",0,N(INDEX(Data_Pipeline!$E:$E,7+1)))</f>
        <v/>
      </c>
      <c r="E107" s="30">
        <f>IF(INDEX(Data_Pipeline!$F:$F,7+1)="","",INDEX(Data_Pipeline!$F:$F,7+1))</f>
        <v/>
      </c>
      <c r="F107" s="25">
        <f>IF($A107="",0,N(INDEX(Data_Pipeline!$G:$G,7+1)))</f>
        <v/>
      </c>
      <c r="G107" s="26">
        <f>$F$8*(1-F107)</f>
        <v/>
      </c>
      <c r="H107" s="29">
        <f>IF(G107=0,0,D107/G107/30.4/1000)</f>
        <v/>
      </c>
      <c r="I107" s="25" t="n">
        <v>0</v>
      </c>
      <c r="J107" s="25">
        <f>C107</f>
        <v/>
      </c>
      <c r="K107" s="25">
        <f>IF(C107&gt;=0.5,1,C107)</f>
        <v/>
      </c>
      <c r="L107" s="23">
        <f>IF(OR($A107="",$E107=""),0,MAX(0,B$7-MAX($E107,B$6)+1))</f>
        <v/>
      </c>
      <c r="M107" s="25">
        <f>IF(L107=0,0,MIN(1,0.1+0.9*((MAX($E107,B$6)+B$7)/2-$E107)/Forecast!$C$13))</f>
        <v/>
      </c>
      <c r="N107" s="23">
        <f>IF(OR($A107="",$E107=""),0,MAX(0,C$7-MAX($E107,C$6)+1))</f>
        <v/>
      </c>
      <c r="O107" s="25">
        <f>IF(N107=0,0,MIN(1,0.1+0.9*((MAX($E107,C$6)+C$7)/2-$E107)/Forecast!$C$13))</f>
        <v/>
      </c>
      <c r="P107" s="23">
        <f>IF(OR($A107="",$E107=""),0,MAX(0,D$7-MAX($E107,D$6)+1))</f>
        <v/>
      </c>
      <c r="Q107" s="25">
        <f>IF(P107=0,0,MIN(1,0.1+0.9*((MAX($E107,D$6)+D$7)/2-$E107)/Forecast!$C$13))</f>
        <v/>
      </c>
    </row>
    <row r="108">
      <c r="A108" s="3">
        <f>IF(INDEX(Data_Pipeline!$A:$A,8+1)="","",INDEX(Data_Pipeline!$A:$A,8+1))</f>
        <v/>
      </c>
      <c r="B108" s="3">
        <f>IF(INDEX(Data_Pipeline!$B:$B,8+1)="","",INDEX(Data_Pipeline!$B:$B,8+1))</f>
        <v/>
      </c>
      <c r="C108" s="25">
        <f>IF($A108="",0,N(INDEX(Data_Pipeline!$D:$D,8+1)))</f>
        <v/>
      </c>
      <c r="D108" s="31">
        <f>IF($A108="",0,N(INDEX(Data_Pipeline!$E:$E,8+1)))</f>
        <v/>
      </c>
      <c r="E108" s="30">
        <f>IF(INDEX(Data_Pipeline!$F:$F,8+1)="","",INDEX(Data_Pipeline!$F:$F,8+1))</f>
        <v/>
      </c>
      <c r="F108" s="25">
        <f>IF($A108="",0,N(INDEX(Data_Pipeline!$G:$G,8+1)))</f>
        <v/>
      </c>
      <c r="G108" s="26">
        <f>$F$8*(1-F108)</f>
        <v/>
      </c>
      <c r="H108" s="29">
        <f>IF(G108=0,0,D108/G108/30.4/1000)</f>
        <v/>
      </c>
      <c r="I108" s="25" t="n">
        <v>0</v>
      </c>
      <c r="J108" s="25">
        <f>C108</f>
        <v/>
      </c>
      <c r="K108" s="25">
        <f>IF(C108&gt;=0.5,1,C108)</f>
        <v/>
      </c>
      <c r="L108" s="23">
        <f>IF(OR($A108="",$E108=""),0,MAX(0,B$7-MAX($E108,B$6)+1))</f>
        <v/>
      </c>
      <c r="M108" s="25">
        <f>IF(L108=0,0,MIN(1,0.1+0.9*((MAX($E108,B$6)+B$7)/2-$E108)/Forecast!$C$13))</f>
        <v/>
      </c>
      <c r="N108" s="23">
        <f>IF(OR($A108="",$E108=""),0,MAX(0,C$7-MAX($E108,C$6)+1))</f>
        <v/>
      </c>
      <c r="O108" s="25">
        <f>IF(N108=0,0,MIN(1,0.1+0.9*((MAX($E108,C$6)+C$7)/2-$E108)/Forecast!$C$13))</f>
        <v/>
      </c>
      <c r="P108" s="23">
        <f>IF(OR($A108="",$E108=""),0,MAX(0,D$7-MAX($E108,D$6)+1))</f>
        <v/>
      </c>
      <c r="Q108" s="25">
        <f>IF(P108=0,0,MIN(1,0.1+0.9*((MAX($E108,D$6)+D$7)/2-$E108)/Forecast!$C$13))</f>
        <v/>
      </c>
    </row>
    <row r="109">
      <c r="A109" s="3">
        <f>IF(INDEX(Data_Pipeline!$A:$A,9+1)="","",INDEX(Data_Pipeline!$A:$A,9+1))</f>
        <v/>
      </c>
      <c r="B109" s="3">
        <f>IF(INDEX(Data_Pipeline!$B:$B,9+1)="","",INDEX(Data_Pipeline!$B:$B,9+1))</f>
        <v/>
      </c>
      <c r="C109" s="25">
        <f>IF($A109="",0,N(INDEX(Data_Pipeline!$D:$D,9+1)))</f>
        <v/>
      </c>
      <c r="D109" s="31">
        <f>IF($A109="",0,N(INDEX(Data_Pipeline!$E:$E,9+1)))</f>
        <v/>
      </c>
      <c r="E109" s="30">
        <f>IF(INDEX(Data_Pipeline!$F:$F,9+1)="","",INDEX(Data_Pipeline!$F:$F,9+1))</f>
        <v/>
      </c>
      <c r="F109" s="25">
        <f>IF($A109="",0,N(INDEX(Data_Pipeline!$G:$G,9+1)))</f>
        <v/>
      </c>
      <c r="G109" s="26">
        <f>$F$8*(1-F109)</f>
        <v/>
      </c>
      <c r="H109" s="29">
        <f>IF(G109=0,0,D109/G109/30.4/1000)</f>
        <v/>
      </c>
      <c r="I109" s="25" t="n">
        <v>0</v>
      </c>
      <c r="J109" s="25">
        <f>C109</f>
        <v/>
      </c>
      <c r="K109" s="25">
        <f>IF(C109&gt;=0.5,1,C109)</f>
        <v/>
      </c>
      <c r="L109" s="23">
        <f>IF(OR($A109="",$E109=""),0,MAX(0,B$7-MAX($E109,B$6)+1))</f>
        <v/>
      </c>
      <c r="M109" s="25">
        <f>IF(L109=0,0,MIN(1,0.1+0.9*((MAX($E109,B$6)+B$7)/2-$E109)/Forecast!$C$13))</f>
        <v/>
      </c>
      <c r="N109" s="23">
        <f>IF(OR($A109="",$E109=""),0,MAX(0,C$7-MAX($E109,C$6)+1))</f>
        <v/>
      </c>
      <c r="O109" s="25">
        <f>IF(N109=0,0,MIN(1,0.1+0.9*((MAX($E109,C$6)+C$7)/2-$E109)/Forecast!$C$13))</f>
        <v/>
      </c>
      <c r="P109" s="23">
        <f>IF(OR($A109="",$E109=""),0,MAX(0,D$7-MAX($E109,D$6)+1))</f>
        <v/>
      </c>
      <c r="Q109" s="25">
        <f>IF(P109=0,0,MIN(1,0.1+0.9*((MAX($E109,D$6)+D$7)/2-$E109)/Forecast!$C$13))</f>
        <v/>
      </c>
    </row>
    <row r="110">
      <c r="A110" s="3">
        <f>IF(INDEX(Data_Pipeline!$A:$A,10+1)="","",INDEX(Data_Pipeline!$A:$A,10+1))</f>
        <v/>
      </c>
      <c r="B110" s="3">
        <f>IF(INDEX(Data_Pipeline!$B:$B,10+1)="","",INDEX(Data_Pipeline!$B:$B,10+1))</f>
        <v/>
      </c>
      <c r="C110" s="25">
        <f>IF($A110="",0,N(INDEX(Data_Pipeline!$D:$D,10+1)))</f>
        <v/>
      </c>
      <c r="D110" s="31">
        <f>IF($A110="",0,N(INDEX(Data_Pipeline!$E:$E,10+1)))</f>
        <v/>
      </c>
      <c r="E110" s="30">
        <f>IF(INDEX(Data_Pipeline!$F:$F,10+1)="","",INDEX(Data_Pipeline!$F:$F,10+1))</f>
        <v/>
      </c>
      <c r="F110" s="25">
        <f>IF($A110="",0,N(INDEX(Data_Pipeline!$G:$G,10+1)))</f>
        <v/>
      </c>
      <c r="G110" s="26">
        <f>$F$8*(1-F110)</f>
        <v/>
      </c>
      <c r="H110" s="29">
        <f>IF(G110=0,0,D110/G110/30.4/1000)</f>
        <v/>
      </c>
      <c r="I110" s="25" t="n">
        <v>0</v>
      </c>
      <c r="J110" s="25">
        <f>C110</f>
        <v/>
      </c>
      <c r="K110" s="25">
        <f>IF(C110&gt;=0.5,1,C110)</f>
        <v/>
      </c>
      <c r="L110" s="23">
        <f>IF(OR($A110="",$E110=""),0,MAX(0,B$7-MAX($E110,B$6)+1))</f>
        <v/>
      </c>
      <c r="M110" s="25">
        <f>IF(L110=0,0,MIN(1,0.1+0.9*((MAX($E110,B$6)+B$7)/2-$E110)/Forecast!$C$13))</f>
        <v/>
      </c>
      <c r="N110" s="23">
        <f>IF(OR($A110="",$E110=""),0,MAX(0,C$7-MAX($E110,C$6)+1))</f>
        <v/>
      </c>
      <c r="O110" s="25">
        <f>IF(N110=0,0,MIN(1,0.1+0.9*((MAX($E110,C$6)+C$7)/2-$E110)/Forecast!$C$13))</f>
        <v/>
      </c>
      <c r="P110" s="23">
        <f>IF(OR($A110="",$E110=""),0,MAX(0,D$7-MAX($E110,D$6)+1))</f>
        <v/>
      </c>
      <c r="Q110" s="25">
        <f>IF(P110=0,0,MIN(1,0.1+0.9*((MAX($E110,D$6)+D$7)/2-$E110)/Forecast!$C$13))</f>
        <v/>
      </c>
    </row>
    <row r="111">
      <c r="A111" s="3">
        <f>IF(INDEX(Data_Pipeline!$A:$A,11+1)="","",INDEX(Data_Pipeline!$A:$A,11+1))</f>
        <v/>
      </c>
      <c r="B111" s="3">
        <f>IF(INDEX(Data_Pipeline!$B:$B,11+1)="","",INDEX(Data_Pipeline!$B:$B,11+1))</f>
        <v/>
      </c>
      <c r="C111" s="25">
        <f>IF($A111="",0,N(INDEX(Data_Pipeline!$D:$D,11+1)))</f>
        <v/>
      </c>
      <c r="D111" s="31">
        <f>IF($A111="",0,N(INDEX(Data_Pipeline!$E:$E,11+1)))</f>
        <v/>
      </c>
      <c r="E111" s="30">
        <f>IF(INDEX(Data_Pipeline!$F:$F,11+1)="","",INDEX(Data_Pipeline!$F:$F,11+1))</f>
        <v/>
      </c>
      <c r="F111" s="25">
        <f>IF($A111="",0,N(INDEX(Data_Pipeline!$G:$G,11+1)))</f>
        <v/>
      </c>
      <c r="G111" s="26">
        <f>$F$8*(1-F111)</f>
        <v/>
      </c>
      <c r="H111" s="29">
        <f>IF(G111=0,0,D111/G111/30.4/1000)</f>
        <v/>
      </c>
      <c r="I111" s="25" t="n">
        <v>0</v>
      </c>
      <c r="J111" s="25">
        <f>C111</f>
        <v/>
      </c>
      <c r="K111" s="25">
        <f>IF(C111&gt;=0.5,1,C111)</f>
        <v/>
      </c>
      <c r="L111" s="23">
        <f>IF(OR($A111="",$E111=""),0,MAX(0,B$7-MAX($E111,B$6)+1))</f>
        <v/>
      </c>
      <c r="M111" s="25">
        <f>IF(L111=0,0,MIN(1,0.1+0.9*((MAX($E111,B$6)+B$7)/2-$E111)/Forecast!$C$13))</f>
        <v/>
      </c>
      <c r="N111" s="23">
        <f>IF(OR($A111="",$E111=""),0,MAX(0,C$7-MAX($E111,C$6)+1))</f>
        <v/>
      </c>
      <c r="O111" s="25">
        <f>IF(N111=0,0,MIN(1,0.1+0.9*((MAX($E111,C$6)+C$7)/2-$E111)/Forecast!$C$13))</f>
        <v/>
      </c>
      <c r="P111" s="23">
        <f>IF(OR($A111="",$E111=""),0,MAX(0,D$7-MAX($E111,D$6)+1))</f>
        <v/>
      </c>
      <c r="Q111" s="25">
        <f>IF(P111=0,0,MIN(1,0.1+0.9*((MAX($E111,D$6)+D$7)/2-$E111)/Forecast!$C$13))</f>
        <v/>
      </c>
    </row>
    <row r="112">
      <c r="A112" s="3">
        <f>IF(INDEX(Data_Pipeline!$A:$A,12+1)="","",INDEX(Data_Pipeline!$A:$A,12+1))</f>
        <v/>
      </c>
      <c r="B112" s="3">
        <f>IF(INDEX(Data_Pipeline!$B:$B,12+1)="","",INDEX(Data_Pipeline!$B:$B,12+1))</f>
        <v/>
      </c>
      <c r="C112" s="25">
        <f>IF($A112="",0,N(INDEX(Data_Pipeline!$D:$D,12+1)))</f>
        <v/>
      </c>
      <c r="D112" s="31">
        <f>IF($A112="",0,N(INDEX(Data_Pipeline!$E:$E,12+1)))</f>
        <v/>
      </c>
      <c r="E112" s="30">
        <f>IF(INDEX(Data_Pipeline!$F:$F,12+1)="","",INDEX(Data_Pipeline!$F:$F,12+1))</f>
        <v/>
      </c>
      <c r="F112" s="25">
        <f>IF($A112="",0,N(INDEX(Data_Pipeline!$G:$G,12+1)))</f>
        <v/>
      </c>
      <c r="G112" s="26">
        <f>$F$8*(1-F112)</f>
        <v/>
      </c>
      <c r="H112" s="29">
        <f>IF(G112=0,0,D112/G112/30.4/1000)</f>
        <v/>
      </c>
      <c r="I112" s="25" t="n">
        <v>0</v>
      </c>
      <c r="J112" s="25">
        <f>C112</f>
        <v/>
      </c>
      <c r="K112" s="25">
        <f>IF(C112&gt;=0.5,1,C112)</f>
        <v/>
      </c>
      <c r="L112" s="23">
        <f>IF(OR($A112="",$E112=""),0,MAX(0,B$7-MAX($E112,B$6)+1))</f>
        <v/>
      </c>
      <c r="M112" s="25">
        <f>IF(L112=0,0,MIN(1,0.1+0.9*((MAX($E112,B$6)+B$7)/2-$E112)/Forecast!$C$13))</f>
        <v/>
      </c>
      <c r="N112" s="23">
        <f>IF(OR($A112="",$E112=""),0,MAX(0,C$7-MAX($E112,C$6)+1))</f>
        <v/>
      </c>
      <c r="O112" s="25">
        <f>IF(N112=0,0,MIN(1,0.1+0.9*((MAX($E112,C$6)+C$7)/2-$E112)/Forecast!$C$13))</f>
        <v/>
      </c>
      <c r="P112" s="23">
        <f>IF(OR($A112="",$E112=""),0,MAX(0,D$7-MAX($E112,D$6)+1))</f>
        <v/>
      </c>
      <c r="Q112" s="25">
        <f>IF(P112=0,0,MIN(1,0.1+0.9*((MAX($E112,D$6)+D$7)/2-$E112)/Forecast!$C$13))</f>
        <v/>
      </c>
    </row>
    <row r="113">
      <c r="A113" s="3">
        <f>IF(INDEX(Data_Pipeline!$A:$A,13+1)="","",INDEX(Data_Pipeline!$A:$A,13+1))</f>
        <v/>
      </c>
      <c r="B113" s="3">
        <f>IF(INDEX(Data_Pipeline!$B:$B,13+1)="","",INDEX(Data_Pipeline!$B:$B,13+1))</f>
        <v/>
      </c>
      <c r="C113" s="25">
        <f>IF($A113="",0,N(INDEX(Data_Pipeline!$D:$D,13+1)))</f>
        <v/>
      </c>
      <c r="D113" s="31">
        <f>IF($A113="",0,N(INDEX(Data_Pipeline!$E:$E,13+1)))</f>
        <v/>
      </c>
      <c r="E113" s="30">
        <f>IF(INDEX(Data_Pipeline!$F:$F,13+1)="","",INDEX(Data_Pipeline!$F:$F,13+1))</f>
        <v/>
      </c>
      <c r="F113" s="25">
        <f>IF($A113="",0,N(INDEX(Data_Pipeline!$G:$G,13+1)))</f>
        <v/>
      </c>
      <c r="G113" s="26">
        <f>$F$8*(1-F113)</f>
        <v/>
      </c>
      <c r="H113" s="29">
        <f>IF(G113=0,0,D113/G113/30.4/1000)</f>
        <v/>
      </c>
      <c r="I113" s="25" t="n">
        <v>0</v>
      </c>
      <c r="J113" s="25">
        <f>C113</f>
        <v/>
      </c>
      <c r="K113" s="25">
        <f>IF(C113&gt;=0.5,1,C113)</f>
        <v/>
      </c>
      <c r="L113" s="23">
        <f>IF(OR($A113="",$E113=""),0,MAX(0,B$7-MAX($E113,B$6)+1))</f>
        <v/>
      </c>
      <c r="M113" s="25">
        <f>IF(L113=0,0,MIN(1,0.1+0.9*((MAX($E113,B$6)+B$7)/2-$E113)/Forecast!$C$13))</f>
        <v/>
      </c>
      <c r="N113" s="23">
        <f>IF(OR($A113="",$E113=""),0,MAX(0,C$7-MAX($E113,C$6)+1))</f>
        <v/>
      </c>
      <c r="O113" s="25">
        <f>IF(N113=0,0,MIN(1,0.1+0.9*((MAX($E113,C$6)+C$7)/2-$E113)/Forecast!$C$13))</f>
        <v/>
      </c>
      <c r="P113" s="23">
        <f>IF(OR($A113="",$E113=""),0,MAX(0,D$7-MAX($E113,D$6)+1))</f>
        <v/>
      </c>
      <c r="Q113" s="25">
        <f>IF(P113=0,0,MIN(1,0.1+0.9*((MAX($E113,D$6)+D$7)/2-$E113)/Forecast!$C$13))</f>
        <v/>
      </c>
    </row>
    <row r="114">
      <c r="A114" s="3">
        <f>IF(INDEX(Data_Pipeline!$A:$A,14+1)="","",INDEX(Data_Pipeline!$A:$A,14+1))</f>
        <v/>
      </c>
      <c r="B114" s="3">
        <f>IF(INDEX(Data_Pipeline!$B:$B,14+1)="","",INDEX(Data_Pipeline!$B:$B,14+1))</f>
        <v/>
      </c>
      <c r="C114" s="25">
        <f>IF($A114="",0,N(INDEX(Data_Pipeline!$D:$D,14+1)))</f>
        <v/>
      </c>
      <c r="D114" s="31">
        <f>IF($A114="",0,N(INDEX(Data_Pipeline!$E:$E,14+1)))</f>
        <v/>
      </c>
      <c r="E114" s="30">
        <f>IF(INDEX(Data_Pipeline!$F:$F,14+1)="","",INDEX(Data_Pipeline!$F:$F,14+1))</f>
        <v/>
      </c>
      <c r="F114" s="25">
        <f>IF($A114="",0,N(INDEX(Data_Pipeline!$G:$G,14+1)))</f>
        <v/>
      </c>
      <c r="G114" s="26">
        <f>$F$8*(1-F114)</f>
        <v/>
      </c>
      <c r="H114" s="29">
        <f>IF(G114=0,0,D114/G114/30.4/1000)</f>
        <v/>
      </c>
      <c r="I114" s="25" t="n">
        <v>0</v>
      </c>
      <c r="J114" s="25">
        <f>C114</f>
        <v/>
      </c>
      <c r="K114" s="25">
        <f>IF(C114&gt;=0.5,1,C114)</f>
        <v/>
      </c>
      <c r="L114" s="23">
        <f>IF(OR($A114="",$E114=""),0,MAX(0,B$7-MAX($E114,B$6)+1))</f>
        <v/>
      </c>
      <c r="M114" s="25">
        <f>IF(L114=0,0,MIN(1,0.1+0.9*((MAX($E114,B$6)+B$7)/2-$E114)/Forecast!$C$13))</f>
        <v/>
      </c>
      <c r="N114" s="23">
        <f>IF(OR($A114="",$E114=""),0,MAX(0,C$7-MAX($E114,C$6)+1))</f>
        <v/>
      </c>
      <c r="O114" s="25">
        <f>IF(N114=0,0,MIN(1,0.1+0.9*((MAX($E114,C$6)+C$7)/2-$E114)/Forecast!$C$13))</f>
        <v/>
      </c>
      <c r="P114" s="23">
        <f>IF(OR($A114="",$E114=""),0,MAX(0,D$7-MAX($E114,D$6)+1))</f>
        <v/>
      </c>
      <c r="Q114" s="25">
        <f>IF(P114=0,0,MIN(1,0.1+0.9*((MAX($E114,D$6)+D$7)/2-$E114)/Forecast!$C$13))</f>
        <v/>
      </c>
    </row>
    <row r="115">
      <c r="A115" s="3">
        <f>IF(INDEX(Data_Pipeline!$A:$A,15+1)="","",INDEX(Data_Pipeline!$A:$A,15+1))</f>
        <v/>
      </c>
      <c r="B115" s="3">
        <f>IF(INDEX(Data_Pipeline!$B:$B,15+1)="","",INDEX(Data_Pipeline!$B:$B,15+1))</f>
        <v/>
      </c>
      <c r="C115" s="25">
        <f>IF($A115="",0,N(INDEX(Data_Pipeline!$D:$D,15+1)))</f>
        <v/>
      </c>
      <c r="D115" s="31">
        <f>IF($A115="",0,N(INDEX(Data_Pipeline!$E:$E,15+1)))</f>
        <v/>
      </c>
      <c r="E115" s="30">
        <f>IF(INDEX(Data_Pipeline!$F:$F,15+1)="","",INDEX(Data_Pipeline!$F:$F,15+1))</f>
        <v/>
      </c>
      <c r="F115" s="25">
        <f>IF($A115="",0,N(INDEX(Data_Pipeline!$G:$G,15+1)))</f>
        <v/>
      </c>
      <c r="G115" s="26">
        <f>$F$8*(1-F115)</f>
        <v/>
      </c>
      <c r="H115" s="29">
        <f>IF(G115=0,0,D115/G115/30.4/1000)</f>
        <v/>
      </c>
      <c r="I115" s="25" t="n">
        <v>0</v>
      </c>
      <c r="J115" s="25">
        <f>C115</f>
        <v/>
      </c>
      <c r="K115" s="25">
        <f>IF(C115&gt;=0.5,1,C115)</f>
        <v/>
      </c>
      <c r="L115" s="23">
        <f>IF(OR($A115="",$E115=""),0,MAX(0,B$7-MAX($E115,B$6)+1))</f>
        <v/>
      </c>
      <c r="M115" s="25">
        <f>IF(L115=0,0,MIN(1,0.1+0.9*((MAX($E115,B$6)+B$7)/2-$E115)/Forecast!$C$13))</f>
        <v/>
      </c>
      <c r="N115" s="23">
        <f>IF(OR($A115="",$E115=""),0,MAX(0,C$7-MAX($E115,C$6)+1))</f>
        <v/>
      </c>
      <c r="O115" s="25">
        <f>IF(N115=0,0,MIN(1,0.1+0.9*((MAX($E115,C$6)+C$7)/2-$E115)/Forecast!$C$13))</f>
        <v/>
      </c>
      <c r="P115" s="23">
        <f>IF(OR($A115="",$E115=""),0,MAX(0,D$7-MAX($E115,D$6)+1))</f>
        <v/>
      </c>
      <c r="Q115" s="25">
        <f>IF(P115=0,0,MIN(1,0.1+0.9*((MAX($E115,D$6)+D$7)/2-$E115)/Forecast!$C$13))</f>
        <v/>
      </c>
    </row>
    <row r="116">
      <c r="A116" s="3">
        <f>IF(INDEX(Data_Pipeline!$A:$A,16+1)="","",INDEX(Data_Pipeline!$A:$A,16+1))</f>
        <v/>
      </c>
      <c r="B116" s="3">
        <f>IF(INDEX(Data_Pipeline!$B:$B,16+1)="","",INDEX(Data_Pipeline!$B:$B,16+1))</f>
        <v/>
      </c>
      <c r="C116" s="25">
        <f>IF($A116="",0,N(INDEX(Data_Pipeline!$D:$D,16+1)))</f>
        <v/>
      </c>
      <c r="D116" s="31">
        <f>IF($A116="",0,N(INDEX(Data_Pipeline!$E:$E,16+1)))</f>
        <v/>
      </c>
      <c r="E116" s="30">
        <f>IF(INDEX(Data_Pipeline!$F:$F,16+1)="","",INDEX(Data_Pipeline!$F:$F,16+1))</f>
        <v/>
      </c>
      <c r="F116" s="25">
        <f>IF($A116="",0,N(INDEX(Data_Pipeline!$G:$G,16+1)))</f>
        <v/>
      </c>
      <c r="G116" s="26">
        <f>$F$8*(1-F116)</f>
        <v/>
      </c>
      <c r="H116" s="29">
        <f>IF(G116=0,0,D116/G116/30.4/1000)</f>
        <v/>
      </c>
      <c r="I116" s="25" t="n">
        <v>0</v>
      </c>
      <c r="J116" s="25">
        <f>C116</f>
        <v/>
      </c>
      <c r="K116" s="25">
        <f>IF(C116&gt;=0.5,1,C116)</f>
        <v/>
      </c>
      <c r="L116" s="23">
        <f>IF(OR($A116="",$E116=""),0,MAX(0,B$7-MAX($E116,B$6)+1))</f>
        <v/>
      </c>
      <c r="M116" s="25">
        <f>IF(L116=0,0,MIN(1,0.1+0.9*((MAX($E116,B$6)+B$7)/2-$E116)/Forecast!$C$13))</f>
        <v/>
      </c>
      <c r="N116" s="23">
        <f>IF(OR($A116="",$E116=""),0,MAX(0,C$7-MAX($E116,C$6)+1))</f>
        <v/>
      </c>
      <c r="O116" s="25">
        <f>IF(N116=0,0,MIN(1,0.1+0.9*((MAX($E116,C$6)+C$7)/2-$E116)/Forecast!$C$13))</f>
        <v/>
      </c>
      <c r="P116" s="23">
        <f>IF(OR($A116="",$E116=""),0,MAX(0,D$7-MAX($E116,D$6)+1))</f>
        <v/>
      </c>
      <c r="Q116" s="25">
        <f>IF(P116=0,0,MIN(1,0.1+0.9*((MAX($E116,D$6)+D$7)/2-$E116)/Forecast!$C$13))</f>
        <v/>
      </c>
    </row>
    <row r="117">
      <c r="A117" s="3">
        <f>IF(INDEX(Data_Pipeline!$A:$A,17+1)="","",INDEX(Data_Pipeline!$A:$A,17+1))</f>
        <v/>
      </c>
      <c r="B117" s="3">
        <f>IF(INDEX(Data_Pipeline!$B:$B,17+1)="","",INDEX(Data_Pipeline!$B:$B,17+1))</f>
        <v/>
      </c>
      <c r="C117" s="25">
        <f>IF($A117="",0,N(INDEX(Data_Pipeline!$D:$D,17+1)))</f>
        <v/>
      </c>
      <c r="D117" s="31">
        <f>IF($A117="",0,N(INDEX(Data_Pipeline!$E:$E,17+1)))</f>
        <v/>
      </c>
      <c r="E117" s="30">
        <f>IF(INDEX(Data_Pipeline!$F:$F,17+1)="","",INDEX(Data_Pipeline!$F:$F,17+1))</f>
        <v/>
      </c>
      <c r="F117" s="25">
        <f>IF($A117="",0,N(INDEX(Data_Pipeline!$G:$G,17+1)))</f>
        <v/>
      </c>
      <c r="G117" s="26">
        <f>$F$8*(1-F117)</f>
        <v/>
      </c>
      <c r="H117" s="29">
        <f>IF(G117=0,0,D117/G117/30.4/1000)</f>
        <v/>
      </c>
      <c r="I117" s="25" t="n">
        <v>0</v>
      </c>
      <c r="J117" s="25">
        <f>C117</f>
        <v/>
      </c>
      <c r="K117" s="25">
        <f>IF(C117&gt;=0.5,1,C117)</f>
        <v/>
      </c>
      <c r="L117" s="23">
        <f>IF(OR($A117="",$E117=""),0,MAX(0,B$7-MAX($E117,B$6)+1))</f>
        <v/>
      </c>
      <c r="M117" s="25">
        <f>IF(L117=0,0,MIN(1,0.1+0.9*((MAX($E117,B$6)+B$7)/2-$E117)/Forecast!$C$13))</f>
        <v/>
      </c>
      <c r="N117" s="23">
        <f>IF(OR($A117="",$E117=""),0,MAX(0,C$7-MAX($E117,C$6)+1))</f>
        <v/>
      </c>
      <c r="O117" s="25">
        <f>IF(N117=0,0,MIN(1,0.1+0.9*((MAX($E117,C$6)+C$7)/2-$E117)/Forecast!$C$13))</f>
        <v/>
      </c>
      <c r="P117" s="23">
        <f>IF(OR($A117="",$E117=""),0,MAX(0,D$7-MAX($E117,D$6)+1))</f>
        <v/>
      </c>
      <c r="Q117" s="25">
        <f>IF(P117=0,0,MIN(1,0.1+0.9*((MAX($E117,D$6)+D$7)/2-$E117)/Forecast!$C$13))</f>
        <v/>
      </c>
    </row>
    <row r="118">
      <c r="A118" s="3">
        <f>IF(INDEX(Data_Pipeline!$A:$A,18+1)="","",INDEX(Data_Pipeline!$A:$A,18+1))</f>
        <v/>
      </c>
      <c r="B118" s="3">
        <f>IF(INDEX(Data_Pipeline!$B:$B,18+1)="","",INDEX(Data_Pipeline!$B:$B,18+1))</f>
        <v/>
      </c>
      <c r="C118" s="25">
        <f>IF($A118="",0,N(INDEX(Data_Pipeline!$D:$D,18+1)))</f>
        <v/>
      </c>
      <c r="D118" s="31">
        <f>IF($A118="",0,N(INDEX(Data_Pipeline!$E:$E,18+1)))</f>
        <v/>
      </c>
      <c r="E118" s="30">
        <f>IF(INDEX(Data_Pipeline!$F:$F,18+1)="","",INDEX(Data_Pipeline!$F:$F,18+1))</f>
        <v/>
      </c>
      <c r="F118" s="25">
        <f>IF($A118="",0,N(INDEX(Data_Pipeline!$G:$G,18+1)))</f>
        <v/>
      </c>
      <c r="G118" s="26">
        <f>$F$8*(1-F118)</f>
        <v/>
      </c>
      <c r="H118" s="29">
        <f>IF(G118=0,0,D118/G118/30.4/1000)</f>
        <v/>
      </c>
      <c r="I118" s="25" t="n">
        <v>0</v>
      </c>
      <c r="J118" s="25">
        <f>C118</f>
        <v/>
      </c>
      <c r="K118" s="25">
        <f>IF(C118&gt;=0.5,1,C118)</f>
        <v/>
      </c>
      <c r="L118" s="23">
        <f>IF(OR($A118="",$E118=""),0,MAX(0,B$7-MAX($E118,B$6)+1))</f>
        <v/>
      </c>
      <c r="M118" s="25">
        <f>IF(L118=0,0,MIN(1,0.1+0.9*((MAX($E118,B$6)+B$7)/2-$E118)/Forecast!$C$13))</f>
        <v/>
      </c>
      <c r="N118" s="23">
        <f>IF(OR($A118="",$E118=""),0,MAX(0,C$7-MAX($E118,C$6)+1))</f>
        <v/>
      </c>
      <c r="O118" s="25">
        <f>IF(N118=0,0,MIN(1,0.1+0.9*((MAX($E118,C$6)+C$7)/2-$E118)/Forecast!$C$13))</f>
        <v/>
      </c>
      <c r="P118" s="23">
        <f>IF(OR($A118="",$E118=""),0,MAX(0,D$7-MAX($E118,D$6)+1))</f>
        <v/>
      </c>
      <c r="Q118" s="25">
        <f>IF(P118=0,0,MIN(1,0.1+0.9*((MAX($E118,D$6)+D$7)/2-$E118)/Forecast!$C$13))</f>
        <v/>
      </c>
    </row>
    <row r="119">
      <c r="A119" s="3">
        <f>IF(INDEX(Data_Pipeline!$A:$A,19+1)="","",INDEX(Data_Pipeline!$A:$A,19+1))</f>
        <v/>
      </c>
      <c r="B119" s="3">
        <f>IF(INDEX(Data_Pipeline!$B:$B,19+1)="","",INDEX(Data_Pipeline!$B:$B,19+1))</f>
        <v/>
      </c>
      <c r="C119" s="25">
        <f>IF($A119="",0,N(INDEX(Data_Pipeline!$D:$D,19+1)))</f>
        <v/>
      </c>
      <c r="D119" s="31">
        <f>IF($A119="",0,N(INDEX(Data_Pipeline!$E:$E,19+1)))</f>
        <v/>
      </c>
      <c r="E119" s="30">
        <f>IF(INDEX(Data_Pipeline!$F:$F,19+1)="","",INDEX(Data_Pipeline!$F:$F,19+1))</f>
        <v/>
      </c>
      <c r="F119" s="25">
        <f>IF($A119="",0,N(INDEX(Data_Pipeline!$G:$G,19+1)))</f>
        <v/>
      </c>
      <c r="G119" s="26">
        <f>$F$8*(1-F119)</f>
        <v/>
      </c>
      <c r="H119" s="29">
        <f>IF(G119=0,0,D119/G119/30.4/1000)</f>
        <v/>
      </c>
      <c r="I119" s="25" t="n">
        <v>0</v>
      </c>
      <c r="J119" s="25">
        <f>C119</f>
        <v/>
      </c>
      <c r="K119" s="25">
        <f>IF(C119&gt;=0.5,1,C119)</f>
        <v/>
      </c>
      <c r="L119" s="23">
        <f>IF(OR($A119="",$E119=""),0,MAX(0,B$7-MAX($E119,B$6)+1))</f>
        <v/>
      </c>
      <c r="M119" s="25">
        <f>IF(L119=0,0,MIN(1,0.1+0.9*((MAX($E119,B$6)+B$7)/2-$E119)/Forecast!$C$13))</f>
        <v/>
      </c>
      <c r="N119" s="23">
        <f>IF(OR($A119="",$E119=""),0,MAX(0,C$7-MAX($E119,C$6)+1))</f>
        <v/>
      </c>
      <c r="O119" s="25">
        <f>IF(N119=0,0,MIN(1,0.1+0.9*((MAX($E119,C$6)+C$7)/2-$E119)/Forecast!$C$13))</f>
        <v/>
      </c>
      <c r="P119" s="23">
        <f>IF(OR($A119="",$E119=""),0,MAX(0,D$7-MAX($E119,D$6)+1))</f>
        <v/>
      </c>
      <c r="Q119" s="25">
        <f>IF(P119=0,0,MIN(1,0.1+0.9*((MAX($E119,D$6)+D$7)/2-$E119)/Forecast!$C$13))</f>
        <v/>
      </c>
    </row>
    <row r="120">
      <c r="A120" s="3">
        <f>IF(INDEX(Data_Pipeline!$A:$A,20+1)="","",INDEX(Data_Pipeline!$A:$A,20+1))</f>
        <v/>
      </c>
      <c r="B120" s="3">
        <f>IF(INDEX(Data_Pipeline!$B:$B,20+1)="","",INDEX(Data_Pipeline!$B:$B,20+1))</f>
        <v/>
      </c>
      <c r="C120" s="25">
        <f>IF($A120="",0,N(INDEX(Data_Pipeline!$D:$D,20+1)))</f>
        <v/>
      </c>
      <c r="D120" s="31">
        <f>IF($A120="",0,N(INDEX(Data_Pipeline!$E:$E,20+1)))</f>
        <v/>
      </c>
      <c r="E120" s="30">
        <f>IF(INDEX(Data_Pipeline!$F:$F,20+1)="","",INDEX(Data_Pipeline!$F:$F,20+1))</f>
        <v/>
      </c>
      <c r="F120" s="25">
        <f>IF($A120="",0,N(INDEX(Data_Pipeline!$G:$G,20+1)))</f>
        <v/>
      </c>
      <c r="G120" s="26">
        <f>$F$8*(1-F120)</f>
        <v/>
      </c>
      <c r="H120" s="29">
        <f>IF(G120=0,0,D120/G120/30.4/1000)</f>
        <v/>
      </c>
      <c r="I120" s="25" t="n">
        <v>0</v>
      </c>
      <c r="J120" s="25">
        <f>C120</f>
        <v/>
      </c>
      <c r="K120" s="25">
        <f>IF(C120&gt;=0.5,1,C120)</f>
        <v/>
      </c>
      <c r="L120" s="23">
        <f>IF(OR($A120="",$E120=""),0,MAX(0,B$7-MAX($E120,B$6)+1))</f>
        <v/>
      </c>
      <c r="M120" s="25">
        <f>IF(L120=0,0,MIN(1,0.1+0.9*((MAX($E120,B$6)+B$7)/2-$E120)/Forecast!$C$13))</f>
        <v/>
      </c>
      <c r="N120" s="23">
        <f>IF(OR($A120="",$E120=""),0,MAX(0,C$7-MAX($E120,C$6)+1))</f>
        <v/>
      </c>
      <c r="O120" s="25">
        <f>IF(N120=0,0,MIN(1,0.1+0.9*((MAX($E120,C$6)+C$7)/2-$E120)/Forecast!$C$13))</f>
        <v/>
      </c>
      <c r="P120" s="23">
        <f>IF(OR($A120="",$E120=""),0,MAX(0,D$7-MAX($E120,D$6)+1))</f>
        <v/>
      </c>
      <c r="Q120" s="25">
        <f>IF(P120=0,0,MIN(1,0.1+0.9*((MAX($E120,D$6)+D$7)/2-$E120)/Forecast!$C$13))</f>
        <v/>
      </c>
    </row>
    <row r="121">
      <c r="A121" s="3">
        <f>IF(INDEX(Data_Pipeline!$A:$A,21+1)="","",INDEX(Data_Pipeline!$A:$A,21+1))</f>
        <v/>
      </c>
      <c r="B121" s="3">
        <f>IF(INDEX(Data_Pipeline!$B:$B,21+1)="","",INDEX(Data_Pipeline!$B:$B,21+1))</f>
        <v/>
      </c>
      <c r="C121" s="25">
        <f>IF($A121="",0,N(INDEX(Data_Pipeline!$D:$D,21+1)))</f>
        <v/>
      </c>
      <c r="D121" s="31">
        <f>IF($A121="",0,N(INDEX(Data_Pipeline!$E:$E,21+1)))</f>
        <v/>
      </c>
      <c r="E121" s="30">
        <f>IF(INDEX(Data_Pipeline!$F:$F,21+1)="","",INDEX(Data_Pipeline!$F:$F,21+1))</f>
        <v/>
      </c>
      <c r="F121" s="25">
        <f>IF($A121="",0,N(INDEX(Data_Pipeline!$G:$G,21+1)))</f>
        <v/>
      </c>
      <c r="G121" s="26">
        <f>$F$8*(1-F121)</f>
        <v/>
      </c>
      <c r="H121" s="29">
        <f>IF(G121=0,0,D121/G121/30.4/1000)</f>
        <v/>
      </c>
      <c r="I121" s="25" t="n">
        <v>0</v>
      </c>
      <c r="J121" s="25">
        <f>C121</f>
        <v/>
      </c>
      <c r="K121" s="25">
        <f>IF(C121&gt;=0.5,1,C121)</f>
        <v/>
      </c>
      <c r="L121" s="23">
        <f>IF(OR($A121="",$E121=""),0,MAX(0,B$7-MAX($E121,B$6)+1))</f>
        <v/>
      </c>
      <c r="M121" s="25">
        <f>IF(L121=0,0,MIN(1,0.1+0.9*((MAX($E121,B$6)+B$7)/2-$E121)/Forecast!$C$13))</f>
        <v/>
      </c>
      <c r="N121" s="23">
        <f>IF(OR($A121="",$E121=""),0,MAX(0,C$7-MAX($E121,C$6)+1))</f>
        <v/>
      </c>
      <c r="O121" s="25">
        <f>IF(N121=0,0,MIN(1,0.1+0.9*((MAX($E121,C$6)+C$7)/2-$E121)/Forecast!$C$13))</f>
        <v/>
      </c>
      <c r="P121" s="23">
        <f>IF(OR($A121="",$E121=""),0,MAX(0,D$7-MAX($E121,D$6)+1))</f>
        <v/>
      </c>
      <c r="Q121" s="25">
        <f>IF(P121=0,0,MIN(1,0.1+0.9*((MAX($E121,D$6)+D$7)/2-$E121)/Forecast!$C$13))</f>
        <v/>
      </c>
    </row>
    <row r="122">
      <c r="A122" s="3">
        <f>IF(INDEX(Data_Pipeline!$A:$A,22+1)="","",INDEX(Data_Pipeline!$A:$A,22+1))</f>
        <v/>
      </c>
      <c r="B122" s="3">
        <f>IF(INDEX(Data_Pipeline!$B:$B,22+1)="","",INDEX(Data_Pipeline!$B:$B,22+1))</f>
        <v/>
      </c>
      <c r="C122" s="25">
        <f>IF($A122="",0,N(INDEX(Data_Pipeline!$D:$D,22+1)))</f>
        <v/>
      </c>
      <c r="D122" s="31">
        <f>IF($A122="",0,N(INDEX(Data_Pipeline!$E:$E,22+1)))</f>
        <v/>
      </c>
      <c r="E122" s="30">
        <f>IF(INDEX(Data_Pipeline!$F:$F,22+1)="","",INDEX(Data_Pipeline!$F:$F,22+1))</f>
        <v/>
      </c>
      <c r="F122" s="25">
        <f>IF($A122="",0,N(INDEX(Data_Pipeline!$G:$G,22+1)))</f>
        <v/>
      </c>
      <c r="G122" s="26">
        <f>$F$8*(1-F122)</f>
        <v/>
      </c>
      <c r="H122" s="29">
        <f>IF(G122=0,0,D122/G122/30.4/1000)</f>
        <v/>
      </c>
      <c r="I122" s="25" t="n">
        <v>0</v>
      </c>
      <c r="J122" s="25">
        <f>C122</f>
        <v/>
      </c>
      <c r="K122" s="25">
        <f>IF(C122&gt;=0.5,1,C122)</f>
        <v/>
      </c>
      <c r="L122" s="23">
        <f>IF(OR($A122="",$E122=""),0,MAX(0,B$7-MAX($E122,B$6)+1))</f>
        <v/>
      </c>
      <c r="M122" s="25">
        <f>IF(L122=0,0,MIN(1,0.1+0.9*((MAX($E122,B$6)+B$7)/2-$E122)/Forecast!$C$13))</f>
        <v/>
      </c>
      <c r="N122" s="23">
        <f>IF(OR($A122="",$E122=""),0,MAX(0,C$7-MAX($E122,C$6)+1))</f>
        <v/>
      </c>
      <c r="O122" s="25">
        <f>IF(N122=0,0,MIN(1,0.1+0.9*((MAX($E122,C$6)+C$7)/2-$E122)/Forecast!$C$13))</f>
        <v/>
      </c>
      <c r="P122" s="23">
        <f>IF(OR($A122="",$E122=""),0,MAX(0,D$7-MAX($E122,D$6)+1))</f>
        <v/>
      </c>
      <c r="Q122" s="25">
        <f>IF(P122=0,0,MIN(1,0.1+0.9*((MAX($E122,D$6)+D$7)/2-$E122)/Forecast!$C$13))</f>
        <v/>
      </c>
    </row>
    <row r="123">
      <c r="A123" s="3">
        <f>IF(INDEX(Data_Pipeline!$A:$A,23+1)="","",INDEX(Data_Pipeline!$A:$A,23+1))</f>
        <v/>
      </c>
      <c r="B123" s="3">
        <f>IF(INDEX(Data_Pipeline!$B:$B,23+1)="","",INDEX(Data_Pipeline!$B:$B,23+1))</f>
        <v/>
      </c>
      <c r="C123" s="25">
        <f>IF($A123="",0,N(INDEX(Data_Pipeline!$D:$D,23+1)))</f>
        <v/>
      </c>
      <c r="D123" s="31">
        <f>IF($A123="",0,N(INDEX(Data_Pipeline!$E:$E,23+1)))</f>
        <v/>
      </c>
      <c r="E123" s="30">
        <f>IF(INDEX(Data_Pipeline!$F:$F,23+1)="","",INDEX(Data_Pipeline!$F:$F,23+1))</f>
        <v/>
      </c>
      <c r="F123" s="25">
        <f>IF($A123="",0,N(INDEX(Data_Pipeline!$G:$G,23+1)))</f>
        <v/>
      </c>
      <c r="G123" s="26">
        <f>$F$8*(1-F123)</f>
        <v/>
      </c>
      <c r="H123" s="29">
        <f>IF(G123=0,0,D123/G123/30.4/1000)</f>
        <v/>
      </c>
      <c r="I123" s="25" t="n">
        <v>0</v>
      </c>
      <c r="J123" s="25">
        <f>C123</f>
        <v/>
      </c>
      <c r="K123" s="25">
        <f>IF(C123&gt;=0.5,1,C123)</f>
        <v/>
      </c>
      <c r="L123" s="23">
        <f>IF(OR($A123="",$E123=""),0,MAX(0,B$7-MAX($E123,B$6)+1))</f>
        <v/>
      </c>
      <c r="M123" s="25">
        <f>IF(L123=0,0,MIN(1,0.1+0.9*((MAX($E123,B$6)+B$7)/2-$E123)/Forecast!$C$13))</f>
        <v/>
      </c>
      <c r="N123" s="23">
        <f>IF(OR($A123="",$E123=""),0,MAX(0,C$7-MAX($E123,C$6)+1))</f>
        <v/>
      </c>
      <c r="O123" s="25">
        <f>IF(N123=0,0,MIN(1,0.1+0.9*((MAX($E123,C$6)+C$7)/2-$E123)/Forecast!$C$13))</f>
        <v/>
      </c>
      <c r="P123" s="23">
        <f>IF(OR($A123="",$E123=""),0,MAX(0,D$7-MAX($E123,D$6)+1))</f>
        <v/>
      </c>
      <c r="Q123" s="25">
        <f>IF(P123=0,0,MIN(1,0.1+0.9*((MAX($E123,D$6)+D$7)/2-$E123)/Forecast!$C$13))</f>
        <v/>
      </c>
    </row>
    <row r="124">
      <c r="A124" s="3">
        <f>IF(INDEX(Data_Pipeline!$A:$A,24+1)="","",INDEX(Data_Pipeline!$A:$A,24+1))</f>
        <v/>
      </c>
      <c r="B124" s="3">
        <f>IF(INDEX(Data_Pipeline!$B:$B,24+1)="","",INDEX(Data_Pipeline!$B:$B,24+1))</f>
        <v/>
      </c>
      <c r="C124" s="25">
        <f>IF($A124="",0,N(INDEX(Data_Pipeline!$D:$D,24+1)))</f>
        <v/>
      </c>
      <c r="D124" s="31">
        <f>IF($A124="",0,N(INDEX(Data_Pipeline!$E:$E,24+1)))</f>
        <v/>
      </c>
      <c r="E124" s="30">
        <f>IF(INDEX(Data_Pipeline!$F:$F,24+1)="","",INDEX(Data_Pipeline!$F:$F,24+1))</f>
        <v/>
      </c>
      <c r="F124" s="25">
        <f>IF($A124="",0,N(INDEX(Data_Pipeline!$G:$G,24+1)))</f>
        <v/>
      </c>
      <c r="G124" s="26">
        <f>$F$8*(1-F124)</f>
        <v/>
      </c>
      <c r="H124" s="29">
        <f>IF(G124=0,0,D124/G124/30.4/1000)</f>
        <v/>
      </c>
      <c r="I124" s="25" t="n">
        <v>0</v>
      </c>
      <c r="J124" s="25">
        <f>C124</f>
        <v/>
      </c>
      <c r="K124" s="25">
        <f>IF(C124&gt;=0.5,1,C124)</f>
        <v/>
      </c>
      <c r="L124" s="23">
        <f>IF(OR($A124="",$E124=""),0,MAX(0,B$7-MAX($E124,B$6)+1))</f>
        <v/>
      </c>
      <c r="M124" s="25">
        <f>IF(L124=0,0,MIN(1,0.1+0.9*((MAX($E124,B$6)+B$7)/2-$E124)/Forecast!$C$13))</f>
        <v/>
      </c>
      <c r="N124" s="23">
        <f>IF(OR($A124="",$E124=""),0,MAX(0,C$7-MAX($E124,C$6)+1))</f>
        <v/>
      </c>
      <c r="O124" s="25">
        <f>IF(N124=0,0,MIN(1,0.1+0.9*((MAX($E124,C$6)+C$7)/2-$E124)/Forecast!$C$13))</f>
        <v/>
      </c>
      <c r="P124" s="23">
        <f>IF(OR($A124="",$E124=""),0,MAX(0,D$7-MAX($E124,D$6)+1))</f>
        <v/>
      </c>
      <c r="Q124" s="25">
        <f>IF(P124=0,0,MIN(1,0.1+0.9*((MAX($E124,D$6)+D$7)/2-$E124)/Forecast!$C$13))</f>
        <v/>
      </c>
    </row>
    <row r="125">
      <c r="A125" s="3">
        <f>IF(INDEX(Data_Pipeline!$A:$A,25+1)="","",INDEX(Data_Pipeline!$A:$A,25+1))</f>
        <v/>
      </c>
      <c r="B125" s="3">
        <f>IF(INDEX(Data_Pipeline!$B:$B,25+1)="","",INDEX(Data_Pipeline!$B:$B,25+1))</f>
        <v/>
      </c>
      <c r="C125" s="25">
        <f>IF($A125="",0,N(INDEX(Data_Pipeline!$D:$D,25+1)))</f>
        <v/>
      </c>
      <c r="D125" s="31">
        <f>IF($A125="",0,N(INDEX(Data_Pipeline!$E:$E,25+1)))</f>
        <v/>
      </c>
      <c r="E125" s="30">
        <f>IF(INDEX(Data_Pipeline!$F:$F,25+1)="","",INDEX(Data_Pipeline!$F:$F,25+1))</f>
        <v/>
      </c>
      <c r="F125" s="25">
        <f>IF($A125="",0,N(INDEX(Data_Pipeline!$G:$G,25+1)))</f>
        <v/>
      </c>
      <c r="G125" s="26">
        <f>$F$8*(1-F125)</f>
        <v/>
      </c>
      <c r="H125" s="29">
        <f>IF(G125=0,0,D125/G125/30.4/1000)</f>
        <v/>
      </c>
      <c r="I125" s="25" t="n">
        <v>0</v>
      </c>
      <c r="J125" s="25">
        <f>C125</f>
        <v/>
      </c>
      <c r="K125" s="25">
        <f>IF(C125&gt;=0.5,1,C125)</f>
        <v/>
      </c>
      <c r="L125" s="23">
        <f>IF(OR($A125="",$E125=""),0,MAX(0,B$7-MAX($E125,B$6)+1))</f>
        <v/>
      </c>
      <c r="M125" s="25">
        <f>IF(L125=0,0,MIN(1,0.1+0.9*((MAX($E125,B$6)+B$7)/2-$E125)/Forecast!$C$13))</f>
        <v/>
      </c>
      <c r="N125" s="23">
        <f>IF(OR($A125="",$E125=""),0,MAX(0,C$7-MAX($E125,C$6)+1))</f>
        <v/>
      </c>
      <c r="O125" s="25">
        <f>IF(N125=0,0,MIN(1,0.1+0.9*((MAX($E125,C$6)+C$7)/2-$E125)/Forecast!$C$13))</f>
        <v/>
      </c>
      <c r="P125" s="23">
        <f>IF(OR($A125="",$E125=""),0,MAX(0,D$7-MAX($E125,D$6)+1))</f>
        <v/>
      </c>
      <c r="Q125" s="25">
        <f>IF(P125=0,0,MIN(1,0.1+0.9*((MAX($E125,D$6)+D$7)/2-$E125)/Forecast!$C$13))</f>
        <v/>
      </c>
    </row>
    <row r="126">
      <c r="A126" s="3">
        <f>IF(INDEX(Data_Pipeline!$A:$A,26+1)="","",INDEX(Data_Pipeline!$A:$A,26+1))</f>
        <v/>
      </c>
      <c r="B126" s="3">
        <f>IF(INDEX(Data_Pipeline!$B:$B,26+1)="","",INDEX(Data_Pipeline!$B:$B,26+1))</f>
        <v/>
      </c>
      <c r="C126" s="25">
        <f>IF($A126="",0,N(INDEX(Data_Pipeline!$D:$D,26+1)))</f>
        <v/>
      </c>
      <c r="D126" s="31">
        <f>IF($A126="",0,N(INDEX(Data_Pipeline!$E:$E,26+1)))</f>
        <v/>
      </c>
      <c r="E126" s="30">
        <f>IF(INDEX(Data_Pipeline!$F:$F,26+1)="","",INDEX(Data_Pipeline!$F:$F,26+1))</f>
        <v/>
      </c>
      <c r="F126" s="25">
        <f>IF($A126="",0,N(INDEX(Data_Pipeline!$G:$G,26+1)))</f>
        <v/>
      </c>
      <c r="G126" s="26">
        <f>$F$8*(1-F126)</f>
        <v/>
      </c>
      <c r="H126" s="29">
        <f>IF(G126=0,0,D126/G126/30.4/1000)</f>
        <v/>
      </c>
      <c r="I126" s="25" t="n">
        <v>0</v>
      </c>
      <c r="J126" s="25">
        <f>C126</f>
        <v/>
      </c>
      <c r="K126" s="25">
        <f>IF(C126&gt;=0.5,1,C126)</f>
        <v/>
      </c>
      <c r="L126" s="23">
        <f>IF(OR($A126="",$E126=""),0,MAX(0,B$7-MAX($E126,B$6)+1))</f>
        <v/>
      </c>
      <c r="M126" s="25">
        <f>IF(L126=0,0,MIN(1,0.1+0.9*((MAX($E126,B$6)+B$7)/2-$E126)/Forecast!$C$13))</f>
        <v/>
      </c>
      <c r="N126" s="23">
        <f>IF(OR($A126="",$E126=""),0,MAX(0,C$7-MAX($E126,C$6)+1))</f>
        <v/>
      </c>
      <c r="O126" s="25">
        <f>IF(N126=0,0,MIN(1,0.1+0.9*((MAX($E126,C$6)+C$7)/2-$E126)/Forecast!$C$13))</f>
        <v/>
      </c>
      <c r="P126" s="23">
        <f>IF(OR($A126="",$E126=""),0,MAX(0,D$7-MAX($E126,D$6)+1))</f>
        <v/>
      </c>
      <c r="Q126" s="25">
        <f>IF(P126=0,0,MIN(1,0.1+0.9*((MAX($E126,D$6)+D$7)/2-$E126)/Forecast!$C$13))</f>
        <v/>
      </c>
    </row>
    <row r="127">
      <c r="A127" s="3">
        <f>IF(INDEX(Data_Pipeline!$A:$A,27+1)="","",INDEX(Data_Pipeline!$A:$A,27+1))</f>
        <v/>
      </c>
      <c r="B127" s="3">
        <f>IF(INDEX(Data_Pipeline!$B:$B,27+1)="","",INDEX(Data_Pipeline!$B:$B,27+1))</f>
        <v/>
      </c>
      <c r="C127" s="25">
        <f>IF($A127="",0,N(INDEX(Data_Pipeline!$D:$D,27+1)))</f>
        <v/>
      </c>
      <c r="D127" s="31">
        <f>IF($A127="",0,N(INDEX(Data_Pipeline!$E:$E,27+1)))</f>
        <v/>
      </c>
      <c r="E127" s="30">
        <f>IF(INDEX(Data_Pipeline!$F:$F,27+1)="","",INDEX(Data_Pipeline!$F:$F,27+1))</f>
        <v/>
      </c>
      <c r="F127" s="25">
        <f>IF($A127="",0,N(INDEX(Data_Pipeline!$G:$G,27+1)))</f>
        <v/>
      </c>
      <c r="G127" s="26">
        <f>$F$8*(1-F127)</f>
        <v/>
      </c>
      <c r="H127" s="29">
        <f>IF(G127=0,0,D127/G127/30.4/1000)</f>
        <v/>
      </c>
      <c r="I127" s="25" t="n">
        <v>0</v>
      </c>
      <c r="J127" s="25">
        <f>C127</f>
        <v/>
      </c>
      <c r="K127" s="25">
        <f>IF(C127&gt;=0.5,1,C127)</f>
        <v/>
      </c>
      <c r="L127" s="23">
        <f>IF(OR($A127="",$E127=""),0,MAX(0,B$7-MAX($E127,B$6)+1))</f>
        <v/>
      </c>
      <c r="M127" s="25">
        <f>IF(L127=0,0,MIN(1,0.1+0.9*((MAX($E127,B$6)+B$7)/2-$E127)/Forecast!$C$13))</f>
        <v/>
      </c>
      <c r="N127" s="23">
        <f>IF(OR($A127="",$E127=""),0,MAX(0,C$7-MAX($E127,C$6)+1))</f>
        <v/>
      </c>
      <c r="O127" s="25">
        <f>IF(N127=0,0,MIN(1,0.1+0.9*((MAX($E127,C$6)+C$7)/2-$E127)/Forecast!$C$13))</f>
        <v/>
      </c>
      <c r="P127" s="23">
        <f>IF(OR($A127="",$E127=""),0,MAX(0,D$7-MAX($E127,D$6)+1))</f>
        <v/>
      </c>
      <c r="Q127" s="25">
        <f>IF(P127=0,0,MIN(1,0.1+0.9*((MAX($E127,D$6)+D$7)/2-$E127)/Forecast!$C$13))</f>
        <v/>
      </c>
    </row>
    <row r="128">
      <c r="A128" s="3">
        <f>IF(INDEX(Data_Pipeline!$A:$A,28+1)="","",INDEX(Data_Pipeline!$A:$A,28+1))</f>
        <v/>
      </c>
      <c r="B128" s="3">
        <f>IF(INDEX(Data_Pipeline!$B:$B,28+1)="","",INDEX(Data_Pipeline!$B:$B,28+1))</f>
        <v/>
      </c>
      <c r="C128" s="25">
        <f>IF($A128="",0,N(INDEX(Data_Pipeline!$D:$D,28+1)))</f>
        <v/>
      </c>
      <c r="D128" s="31">
        <f>IF($A128="",0,N(INDEX(Data_Pipeline!$E:$E,28+1)))</f>
        <v/>
      </c>
      <c r="E128" s="30">
        <f>IF(INDEX(Data_Pipeline!$F:$F,28+1)="","",INDEX(Data_Pipeline!$F:$F,28+1))</f>
        <v/>
      </c>
      <c r="F128" s="25">
        <f>IF($A128="",0,N(INDEX(Data_Pipeline!$G:$G,28+1)))</f>
        <v/>
      </c>
      <c r="G128" s="26">
        <f>$F$8*(1-F128)</f>
        <v/>
      </c>
      <c r="H128" s="29">
        <f>IF(G128=0,0,D128/G128/30.4/1000)</f>
        <v/>
      </c>
      <c r="I128" s="25" t="n">
        <v>0</v>
      </c>
      <c r="J128" s="25">
        <f>C128</f>
        <v/>
      </c>
      <c r="K128" s="25">
        <f>IF(C128&gt;=0.5,1,C128)</f>
        <v/>
      </c>
      <c r="L128" s="23">
        <f>IF(OR($A128="",$E128=""),0,MAX(0,B$7-MAX($E128,B$6)+1))</f>
        <v/>
      </c>
      <c r="M128" s="25">
        <f>IF(L128=0,0,MIN(1,0.1+0.9*((MAX($E128,B$6)+B$7)/2-$E128)/Forecast!$C$13))</f>
        <v/>
      </c>
      <c r="N128" s="23">
        <f>IF(OR($A128="",$E128=""),0,MAX(0,C$7-MAX($E128,C$6)+1))</f>
        <v/>
      </c>
      <c r="O128" s="25">
        <f>IF(N128=0,0,MIN(1,0.1+0.9*((MAX($E128,C$6)+C$7)/2-$E128)/Forecast!$C$13))</f>
        <v/>
      </c>
      <c r="P128" s="23">
        <f>IF(OR($A128="",$E128=""),0,MAX(0,D$7-MAX($E128,D$6)+1))</f>
        <v/>
      </c>
      <c r="Q128" s="25">
        <f>IF(P128=0,0,MIN(1,0.1+0.9*((MAX($E128,D$6)+D$7)/2-$E128)/Forecast!$C$13))</f>
        <v/>
      </c>
    </row>
    <row r="129">
      <c r="A129" s="3">
        <f>IF(INDEX(Data_Pipeline!$A:$A,29+1)="","",INDEX(Data_Pipeline!$A:$A,29+1))</f>
        <v/>
      </c>
      <c r="B129" s="3">
        <f>IF(INDEX(Data_Pipeline!$B:$B,29+1)="","",INDEX(Data_Pipeline!$B:$B,29+1))</f>
        <v/>
      </c>
      <c r="C129" s="25">
        <f>IF($A129="",0,N(INDEX(Data_Pipeline!$D:$D,29+1)))</f>
        <v/>
      </c>
      <c r="D129" s="31">
        <f>IF($A129="",0,N(INDEX(Data_Pipeline!$E:$E,29+1)))</f>
        <v/>
      </c>
      <c r="E129" s="30">
        <f>IF(INDEX(Data_Pipeline!$F:$F,29+1)="","",INDEX(Data_Pipeline!$F:$F,29+1))</f>
        <v/>
      </c>
      <c r="F129" s="25">
        <f>IF($A129="",0,N(INDEX(Data_Pipeline!$G:$G,29+1)))</f>
        <v/>
      </c>
      <c r="G129" s="26">
        <f>$F$8*(1-F129)</f>
        <v/>
      </c>
      <c r="H129" s="29">
        <f>IF(G129=0,0,D129/G129/30.4/1000)</f>
        <v/>
      </c>
      <c r="I129" s="25" t="n">
        <v>0</v>
      </c>
      <c r="J129" s="25">
        <f>C129</f>
        <v/>
      </c>
      <c r="K129" s="25">
        <f>IF(C129&gt;=0.5,1,C129)</f>
        <v/>
      </c>
      <c r="L129" s="23">
        <f>IF(OR($A129="",$E129=""),0,MAX(0,B$7-MAX($E129,B$6)+1))</f>
        <v/>
      </c>
      <c r="M129" s="25">
        <f>IF(L129=0,0,MIN(1,0.1+0.9*((MAX($E129,B$6)+B$7)/2-$E129)/Forecast!$C$13))</f>
        <v/>
      </c>
      <c r="N129" s="23">
        <f>IF(OR($A129="",$E129=""),0,MAX(0,C$7-MAX($E129,C$6)+1))</f>
        <v/>
      </c>
      <c r="O129" s="25">
        <f>IF(N129=0,0,MIN(1,0.1+0.9*((MAX($E129,C$6)+C$7)/2-$E129)/Forecast!$C$13))</f>
        <v/>
      </c>
      <c r="P129" s="23">
        <f>IF(OR($A129="",$E129=""),0,MAX(0,D$7-MAX($E129,D$6)+1))</f>
        <v/>
      </c>
      <c r="Q129" s="25">
        <f>IF(P129=0,0,MIN(1,0.1+0.9*((MAX($E129,D$6)+D$7)/2-$E129)/Forecast!$C$13))</f>
        <v/>
      </c>
    </row>
    <row r="130">
      <c r="A130" s="3">
        <f>IF(INDEX(Data_Pipeline!$A:$A,30+1)="","",INDEX(Data_Pipeline!$A:$A,30+1))</f>
        <v/>
      </c>
      <c r="B130" s="3">
        <f>IF(INDEX(Data_Pipeline!$B:$B,30+1)="","",INDEX(Data_Pipeline!$B:$B,30+1))</f>
        <v/>
      </c>
      <c r="C130" s="25">
        <f>IF($A130="",0,N(INDEX(Data_Pipeline!$D:$D,30+1)))</f>
        <v/>
      </c>
      <c r="D130" s="31">
        <f>IF($A130="",0,N(INDEX(Data_Pipeline!$E:$E,30+1)))</f>
        <v/>
      </c>
      <c r="E130" s="30">
        <f>IF(INDEX(Data_Pipeline!$F:$F,30+1)="","",INDEX(Data_Pipeline!$F:$F,30+1))</f>
        <v/>
      </c>
      <c r="F130" s="25">
        <f>IF($A130="",0,N(INDEX(Data_Pipeline!$G:$G,30+1)))</f>
        <v/>
      </c>
      <c r="G130" s="26">
        <f>$F$8*(1-F130)</f>
        <v/>
      </c>
      <c r="H130" s="29">
        <f>IF(G130=0,0,D130/G130/30.4/1000)</f>
        <v/>
      </c>
      <c r="I130" s="25" t="n">
        <v>0</v>
      </c>
      <c r="J130" s="25">
        <f>C130</f>
        <v/>
      </c>
      <c r="K130" s="25">
        <f>IF(C130&gt;=0.5,1,C130)</f>
        <v/>
      </c>
      <c r="L130" s="23">
        <f>IF(OR($A130="",$E130=""),0,MAX(0,B$7-MAX($E130,B$6)+1))</f>
        <v/>
      </c>
      <c r="M130" s="25">
        <f>IF(L130=0,0,MIN(1,0.1+0.9*((MAX($E130,B$6)+B$7)/2-$E130)/Forecast!$C$13))</f>
        <v/>
      </c>
      <c r="N130" s="23">
        <f>IF(OR($A130="",$E130=""),0,MAX(0,C$7-MAX($E130,C$6)+1))</f>
        <v/>
      </c>
      <c r="O130" s="25">
        <f>IF(N130=0,0,MIN(1,0.1+0.9*((MAX($E130,C$6)+C$7)/2-$E130)/Forecast!$C$13))</f>
        <v/>
      </c>
      <c r="P130" s="23">
        <f>IF(OR($A130="",$E130=""),0,MAX(0,D$7-MAX($E130,D$6)+1))</f>
        <v/>
      </c>
      <c r="Q130" s="25">
        <f>IF(P130=0,0,MIN(1,0.1+0.9*((MAX($E130,D$6)+D$7)/2-$E130)/Forecast!$C$13))</f>
        <v/>
      </c>
    </row>
    <row r="131">
      <c r="A131" s="3">
        <f>IF(INDEX(Data_Pipeline!$A:$A,31+1)="","",INDEX(Data_Pipeline!$A:$A,31+1))</f>
        <v/>
      </c>
      <c r="B131" s="3">
        <f>IF(INDEX(Data_Pipeline!$B:$B,31+1)="","",INDEX(Data_Pipeline!$B:$B,31+1))</f>
        <v/>
      </c>
      <c r="C131" s="25">
        <f>IF($A131="",0,N(INDEX(Data_Pipeline!$D:$D,31+1)))</f>
        <v/>
      </c>
      <c r="D131" s="31">
        <f>IF($A131="",0,N(INDEX(Data_Pipeline!$E:$E,31+1)))</f>
        <v/>
      </c>
      <c r="E131" s="30">
        <f>IF(INDEX(Data_Pipeline!$F:$F,31+1)="","",INDEX(Data_Pipeline!$F:$F,31+1))</f>
        <v/>
      </c>
      <c r="F131" s="25">
        <f>IF($A131="",0,N(INDEX(Data_Pipeline!$G:$G,31+1)))</f>
        <v/>
      </c>
      <c r="G131" s="26">
        <f>$F$8*(1-F131)</f>
        <v/>
      </c>
      <c r="H131" s="29">
        <f>IF(G131=0,0,D131/G131/30.4/1000)</f>
        <v/>
      </c>
      <c r="I131" s="25" t="n">
        <v>0</v>
      </c>
      <c r="J131" s="25">
        <f>C131</f>
        <v/>
      </c>
      <c r="K131" s="25">
        <f>IF(C131&gt;=0.5,1,C131)</f>
        <v/>
      </c>
      <c r="L131" s="23">
        <f>IF(OR($A131="",$E131=""),0,MAX(0,B$7-MAX($E131,B$6)+1))</f>
        <v/>
      </c>
      <c r="M131" s="25">
        <f>IF(L131=0,0,MIN(1,0.1+0.9*((MAX($E131,B$6)+B$7)/2-$E131)/Forecast!$C$13))</f>
        <v/>
      </c>
      <c r="N131" s="23">
        <f>IF(OR($A131="",$E131=""),0,MAX(0,C$7-MAX($E131,C$6)+1))</f>
        <v/>
      </c>
      <c r="O131" s="25">
        <f>IF(N131=0,0,MIN(1,0.1+0.9*((MAX($E131,C$6)+C$7)/2-$E131)/Forecast!$C$13))</f>
        <v/>
      </c>
      <c r="P131" s="23">
        <f>IF(OR($A131="",$E131=""),0,MAX(0,D$7-MAX($E131,D$6)+1))</f>
        <v/>
      </c>
      <c r="Q131" s="25">
        <f>IF(P131=0,0,MIN(1,0.1+0.9*((MAX($E131,D$6)+D$7)/2-$E131)/Forecast!$C$13))</f>
        <v/>
      </c>
    </row>
    <row r="132">
      <c r="A132" s="3">
        <f>IF(INDEX(Data_Pipeline!$A:$A,32+1)="","",INDEX(Data_Pipeline!$A:$A,32+1))</f>
        <v/>
      </c>
      <c r="B132" s="3">
        <f>IF(INDEX(Data_Pipeline!$B:$B,32+1)="","",INDEX(Data_Pipeline!$B:$B,32+1))</f>
        <v/>
      </c>
      <c r="C132" s="25">
        <f>IF($A132="",0,N(INDEX(Data_Pipeline!$D:$D,32+1)))</f>
        <v/>
      </c>
      <c r="D132" s="31">
        <f>IF($A132="",0,N(INDEX(Data_Pipeline!$E:$E,32+1)))</f>
        <v/>
      </c>
      <c r="E132" s="30">
        <f>IF(INDEX(Data_Pipeline!$F:$F,32+1)="","",INDEX(Data_Pipeline!$F:$F,32+1))</f>
        <v/>
      </c>
      <c r="F132" s="25">
        <f>IF($A132="",0,N(INDEX(Data_Pipeline!$G:$G,32+1)))</f>
        <v/>
      </c>
      <c r="G132" s="26">
        <f>$F$8*(1-F132)</f>
        <v/>
      </c>
      <c r="H132" s="29">
        <f>IF(G132=0,0,D132/G132/30.4/1000)</f>
        <v/>
      </c>
      <c r="I132" s="25" t="n">
        <v>0</v>
      </c>
      <c r="J132" s="25">
        <f>C132</f>
        <v/>
      </c>
      <c r="K132" s="25">
        <f>IF(C132&gt;=0.5,1,C132)</f>
        <v/>
      </c>
      <c r="L132" s="23">
        <f>IF(OR($A132="",$E132=""),0,MAX(0,B$7-MAX($E132,B$6)+1))</f>
        <v/>
      </c>
      <c r="M132" s="25">
        <f>IF(L132=0,0,MIN(1,0.1+0.9*((MAX($E132,B$6)+B$7)/2-$E132)/Forecast!$C$13))</f>
        <v/>
      </c>
      <c r="N132" s="23">
        <f>IF(OR($A132="",$E132=""),0,MAX(0,C$7-MAX($E132,C$6)+1))</f>
        <v/>
      </c>
      <c r="O132" s="25">
        <f>IF(N132=0,0,MIN(1,0.1+0.9*((MAX($E132,C$6)+C$7)/2-$E132)/Forecast!$C$13))</f>
        <v/>
      </c>
      <c r="P132" s="23">
        <f>IF(OR($A132="",$E132=""),0,MAX(0,D$7-MAX($E132,D$6)+1))</f>
        <v/>
      </c>
      <c r="Q132" s="25">
        <f>IF(P132=0,0,MIN(1,0.1+0.9*((MAX($E132,D$6)+D$7)/2-$E132)/Forecast!$C$13))</f>
        <v/>
      </c>
    </row>
    <row r="133">
      <c r="A133" s="3">
        <f>IF(INDEX(Data_Pipeline!$A:$A,33+1)="","",INDEX(Data_Pipeline!$A:$A,33+1))</f>
        <v/>
      </c>
      <c r="B133" s="3">
        <f>IF(INDEX(Data_Pipeline!$B:$B,33+1)="","",INDEX(Data_Pipeline!$B:$B,33+1))</f>
        <v/>
      </c>
      <c r="C133" s="25">
        <f>IF($A133="",0,N(INDEX(Data_Pipeline!$D:$D,33+1)))</f>
        <v/>
      </c>
      <c r="D133" s="31">
        <f>IF($A133="",0,N(INDEX(Data_Pipeline!$E:$E,33+1)))</f>
        <v/>
      </c>
      <c r="E133" s="30">
        <f>IF(INDEX(Data_Pipeline!$F:$F,33+1)="","",INDEX(Data_Pipeline!$F:$F,33+1))</f>
        <v/>
      </c>
      <c r="F133" s="25">
        <f>IF($A133="",0,N(INDEX(Data_Pipeline!$G:$G,33+1)))</f>
        <v/>
      </c>
      <c r="G133" s="26">
        <f>$F$8*(1-F133)</f>
        <v/>
      </c>
      <c r="H133" s="29">
        <f>IF(G133=0,0,D133/G133/30.4/1000)</f>
        <v/>
      </c>
      <c r="I133" s="25" t="n">
        <v>0</v>
      </c>
      <c r="J133" s="25">
        <f>C133</f>
        <v/>
      </c>
      <c r="K133" s="25">
        <f>IF(C133&gt;=0.5,1,C133)</f>
        <v/>
      </c>
      <c r="L133" s="23">
        <f>IF(OR($A133="",$E133=""),0,MAX(0,B$7-MAX($E133,B$6)+1))</f>
        <v/>
      </c>
      <c r="M133" s="25">
        <f>IF(L133=0,0,MIN(1,0.1+0.9*((MAX($E133,B$6)+B$7)/2-$E133)/Forecast!$C$13))</f>
        <v/>
      </c>
      <c r="N133" s="23">
        <f>IF(OR($A133="",$E133=""),0,MAX(0,C$7-MAX($E133,C$6)+1))</f>
        <v/>
      </c>
      <c r="O133" s="25">
        <f>IF(N133=0,0,MIN(1,0.1+0.9*((MAX($E133,C$6)+C$7)/2-$E133)/Forecast!$C$13))</f>
        <v/>
      </c>
      <c r="P133" s="23">
        <f>IF(OR($A133="",$E133=""),0,MAX(0,D$7-MAX($E133,D$6)+1))</f>
        <v/>
      </c>
      <c r="Q133" s="25">
        <f>IF(P133=0,0,MIN(1,0.1+0.9*((MAX($E133,D$6)+D$7)/2-$E133)/Forecast!$C$13))</f>
        <v/>
      </c>
    </row>
    <row r="134">
      <c r="A134" s="3">
        <f>IF(INDEX(Data_Pipeline!$A:$A,34+1)="","",INDEX(Data_Pipeline!$A:$A,34+1))</f>
        <v/>
      </c>
      <c r="B134" s="3">
        <f>IF(INDEX(Data_Pipeline!$B:$B,34+1)="","",INDEX(Data_Pipeline!$B:$B,34+1))</f>
        <v/>
      </c>
      <c r="C134" s="25">
        <f>IF($A134="",0,N(INDEX(Data_Pipeline!$D:$D,34+1)))</f>
        <v/>
      </c>
      <c r="D134" s="31">
        <f>IF($A134="",0,N(INDEX(Data_Pipeline!$E:$E,34+1)))</f>
        <v/>
      </c>
      <c r="E134" s="30">
        <f>IF(INDEX(Data_Pipeline!$F:$F,34+1)="","",INDEX(Data_Pipeline!$F:$F,34+1))</f>
        <v/>
      </c>
      <c r="F134" s="25">
        <f>IF($A134="",0,N(INDEX(Data_Pipeline!$G:$G,34+1)))</f>
        <v/>
      </c>
      <c r="G134" s="26">
        <f>$F$8*(1-F134)</f>
        <v/>
      </c>
      <c r="H134" s="29">
        <f>IF(G134=0,0,D134/G134/30.4/1000)</f>
        <v/>
      </c>
      <c r="I134" s="25" t="n">
        <v>0</v>
      </c>
      <c r="J134" s="25">
        <f>C134</f>
        <v/>
      </c>
      <c r="K134" s="25">
        <f>IF(C134&gt;=0.5,1,C134)</f>
        <v/>
      </c>
      <c r="L134" s="23">
        <f>IF(OR($A134="",$E134=""),0,MAX(0,B$7-MAX($E134,B$6)+1))</f>
        <v/>
      </c>
      <c r="M134" s="25">
        <f>IF(L134=0,0,MIN(1,0.1+0.9*((MAX($E134,B$6)+B$7)/2-$E134)/Forecast!$C$13))</f>
        <v/>
      </c>
      <c r="N134" s="23">
        <f>IF(OR($A134="",$E134=""),0,MAX(0,C$7-MAX($E134,C$6)+1))</f>
        <v/>
      </c>
      <c r="O134" s="25">
        <f>IF(N134=0,0,MIN(1,0.1+0.9*((MAX($E134,C$6)+C$7)/2-$E134)/Forecast!$C$13))</f>
        <v/>
      </c>
      <c r="P134" s="23">
        <f>IF(OR($A134="",$E134=""),0,MAX(0,D$7-MAX($E134,D$6)+1))</f>
        <v/>
      </c>
      <c r="Q134" s="25">
        <f>IF(P134=0,0,MIN(1,0.1+0.9*((MAX($E134,D$6)+D$7)/2-$E134)/Forecast!$C$13))</f>
        <v/>
      </c>
    </row>
    <row r="135">
      <c r="A135" s="3">
        <f>IF(INDEX(Data_Pipeline!$A:$A,35+1)="","",INDEX(Data_Pipeline!$A:$A,35+1))</f>
        <v/>
      </c>
      <c r="B135" s="3">
        <f>IF(INDEX(Data_Pipeline!$B:$B,35+1)="","",INDEX(Data_Pipeline!$B:$B,35+1))</f>
        <v/>
      </c>
      <c r="C135" s="25">
        <f>IF($A135="",0,N(INDEX(Data_Pipeline!$D:$D,35+1)))</f>
        <v/>
      </c>
      <c r="D135" s="31">
        <f>IF($A135="",0,N(INDEX(Data_Pipeline!$E:$E,35+1)))</f>
        <v/>
      </c>
      <c r="E135" s="30">
        <f>IF(INDEX(Data_Pipeline!$F:$F,35+1)="","",INDEX(Data_Pipeline!$F:$F,35+1))</f>
        <v/>
      </c>
      <c r="F135" s="25">
        <f>IF($A135="",0,N(INDEX(Data_Pipeline!$G:$G,35+1)))</f>
        <v/>
      </c>
      <c r="G135" s="26">
        <f>$F$8*(1-F135)</f>
        <v/>
      </c>
      <c r="H135" s="29">
        <f>IF(G135=0,0,D135/G135/30.4/1000)</f>
        <v/>
      </c>
      <c r="I135" s="25" t="n">
        <v>0</v>
      </c>
      <c r="J135" s="25">
        <f>C135</f>
        <v/>
      </c>
      <c r="K135" s="25">
        <f>IF(C135&gt;=0.5,1,C135)</f>
        <v/>
      </c>
      <c r="L135" s="23">
        <f>IF(OR($A135="",$E135=""),0,MAX(0,B$7-MAX($E135,B$6)+1))</f>
        <v/>
      </c>
      <c r="M135" s="25">
        <f>IF(L135=0,0,MIN(1,0.1+0.9*((MAX($E135,B$6)+B$7)/2-$E135)/Forecast!$C$13))</f>
        <v/>
      </c>
      <c r="N135" s="23">
        <f>IF(OR($A135="",$E135=""),0,MAX(0,C$7-MAX($E135,C$6)+1))</f>
        <v/>
      </c>
      <c r="O135" s="25">
        <f>IF(N135=0,0,MIN(1,0.1+0.9*((MAX($E135,C$6)+C$7)/2-$E135)/Forecast!$C$13))</f>
        <v/>
      </c>
      <c r="P135" s="23">
        <f>IF(OR($A135="",$E135=""),0,MAX(0,D$7-MAX($E135,D$6)+1))</f>
        <v/>
      </c>
      <c r="Q135" s="25">
        <f>IF(P135=0,0,MIN(1,0.1+0.9*((MAX($E135,D$6)+D$7)/2-$E135)/Forecast!$C$13))</f>
        <v/>
      </c>
    </row>
    <row r="136">
      <c r="A136" s="3">
        <f>IF(INDEX(Data_Pipeline!$A:$A,36+1)="","",INDEX(Data_Pipeline!$A:$A,36+1))</f>
        <v/>
      </c>
      <c r="B136" s="3">
        <f>IF(INDEX(Data_Pipeline!$B:$B,36+1)="","",INDEX(Data_Pipeline!$B:$B,36+1))</f>
        <v/>
      </c>
      <c r="C136" s="25">
        <f>IF($A136="",0,N(INDEX(Data_Pipeline!$D:$D,36+1)))</f>
        <v/>
      </c>
      <c r="D136" s="31">
        <f>IF($A136="",0,N(INDEX(Data_Pipeline!$E:$E,36+1)))</f>
        <v/>
      </c>
      <c r="E136" s="30">
        <f>IF(INDEX(Data_Pipeline!$F:$F,36+1)="","",INDEX(Data_Pipeline!$F:$F,36+1))</f>
        <v/>
      </c>
      <c r="F136" s="25">
        <f>IF($A136="",0,N(INDEX(Data_Pipeline!$G:$G,36+1)))</f>
        <v/>
      </c>
      <c r="G136" s="26">
        <f>$F$8*(1-F136)</f>
        <v/>
      </c>
      <c r="H136" s="29">
        <f>IF(G136=0,0,D136/G136/30.4/1000)</f>
        <v/>
      </c>
      <c r="I136" s="25" t="n">
        <v>0</v>
      </c>
      <c r="J136" s="25">
        <f>C136</f>
        <v/>
      </c>
      <c r="K136" s="25">
        <f>IF(C136&gt;=0.5,1,C136)</f>
        <v/>
      </c>
      <c r="L136" s="23">
        <f>IF(OR($A136="",$E136=""),0,MAX(0,B$7-MAX($E136,B$6)+1))</f>
        <v/>
      </c>
      <c r="M136" s="25">
        <f>IF(L136=0,0,MIN(1,0.1+0.9*((MAX($E136,B$6)+B$7)/2-$E136)/Forecast!$C$13))</f>
        <v/>
      </c>
      <c r="N136" s="23">
        <f>IF(OR($A136="",$E136=""),0,MAX(0,C$7-MAX($E136,C$6)+1))</f>
        <v/>
      </c>
      <c r="O136" s="25">
        <f>IF(N136=0,0,MIN(1,0.1+0.9*((MAX($E136,C$6)+C$7)/2-$E136)/Forecast!$C$13))</f>
        <v/>
      </c>
      <c r="P136" s="23">
        <f>IF(OR($A136="",$E136=""),0,MAX(0,D$7-MAX($E136,D$6)+1))</f>
        <v/>
      </c>
      <c r="Q136" s="25">
        <f>IF(P136=0,0,MIN(1,0.1+0.9*((MAX($E136,D$6)+D$7)/2-$E136)/Forecast!$C$13))</f>
        <v/>
      </c>
    </row>
    <row r="137">
      <c r="A137" s="3">
        <f>IF(INDEX(Data_Pipeline!$A:$A,37+1)="","",INDEX(Data_Pipeline!$A:$A,37+1))</f>
        <v/>
      </c>
      <c r="B137" s="3">
        <f>IF(INDEX(Data_Pipeline!$B:$B,37+1)="","",INDEX(Data_Pipeline!$B:$B,37+1))</f>
        <v/>
      </c>
      <c r="C137" s="25">
        <f>IF($A137="",0,N(INDEX(Data_Pipeline!$D:$D,37+1)))</f>
        <v/>
      </c>
      <c r="D137" s="31">
        <f>IF($A137="",0,N(INDEX(Data_Pipeline!$E:$E,37+1)))</f>
        <v/>
      </c>
      <c r="E137" s="30">
        <f>IF(INDEX(Data_Pipeline!$F:$F,37+1)="","",INDEX(Data_Pipeline!$F:$F,37+1))</f>
        <v/>
      </c>
      <c r="F137" s="25">
        <f>IF($A137="",0,N(INDEX(Data_Pipeline!$G:$G,37+1)))</f>
        <v/>
      </c>
      <c r="G137" s="26">
        <f>$F$8*(1-F137)</f>
        <v/>
      </c>
      <c r="H137" s="29">
        <f>IF(G137=0,0,D137/G137/30.4/1000)</f>
        <v/>
      </c>
      <c r="I137" s="25" t="n">
        <v>0</v>
      </c>
      <c r="J137" s="25">
        <f>C137</f>
        <v/>
      </c>
      <c r="K137" s="25">
        <f>IF(C137&gt;=0.5,1,C137)</f>
        <v/>
      </c>
      <c r="L137" s="23">
        <f>IF(OR($A137="",$E137=""),0,MAX(0,B$7-MAX($E137,B$6)+1))</f>
        <v/>
      </c>
      <c r="M137" s="25">
        <f>IF(L137=0,0,MIN(1,0.1+0.9*((MAX($E137,B$6)+B$7)/2-$E137)/Forecast!$C$13))</f>
        <v/>
      </c>
      <c r="N137" s="23">
        <f>IF(OR($A137="",$E137=""),0,MAX(0,C$7-MAX($E137,C$6)+1))</f>
        <v/>
      </c>
      <c r="O137" s="25">
        <f>IF(N137=0,0,MIN(1,0.1+0.9*((MAX($E137,C$6)+C$7)/2-$E137)/Forecast!$C$13))</f>
        <v/>
      </c>
      <c r="P137" s="23">
        <f>IF(OR($A137="",$E137=""),0,MAX(0,D$7-MAX($E137,D$6)+1))</f>
        <v/>
      </c>
      <c r="Q137" s="25">
        <f>IF(P137=0,0,MIN(1,0.1+0.9*((MAX($E137,D$6)+D$7)/2-$E137)/Forecast!$C$13))</f>
        <v/>
      </c>
    </row>
    <row r="138">
      <c r="A138" s="3">
        <f>IF(INDEX(Data_Pipeline!$A:$A,38+1)="","",INDEX(Data_Pipeline!$A:$A,38+1))</f>
        <v/>
      </c>
      <c r="B138" s="3">
        <f>IF(INDEX(Data_Pipeline!$B:$B,38+1)="","",INDEX(Data_Pipeline!$B:$B,38+1))</f>
        <v/>
      </c>
      <c r="C138" s="25">
        <f>IF($A138="",0,N(INDEX(Data_Pipeline!$D:$D,38+1)))</f>
        <v/>
      </c>
      <c r="D138" s="31">
        <f>IF($A138="",0,N(INDEX(Data_Pipeline!$E:$E,38+1)))</f>
        <v/>
      </c>
      <c r="E138" s="30">
        <f>IF(INDEX(Data_Pipeline!$F:$F,38+1)="","",INDEX(Data_Pipeline!$F:$F,38+1))</f>
        <v/>
      </c>
      <c r="F138" s="25">
        <f>IF($A138="",0,N(INDEX(Data_Pipeline!$G:$G,38+1)))</f>
        <v/>
      </c>
      <c r="G138" s="26">
        <f>$F$8*(1-F138)</f>
        <v/>
      </c>
      <c r="H138" s="29">
        <f>IF(G138=0,0,D138/G138/30.4/1000)</f>
        <v/>
      </c>
      <c r="I138" s="25" t="n">
        <v>0</v>
      </c>
      <c r="J138" s="25">
        <f>C138</f>
        <v/>
      </c>
      <c r="K138" s="25">
        <f>IF(C138&gt;=0.5,1,C138)</f>
        <v/>
      </c>
      <c r="L138" s="23">
        <f>IF(OR($A138="",$E138=""),0,MAX(0,B$7-MAX($E138,B$6)+1))</f>
        <v/>
      </c>
      <c r="M138" s="25">
        <f>IF(L138=0,0,MIN(1,0.1+0.9*((MAX($E138,B$6)+B$7)/2-$E138)/Forecast!$C$13))</f>
        <v/>
      </c>
      <c r="N138" s="23">
        <f>IF(OR($A138="",$E138=""),0,MAX(0,C$7-MAX($E138,C$6)+1))</f>
        <v/>
      </c>
      <c r="O138" s="25">
        <f>IF(N138=0,0,MIN(1,0.1+0.9*((MAX($E138,C$6)+C$7)/2-$E138)/Forecast!$C$13))</f>
        <v/>
      </c>
      <c r="P138" s="23">
        <f>IF(OR($A138="",$E138=""),0,MAX(0,D$7-MAX($E138,D$6)+1))</f>
        <v/>
      </c>
      <c r="Q138" s="25">
        <f>IF(P138=0,0,MIN(1,0.1+0.9*((MAX($E138,D$6)+D$7)/2-$E138)/Forecast!$C$13))</f>
        <v/>
      </c>
    </row>
    <row r="139">
      <c r="A139" s="3">
        <f>IF(INDEX(Data_Pipeline!$A:$A,39+1)="","",INDEX(Data_Pipeline!$A:$A,39+1))</f>
        <v/>
      </c>
      <c r="B139" s="3">
        <f>IF(INDEX(Data_Pipeline!$B:$B,39+1)="","",INDEX(Data_Pipeline!$B:$B,39+1))</f>
        <v/>
      </c>
      <c r="C139" s="25">
        <f>IF($A139="",0,N(INDEX(Data_Pipeline!$D:$D,39+1)))</f>
        <v/>
      </c>
      <c r="D139" s="31">
        <f>IF($A139="",0,N(INDEX(Data_Pipeline!$E:$E,39+1)))</f>
        <v/>
      </c>
      <c r="E139" s="30">
        <f>IF(INDEX(Data_Pipeline!$F:$F,39+1)="","",INDEX(Data_Pipeline!$F:$F,39+1))</f>
        <v/>
      </c>
      <c r="F139" s="25">
        <f>IF($A139="",0,N(INDEX(Data_Pipeline!$G:$G,39+1)))</f>
        <v/>
      </c>
      <c r="G139" s="26">
        <f>$F$8*(1-F139)</f>
        <v/>
      </c>
      <c r="H139" s="29">
        <f>IF(G139=0,0,D139/G139/30.4/1000)</f>
        <v/>
      </c>
      <c r="I139" s="25" t="n">
        <v>0</v>
      </c>
      <c r="J139" s="25">
        <f>C139</f>
        <v/>
      </c>
      <c r="K139" s="25">
        <f>IF(C139&gt;=0.5,1,C139)</f>
        <v/>
      </c>
      <c r="L139" s="23">
        <f>IF(OR($A139="",$E139=""),0,MAX(0,B$7-MAX($E139,B$6)+1))</f>
        <v/>
      </c>
      <c r="M139" s="25">
        <f>IF(L139=0,0,MIN(1,0.1+0.9*((MAX($E139,B$6)+B$7)/2-$E139)/Forecast!$C$13))</f>
        <v/>
      </c>
      <c r="N139" s="23">
        <f>IF(OR($A139="",$E139=""),0,MAX(0,C$7-MAX($E139,C$6)+1))</f>
        <v/>
      </c>
      <c r="O139" s="25">
        <f>IF(N139=0,0,MIN(1,0.1+0.9*((MAX($E139,C$6)+C$7)/2-$E139)/Forecast!$C$13))</f>
        <v/>
      </c>
      <c r="P139" s="23">
        <f>IF(OR($A139="",$E139=""),0,MAX(0,D$7-MAX($E139,D$6)+1))</f>
        <v/>
      </c>
      <c r="Q139" s="25">
        <f>IF(P139=0,0,MIN(1,0.1+0.9*((MAX($E139,D$6)+D$7)/2-$E139)/Forecast!$C$13))</f>
        <v/>
      </c>
    </row>
    <row r="140">
      <c r="A140" s="3">
        <f>IF(INDEX(Data_Pipeline!$A:$A,40+1)="","",INDEX(Data_Pipeline!$A:$A,40+1))</f>
        <v/>
      </c>
      <c r="B140" s="3">
        <f>IF(INDEX(Data_Pipeline!$B:$B,40+1)="","",INDEX(Data_Pipeline!$B:$B,40+1))</f>
        <v/>
      </c>
      <c r="C140" s="25">
        <f>IF($A140="",0,N(INDEX(Data_Pipeline!$D:$D,40+1)))</f>
        <v/>
      </c>
      <c r="D140" s="31">
        <f>IF($A140="",0,N(INDEX(Data_Pipeline!$E:$E,40+1)))</f>
        <v/>
      </c>
      <c r="E140" s="30">
        <f>IF(INDEX(Data_Pipeline!$F:$F,40+1)="","",INDEX(Data_Pipeline!$F:$F,40+1))</f>
        <v/>
      </c>
      <c r="F140" s="25">
        <f>IF($A140="",0,N(INDEX(Data_Pipeline!$G:$G,40+1)))</f>
        <v/>
      </c>
      <c r="G140" s="26">
        <f>$F$8*(1-F140)</f>
        <v/>
      </c>
      <c r="H140" s="29">
        <f>IF(G140=0,0,D140/G140/30.4/1000)</f>
        <v/>
      </c>
      <c r="I140" s="25" t="n">
        <v>0</v>
      </c>
      <c r="J140" s="25">
        <f>C140</f>
        <v/>
      </c>
      <c r="K140" s="25">
        <f>IF(C140&gt;=0.5,1,C140)</f>
        <v/>
      </c>
      <c r="L140" s="23">
        <f>IF(OR($A140="",$E140=""),0,MAX(0,B$7-MAX($E140,B$6)+1))</f>
        <v/>
      </c>
      <c r="M140" s="25">
        <f>IF(L140=0,0,MIN(1,0.1+0.9*((MAX($E140,B$6)+B$7)/2-$E140)/Forecast!$C$13))</f>
        <v/>
      </c>
      <c r="N140" s="23">
        <f>IF(OR($A140="",$E140=""),0,MAX(0,C$7-MAX($E140,C$6)+1))</f>
        <v/>
      </c>
      <c r="O140" s="25">
        <f>IF(N140=0,0,MIN(1,0.1+0.9*((MAX($E140,C$6)+C$7)/2-$E140)/Forecast!$C$13))</f>
        <v/>
      </c>
      <c r="P140" s="23">
        <f>IF(OR($A140="",$E140=""),0,MAX(0,D$7-MAX($E140,D$6)+1))</f>
        <v/>
      </c>
      <c r="Q140" s="25">
        <f>IF(P140=0,0,MIN(1,0.1+0.9*((MAX($E140,D$6)+D$7)/2-$E140)/Forecast!$C$13))</f>
        <v/>
      </c>
    </row>
    <row r="142">
      <c r="A142" s="2" t="inlineStr">
        <is>
          <t>Open pipeline: tokens per day (B) and revenue ($)</t>
        </is>
      </c>
    </row>
    <row r="143">
      <c r="A143" s="8" t="inlineStr">
        <is>
          <t>Line</t>
        </is>
      </c>
      <c r="B143" s="8" t="inlineStr">
        <is>
          <t>Low M+1</t>
        </is>
      </c>
      <c r="C143" s="8" t="inlineStr">
        <is>
          <t>Low M+2</t>
        </is>
      </c>
      <c r="D143" s="8" t="inlineStr">
        <is>
          <t>Low M+3</t>
        </is>
      </c>
      <c r="E143" s="8" t="inlineStr">
        <is>
          <t>Base M+1</t>
        </is>
      </c>
      <c r="F143" s="8" t="inlineStr">
        <is>
          <t>Base M+2</t>
        </is>
      </c>
      <c r="G143" s="8" t="inlineStr">
        <is>
          <t>Base M+3</t>
        </is>
      </c>
      <c r="H143" s="8" t="inlineStr">
        <is>
          <t>High M+1</t>
        </is>
      </c>
      <c r="I143" s="8" t="inlineStr">
        <is>
          <t>High M+2</t>
        </is>
      </c>
      <c r="J143" s="8" t="inlineStr">
        <is>
          <t>High M+3</t>
        </is>
      </c>
    </row>
    <row r="144">
      <c r="A144" s="3" t="inlineStr">
        <is>
          <t>Tokens per day (B)</t>
        </is>
      </c>
      <c r="B144" s="29">
        <f>SUMPRODUCT(I101:I140,H101:H140,L101:L140,M101:M140)/B$8</f>
        <v/>
      </c>
      <c r="C144" s="29">
        <f>SUMPRODUCT(I101:I140,H101:H140,N101:N140,O101:O140)/C$8</f>
        <v/>
      </c>
      <c r="D144" s="29">
        <f>SUMPRODUCT(I101:I140,H101:H140,P101:P140,Q101:Q140)/D$8</f>
        <v/>
      </c>
      <c r="E144" s="29">
        <f>SUMPRODUCT(J101:J140,H101:H140,L101:L140,M101:M140)/B$8</f>
        <v/>
      </c>
      <c r="F144" s="29">
        <f>SUMPRODUCT(J101:J140,H101:H140,N101:N140,O101:O140)/C$8</f>
        <v/>
      </c>
      <c r="G144" s="29">
        <f>SUMPRODUCT(J101:J140,H101:H140,P101:P140,Q101:Q140)/D$8</f>
        <v/>
      </c>
      <c r="H144" s="29">
        <f>SUMPRODUCT(K101:K140,H101:H140,L101:L140,M101:M140)/B$8</f>
        <v/>
      </c>
      <c r="I144" s="29">
        <f>SUMPRODUCT(K101:K140,H101:H140,N101:N140,O101:O140)/C$8</f>
        <v/>
      </c>
      <c r="J144" s="29">
        <f>SUMPRODUCT(K101:K140,H101:H140,P101:P140,Q101:Q140)/D$8</f>
        <v/>
      </c>
    </row>
    <row r="145">
      <c r="A145" s="3" t="inlineStr">
        <is>
          <t>Revenue ($)</t>
        </is>
      </c>
      <c r="B145" s="31">
        <f>SUMPRODUCT(I101:I140,H101:H140,L101:L140,M101:M140,G101:G140)*1000</f>
        <v/>
      </c>
      <c r="C145" s="31">
        <f>SUMPRODUCT(I101:I140,H101:H140,N101:N140,O101:O140,G101:G140)*1000</f>
        <v/>
      </c>
      <c r="D145" s="31">
        <f>SUMPRODUCT(I101:I140,H101:H140,P101:P140,Q101:Q140,G101:G140)*1000</f>
        <v/>
      </c>
      <c r="E145" s="31">
        <f>SUMPRODUCT(J101:J140,H101:H140,L101:L140,M101:M140,G101:G140)*1000</f>
        <v/>
      </c>
      <c r="F145" s="31">
        <f>SUMPRODUCT(J101:J140,H101:H140,N101:N140,O101:O140,G101:G140)*1000</f>
        <v/>
      </c>
      <c r="G145" s="31">
        <f>SUMPRODUCT(J101:J140,H101:H140,P101:P140,Q101:Q140,G101:G140)*1000</f>
        <v/>
      </c>
      <c r="H145" s="31">
        <f>SUMPRODUCT(K101:K140,H101:H140,L101:L140,M101:M140,G101:G140)*1000</f>
        <v/>
      </c>
      <c r="I145" s="31">
        <f>SUMPRODUCT(K101:K140,H101:H140,N101:N140,O101:O140,G101:G140)*1000</f>
        <v/>
      </c>
      <c r="J145" s="31">
        <f>SUMPRODUCT(K101:K140,H101:H140,P101:P140,Q101:Q140,G101:G140)*1000</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9"/>
  <sheetViews>
    <sheetView showGridLines="0" workbookViewId="0">
      <selection activeCell="A1" sqref="A1"/>
    </sheetView>
  </sheetViews>
  <sheetFormatPr baseColWidth="8" defaultRowHeight="15"/>
  <cols>
    <col width="58" customWidth="1" min="1" max="1"/>
    <col width="13" customWidth="1" min="2" max="2"/>
    <col width="13" customWidth="1" min="3" max="3"/>
    <col width="13" customWidth="1" min="4" max="4"/>
    <col width="12" customWidth="1" min="5" max="5"/>
    <col width="12" customWidth="1" min="6" max="6"/>
    <col width="12" customWidth="1" min="7" max="7"/>
    <col width="12" customWidth="1" min="8" max="8"/>
    <col width="12" customWidth="1" min="9" max="9"/>
    <col width="12" customWidth="1" min="10" max="10"/>
  </cols>
  <sheetData>
    <row r="1">
      <c r="A1" s="1">
        <f>Data_Params!$B$14&amp;" | From demand forecast to GPUs: reserve the base, rent the peaks"</f>
        <v/>
      </c>
    </row>
    <row r="2">
      <c r="A2" s="7" t="inlineStr">
        <is>
          <t>Inference serving only. Peak and base ratios come from Data_Hourly when hourly data exists; otherwise the override inputs are used.</t>
        </is>
      </c>
    </row>
    <row r="4">
      <c r="A4" s="2" t="inlineStr">
        <is>
          <t>Inputs</t>
        </is>
      </c>
    </row>
    <row r="5">
      <c r="A5" s="8" t="inlineStr">
        <is>
          <t>Input</t>
        </is>
      </c>
      <c r="B5" s="8" t="inlineStr">
        <is>
          <t>Value (set on Overrides)</t>
        </is>
      </c>
      <c r="C5" s="8" t="inlineStr">
        <is>
          <t>Source / why</t>
        </is>
      </c>
    </row>
    <row r="6">
      <c r="A6" s="3" t="inlineStr">
        <is>
          <t>Tokens per second per busy GPU</t>
        </is>
      </c>
      <c r="B6" s="43">
        <f>Overrides!$E$26</f>
        <v/>
      </c>
      <c r="C6" s="7" t="inlineStr">
        <is>
          <t>Replace with measured serving throughput. Placeholder from the outside-in model: H100, BF16, 8B params.</t>
        </is>
      </c>
    </row>
    <row r="7">
      <c r="A7" s="3" t="inlineStr">
        <is>
          <t>Target utilization at peak</t>
        </is>
      </c>
      <c r="B7" s="37">
        <f>Overrides!$E$27</f>
        <v/>
      </c>
      <c r="C7" s="7" t="inlineStr">
        <is>
          <t>Headroom for the latency promise and bursts.</t>
        </is>
      </c>
    </row>
    <row r="8">
      <c r="A8" s="3" t="inlineStr">
        <is>
          <t>Reserved rate ($ / GPU-hour)</t>
        </is>
      </c>
      <c r="B8" s="14">
        <f>Overrides!$E$28</f>
        <v/>
      </c>
      <c r="C8" s="7" t="inlineStr">
        <is>
          <t>Market placeholder (Oct 2026, ~32% below on-demand). Replace with the contracted rate.</t>
        </is>
      </c>
    </row>
    <row r="9">
      <c r="A9" s="3" t="inlineStr">
        <is>
          <t>On-demand rate ($ / GPU-hour)</t>
        </is>
      </c>
      <c r="B9" s="14">
        <f>Overrides!$E$29</f>
        <v/>
      </c>
      <c r="C9" s="7" t="inlineStr">
        <is>
          <t>Market placeholder (Oct 2026): H100 at specialist GPU clouds. Same provider tier as reserved.</t>
        </is>
      </c>
    </row>
    <row r="10">
      <c r="A10" s="3" t="inlineStr">
        <is>
          <t>Peak hour / average (override if no hourly data)</t>
        </is>
      </c>
      <c r="B10" s="34">
        <f>Overrides!$E$30</f>
        <v/>
      </c>
      <c r="C10" s="7" t="inlineStr">
        <is>
          <t>Used only when Data_Hourly is empty.</t>
        </is>
      </c>
    </row>
    <row r="11">
      <c r="A11" s="3" t="inlineStr">
        <is>
          <t>Quietest hour / average (override if no hourly data)</t>
        </is>
      </c>
      <c r="B11" s="34">
        <f>Overrides!$E$31</f>
        <v/>
      </c>
      <c r="C11" s="7" t="inlineStr">
        <is>
          <t>Used only when Data_Hourly is empty.</t>
        </is>
      </c>
    </row>
    <row r="12">
      <c r="A12" s="3" t="inlineStr">
        <is>
          <t>Peak hour / average (used)</t>
        </is>
      </c>
      <c r="B12" s="38">
        <f>IF(COUNT(Data_Hourly!$B$2:$B$169)=0,B10,MAX(Data_Hourly!$B$2:$B$169)/AVERAGE(Data_Hourly!$B$2:$B$169))</f>
        <v/>
      </c>
      <c r="C12" s="7" t="inlineStr">
        <is>
          <t>Last 7 days of the as-of month.</t>
        </is>
      </c>
    </row>
    <row r="13">
      <c r="A13" s="3" t="inlineStr">
        <is>
          <t>Quietest hour / average (used)</t>
        </is>
      </c>
      <c r="B13" s="38">
        <f>IF(COUNT(Data_Hourly!$B$2:$B$169)=0,B11,MIN(Data_Hourly!$B$2:$B$169)/AVERAGE(Data_Hourly!$B$2:$B$169))</f>
        <v/>
      </c>
      <c r="C13" s="7" t="inlineStr"/>
    </row>
    <row r="14">
      <c r="A14" s="3" t="inlineStr">
        <is>
          <t>Last 7 days: tokens per day (B)</t>
        </is>
      </c>
      <c r="B14" s="24">
        <f>IF(COUNT(Data_Hourly!$B$2:$B$169)=0,"",SUM(Data_Hourly!$B$2:$B$169)/7/1E9)</f>
        <v/>
      </c>
      <c r="C14" s="7" t="inlineStr"/>
    </row>
    <row r="16">
      <c r="A16" s="2" t="inlineStr">
        <is>
          <t>GPUs needed by month and scenario</t>
        </is>
      </c>
    </row>
    <row r="17">
      <c r="A17" s="8" t="inlineStr">
        <is>
          <t>Line</t>
        </is>
      </c>
      <c r="B17" s="9">
        <f>"Low "&amp;TEXT(EDATE(Data_Params!$B$2,1),"mmm")</f>
        <v/>
      </c>
      <c r="C17" s="9">
        <f>"Low "&amp;TEXT(EDATE(Data_Params!$B$2,2),"mmm")</f>
        <v/>
      </c>
      <c r="D17" s="9">
        <f>"Low "&amp;TEXT(EDATE(Data_Params!$B$2,3),"mmm")</f>
        <v/>
      </c>
      <c r="E17" s="9">
        <f>"Base "&amp;TEXT(EDATE(Data_Params!$B$2,1),"mmm")</f>
        <v/>
      </c>
      <c r="F17" s="9">
        <f>"Base "&amp;TEXT(EDATE(Data_Params!$B$2,2),"mmm")</f>
        <v/>
      </c>
      <c r="G17" s="9">
        <f>"Base "&amp;TEXT(EDATE(Data_Params!$B$2,3),"mmm")</f>
        <v/>
      </c>
      <c r="H17" s="9">
        <f>"High "&amp;TEXT(EDATE(Data_Params!$B$2,1),"mmm")</f>
        <v/>
      </c>
      <c r="I17" s="9">
        <f>"High "&amp;TEXT(EDATE(Data_Params!$B$2,2),"mmm")</f>
        <v/>
      </c>
      <c r="J17" s="9">
        <f>"High "&amp;TEXT(EDATE(Data_Params!$B$2,3),"mmm")</f>
        <v/>
      </c>
    </row>
    <row r="18">
      <c r="A18" s="3" t="inlineStr">
        <is>
          <t>Tokens per day (B)</t>
        </is>
      </c>
      <c r="B18" s="39">
        <f>Forecast!B127</f>
        <v/>
      </c>
      <c r="C18" s="39">
        <f>Forecast!C127</f>
        <v/>
      </c>
      <c r="D18" s="39">
        <f>Forecast!D127</f>
        <v/>
      </c>
      <c r="E18" s="39">
        <f>Forecast!E127</f>
        <v/>
      </c>
      <c r="F18" s="39">
        <f>Forecast!F127</f>
        <v/>
      </c>
      <c r="G18" s="39">
        <f>Forecast!G127</f>
        <v/>
      </c>
      <c r="H18" s="39">
        <f>Forecast!H127</f>
        <v/>
      </c>
      <c r="I18" s="39">
        <f>Forecast!I127</f>
        <v/>
      </c>
      <c r="J18" s="39">
        <f>Forecast!J127</f>
        <v/>
      </c>
    </row>
    <row r="19">
      <c r="A19" s="3" t="inlineStr">
        <is>
          <t>Average tokens/sec</t>
        </is>
      </c>
      <c r="B19" s="23">
        <f>B18*1E9/86400</f>
        <v/>
      </c>
      <c r="C19" s="23">
        <f>C18*1E9/86400</f>
        <v/>
      </c>
      <c r="D19" s="23">
        <f>D18*1E9/86400</f>
        <v/>
      </c>
      <c r="E19" s="23">
        <f>E18*1E9/86400</f>
        <v/>
      </c>
      <c r="F19" s="23">
        <f>F18*1E9/86400</f>
        <v/>
      </c>
      <c r="G19" s="23">
        <f>G18*1E9/86400</f>
        <v/>
      </c>
      <c r="H19" s="23">
        <f>H18*1E9/86400</f>
        <v/>
      </c>
      <c r="I19" s="23">
        <f>I18*1E9/86400</f>
        <v/>
      </c>
      <c r="J19" s="23">
        <f>J18*1E9/86400</f>
        <v/>
      </c>
    </row>
    <row r="20">
      <c r="A20" s="3" t="inlineStr">
        <is>
          <t>Peak-hour tokens/sec</t>
        </is>
      </c>
      <c r="B20" s="23">
        <f>B19*$B$12</f>
        <v/>
      </c>
      <c r="C20" s="23">
        <f>C19*$B$12</f>
        <v/>
      </c>
      <c r="D20" s="23">
        <f>D19*$B$12</f>
        <v/>
      </c>
      <c r="E20" s="23">
        <f>E19*$B$12</f>
        <v/>
      </c>
      <c r="F20" s="23">
        <f>F19*$B$12</f>
        <v/>
      </c>
      <c r="G20" s="23">
        <f>G19*$B$12</f>
        <v/>
      </c>
      <c r="H20" s="23">
        <f>H19*$B$12</f>
        <v/>
      </c>
      <c r="I20" s="23">
        <f>I19*$B$12</f>
        <v/>
      </c>
      <c r="J20" s="23">
        <f>J19*$B$12</f>
        <v/>
      </c>
    </row>
    <row r="21">
      <c r="A21" s="3" t="inlineStr">
        <is>
          <t>Base-load tokens/sec</t>
        </is>
      </c>
      <c r="B21" s="23">
        <f>B19*$B$13</f>
        <v/>
      </c>
      <c r="C21" s="23">
        <f>C19*$B$13</f>
        <v/>
      </c>
      <c r="D21" s="23">
        <f>D19*$B$13</f>
        <v/>
      </c>
      <c r="E21" s="23">
        <f>E19*$B$13</f>
        <v/>
      </c>
      <c r="F21" s="23">
        <f>F19*$B$13</f>
        <v/>
      </c>
      <c r="G21" s="23">
        <f>G19*$B$13</f>
        <v/>
      </c>
      <c r="H21" s="23">
        <f>H19*$B$13</f>
        <v/>
      </c>
      <c r="I21" s="23">
        <f>I19*$B$13</f>
        <v/>
      </c>
      <c r="J21" s="23">
        <f>J19*$B$13</f>
        <v/>
      </c>
    </row>
    <row r="22">
      <c r="A22" s="3" t="inlineStr">
        <is>
          <t>GPUs at peak</t>
        </is>
      </c>
      <c r="B22" s="44">
        <f>ROUNDUP(B20/$B$6/$B$7,0)</f>
        <v/>
      </c>
      <c r="C22" s="44">
        <f>ROUNDUP(C20/$B$6/$B$7,0)</f>
        <v/>
      </c>
      <c r="D22" s="44">
        <f>ROUNDUP(D20/$B$6/$B$7,0)</f>
        <v/>
      </c>
      <c r="E22" s="44">
        <f>ROUNDUP(E20/$B$6/$B$7,0)</f>
        <v/>
      </c>
      <c r="F22" s="44">
        <f>ROUNDUP(F20/$B$6/$B$7,0)</f>
        <v/>
      </c>
      <c r="G22" s="44">
        <f>ROUNDUP(G20/$B$6/$B$7,0)</f>
        <v/>
      </c>
      <c r="H22" s="44">
        <f>ROUNDUP(H20/$B$6/$B$7,0)</f>
        <v/>
      </c>
      <c r="I22" s="44">
        <f>ROUNDUP(I20/$B$6/$B$7,0)</f>
        <v/>
      </c>
      <c r="J22" s="44">
        <f>ROUNDUP(J20/$B$6/$B$7,0)</f>
        <v/>
      </c>
    </row>
    <row r="23">
      <c r="A23" s="3" t="inlineStr">
        <is>
          <t>GPUs for base load</t>
        </is>
      </c>
      <c r="B23" s="44">
        <f>ROUNDDOWN(B21/$B$6,0)</f>
        <v/>
      </c>
      <c r="C23" s="44">
        <f>ROUNDDOWN(C21/$B$6,0)</f>
        <v/>
      </c>
      <c r="D23" s="44">
        <f>ROUNDDOWN(D21/$B$6,0)</f>
        <v/>
      </c>
      <c r="E23" s="44">
        <f>ROUNDDOWN(E21/$B$6,0)</f>
        <v/>
      </c>
      <c r="F23" s="44">
        <f>ROUNDDOWN(F21/$B$6,0)</f>
        <v/>
      </c>
      <c r="G23" s="44">
        <f>ROUNDDOWN(G21/$B$6,0)</f>
        <v/>
      </c>
      <c r="H23" s="44">
        <f>ROUNDDOWN(H21/$B$6,0)</f>
        <v/>
      </c>
      <c r="I23" s="44">
        <f>ROUNDDOWN(I21/$B$6,0)</f>
        <v/>
      </c>
      <c r="J23" s="44">
        <f>ROUNDDOWN(J21/$B$6,0)</f>
        <v/>
      </c>
    </row>
    <row r="26">
      <c r="A26" s="40" t="inlineStr">
        <is>
          <t>Recommendation</t>
        </is>
      </c>
    </row>
    <row r="27">
      <c r="A27" s="3" t="inlineStr">
        <is>
          <t>Reserve: base-load GPUs in the LOW case, next month (capacity that stays busy)</t>
        </is>
      </c>
      <c r="B27" s="44">
        <f>B23</f>
        <v/>
      </c>
    </row>
    <row r="28">
      <c r="A28" s="3" t="inlineStr">
        <is>
          <t>Base case peak on top of that, rented on demand</t>
        </is>
      </c>
      <c r="B28" s="44">
        <f>MAX(0,E22-$B$27)</f>
        <v/>
      </c>
    </row>
    <row r="29">
      <c r="A29" s="3" t="inlineStr">
        <is>
          <t>High case peak: on-demand headroom to line up with the provider</t>
        </is>
      </c>
      <c r="B29" s="44">
        <f>MAX(0,H22-$B$27)</f>
        <v/>
      </c>
    </row>
    <row r="31">
      <c r="A31" s="2" t="inlineStr">
        <is>
          <t>Monthly serving cost, base case: three ways to buy the same capacity</t>
        </is>
      </c>
    </row>
    <row r="32">
      <c r="A32" s="8" t="inlineStr">
        <is>
          <t>Strategy</t>
        </is>
      </c>
      <c r="B32" s="9">
        <f>EDATE(Data_Params!$B$2,1)</f>
        <v/>
      </c>
      <c r="C32" s="9">
        <f>EDATE(Data_Params!$B$2,2)</f>
        <v/>
      </c>
      <c r="D32" s="9">
        <f>EDATE(Data_Params!$B$2,3)</f>
        <v/>
      </c>
      <c r="E32" s="8" t="inlineStr">
        <is>
          <t>How it's calculated</t>
        </is>
      </c>
    </row>
    <row r="33">
      <c r="A33" s="2" t="inlineStr">
        <is>
          <t>Reserve the base, rent the peaks</t>
        </is>
      </c>
      <c r="B33" s="31">
        <f>IF(COUNT(Data_Hourly!$B$2:$B$169)=0,"needs hourly data",$B$27*24*DAY(EOMONTH(Data_Params!$B$2,1))*$B$8+SUMPRODUCT(((Data_Hourly!$B$2:$B$169/3600*(E18/$B$14)/$B$6/$B$7)-$B$27)*((Data_Hourly!$B$2:$B$169/3600*(E18/$B$14)/$B$6/$B$7)&gt;$B$27))/7*DAY(EOMONTH(Data_Params!$B$2,1))*$B$9)</f>
        <v/>
      </c>
      <c r="C33" s="31">
        <f>IF(COUNT(Data_Hourly!$B$2:$B$169)=0,"needs hourly data",$B$27*24*DAY(EOMONTH(Data_Params!$B$2,2))*$B$8+SUMPRODUCT(((Data_Hourly!$B$2:$B$169/3600*(F18/$B$14)/$B$6/$B$7)-$B$27)*((Data_Hourly!$B$2:$B$169/3600*(F18/$B$14)/$B$6/$B$7)&gt;$B$27))/7*DAY(EOMONTH(Data_Params!$B$2,2))*$B$9)</f>
        <v/>
      </c>
      <c r="D33" s="31">
        <f>IF(COUNT(Data_Hourly!$B$2:$B$169)=0,"needs hourly data",$B$27*24*DAY(EOMONTH(Data_Params!$B$2,3))*$B$8+SUMPRODUCT(((Data_Hourly!$B$2:$B$169/3600*(G18/$B$14)/$B$6/$B$7)-$B$27)*((Data_Hourly!$B$2:$B$169/3600*(G18/$B$14)/$B$6/$B$7)&gt;$B$27))/7*DAY(EOMONTH(Data_Params!$B$2,3))*$B$9)</f>
        <v/>
      </c>
      <c r="E33" s="7" t="inlineStr">
        <is>
          <t>Reserved GPUs x all hours x reserved rate + GPU-hours above that each hour x on-demand</t>
        </is>
      </c>
    </row>
    <row r="34">
      <c r="A34" s="3" t="inlineStr">
        <is>
          <t>Reserve enough for the peak</t>
        </is>
      </c>
      <c r="B34" s="31">
        <f>E22*24*DAY(EOMONTH(Data_Params!$B$2,1))*$B$8</f>
        <v/>
      </c>
      <c r="C34" s="31">
        <f>F22*24*DAY(EOMONTH(Data_Params!$B$2,2))*$B$8</f>
        <v/>
      </c>
      <c r="D34" s="31">
        <f>G22*24*DAY(EOMONTH(Data_Params!$B$2,3))*$B$8</f>
        <v/>
      </c>
      <c r="E34" s="7" t="inlineStr">
        <is>
          <t>Peak GPUs x all hours x reserved rate (idle off-peak)</t>
        </is>
      </c>
    </row>
    <row r="35">
      <c r="A35" s="3" t="inlineStr">
        <is>
          <t>Rent everything on demand</t>
        </is>
      </c>
      <c r="B35" s="31">
        <f>IF(COUNT(Data_Hourly!$B$2:$B$169)=0,"needs hourly data",SUMPRODUCT((Data_Hourly!$B$2:$B$169/3600*(E18/$B$14)/$B$6/$B$7))/7*DAY(EOMONTH(Data_Params!$B$2,1))*$B$9)</f>
        <v/>
      </c>
      <c r="C35" s="31">
        <f>IF(COUNT(Data_Hourly!$B$2:$B$169)=0,"needs hourly data",SUMPRODUCT((Data_Hourly!$B$2:$B$169/3600*(F18/$B$14)/$B$6/$B$7))/7*DAY(EOMONTH(Data_Params!$B$2,2))*$B$9)</f>
        <v/>
      </c>
      <c r="D35" s="31">
        <f>IF(COUNT(Data_Hourly!$B$2:$B$169)=0,"needs hourly data",SUMPRODUCT((Data_Hourly!$B$2:$B$169/3600*(G18/$B$14)/$B$6/$B$7))/7*DAY(EOMONTH(Data_Params!$B$2,3))*$B$9)</f>
        <v/>
      </c>
      <c r="E35" s="7" t="inlineStr">
        <is>
          <t>GPU-hours needed each hour x on-demand rate</t>
        </is>
      </c>
    </row>
    <row r="36">
      <c r="A36" s="2" t="inlineStr">
        <is>
          <t>Base-case net revenue ($)</t>
        </is>
      </c>
      <c r="B36" s="33">
        <f>Forecast!E135*1000</f>
        <v/>
      </c>
      <c r="C36" s="33">
        <f>Forecast!F135*1000</f>
        <v/>
      </c>
      <c r="D36" s="33">
        <f>Forecast!G135*1000</f>
        <v/>
      </c>
    </row>
    <row r="37">
      <c r="A37" s="2" t="inlineStr">
        <is>
          <t>Serving gross margin, recommended strategy</t>
        </is>
      </c>
      <c r="B37" s="45">
        <f>IF(OR(NOT(ISNUMBER(B33)),B36=0),"",1-B33/B36)</f>
        <v/>
      </c>
      <c r="C37" s="45">
        <f>IF(OR(NOT(ISNUMBER(C33)),C36=0),"",1-C33/C36)</f>
        <v/>
      </c>
      <c r="D37" s="45">
        <f>IF(OR(NOT(ISNUMBER(D33)),D36=0),"",1-D33/D36)</f>
        <v/>
      </c>
    </row>
    <row r="39">
      <c r="A39" s="7" t="inlineStr">
        <is>
          <t>Inference compute only: excludes training, networking, storage and on-call staff. Hourly need = the last 7 days' hourly shape scaled to each month's volume.</t>
        </is>
      </c>
    </row>
  </sheetData>
  <pageMargins left="0.75" right="0.75" top="1" bottom="1" header="0.5" footer="0.5"/>
</worksheet>
</file>

<file path=xl/worksheets/sheet12.xml><?xml version="1.0" encoding="utf-8"?>
<worksheet xmlns="http://schemas.openxmlformats.org/spreadsheetml/2006/main">
  <sheetPr>
    <tabColor rgb="00E69138"/>
    <outlinePr summaryBelow="1" summaryRight="1"/>
    <pageSetUpPr/>
  </sheetPr>
  <dimension ref="A1:H75"/>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26" customWidth="1" min="1" max="1"/>
    <col width="44" customWidth="1" min="2" max="2"/>
    <col width="14" customWidth="1" min="3" max="3"/>
    <col width="14" customWidth="1" min="4" max="4"/>
    <col width="14" customWidth="1" min="5" max="5"/>
    <col width="24" customWidth="1" min="6" max="6"/>
    <col width="16" customWidth="1" min="7" max="7"/>
    <col width="40" customWidth="1" min="8" max="8"/>
  </cols>
  <sheetData>
    <row r="1">
      <c r="A1" s="1">
        <f>Data_Params!$B$14&amp;" | Overrides: change a number without touching the data"</f>
        <v/>
      </c>
    </row>
    <row r="2">
      <c r="A2" s="7" t="inlineStr">
        <is>
          <t>Type in the yellow cells only. Every override is checked: a blank, a word, an error or a value outside the allowed range is ignored and the model value is used.</t>
        </is>
      </c>
    </row>
    <row r="4">
      <c r="A4" s="2" t="inlineStr">
        <is>
          <t>Master switch</t>
        </is>
      </c>
      <c r="C4" s="46" t="inlineStr">
        <is>
          <t>ON</t>
        </is>
      </c>
      <c r="D4" s="7" t="inlineStr">
        <is>
          <t>ON = use the overrides and adjustments below. OFF = every tab goes back to the model values; nothing typed here is lost.</t>
        </is>
      </c>
    </row>
    <row r="5">
      <c r="A5" s="2" t="inlineStr">
        <is>
          <t>Active now</t>
        </is>
      </c>
      <c r="C5" s="2">
        <f>IF(Overrides!$C$4&lt;&gt;"ON","Switch is OFF: model values everywhere",COUNTIF($F$8:$F$39,"Applied")&amp;" input(s) and "&amp;COUNTIF($H$46:$H$75,"Applied")&amp;" adjustment(s) applied")</f>
        <v/>
      </c>
    </row>
    <row r="7">
      <c r="A7" s="8" t="inlineStr">
        <is>
          <t>Key</t>
        </is>
      </c>
      <c r="B7" s="8" t="inlineStr">
        <is>
          <t>Input</t>
        </is>
      </c>
      <c r="C7" s="8" t="inlineStr">
        <is>
          <t>Model value</t>
        </is>
      </c>
      <c r="D7" s="8" t="inlineStr">
        <is>
          <t>Override</t>
        </is>
      </c>
      <c r="E7" s="8" t="inlineStr">
        <is>
          <t>Used</t>
        </is>
      </c>
      <c r="F7" s="8" t="inlineStr">
        <is>
          <t>Status</t>
        </is>
      </c>
      <c r="G7" s="8" t="inlineStr">
        <is>
          <t>Allowed range</t>
        </is>
      </c>
      <c r="H7" s="8" t="inlineStr">
        <is>
          <t>Why / who / date</t>
        </is>
      </c>
    </row>
    <row r="8">
      <c r="A8" s="7" t="inlineStr">
        <is>
          <t>tail_factor.low</t>
        </is>
      </c>
      <c r="B8" s="3" t="inlineStr">
        <is>
          <t>Forecast: Cohort development factor beyond observed history, low</t>
        </is>
      </c>
      <c r="C8" s="47" t="n">
        <v>0.93</v>
      </c>
      <c r="D8" s="48" t="n"/>
      <c r="E8" s="49">
        <f>IFERROR(IF(AND(Overrides!$C$4="ON",ISNUMBER(D8),D8&gt;=0.5,D8&lt;=1.5),D8,C8),C8)</f>
        <v/>
      </c>
      <c r="F8" s="3">
        <f>IFERROR(IF(ISBLANK(D8),"",IF(Overrides!$C$4&lt;&gt;"ON","Switch OFF",IF(ISERROR(D8),"Ignored: error value",IF(NOT(ISNUMBER(D8)),"Ignored: not a number",IF(OR(D8&lt;0.5,D8&gt;1.5),"Ignored: outside range","Applied"))))),"Ignored: error value")</f>
        <v/>
      </c>
      <c r="G8" s="7" t="inlineStr">
        <is>
          <t>0.5 to 1.5</t>
        </is>
      </c>
      <c r="H8" s="18" t="n"/>
    </row>
    <row r="9">
      <c r="A9" s="7" t="inlineStr">
        <is>
          <t>tail_factor.base</t>
        </is>
      </c>
      <c r="B9" s="3" t="inlineStr">
        <is>
          <t>Forecast: Cohort development factor beyond observed history, base</t>
        </is>
      </c>
      <c r="C9" s="47" t="n">
        <v>0.97</v>
      </c>
      <c r="D9" s="48" t="n"/>
      <c r="E9" s="49">
        <f>IFERROR(IF(AND(Overrides!$C$4="ON",ISNUMBER(D9),D9&gt;=0.5,D9&lt;=1.5),D9,C9),C9)</f>
        <v/>
      </c>
      <c r="F9" s="3">
        <f>IFERROR(IF(ISBLANK(D9),"",IF(Overrides!$C$4&lt;&gt;"ON","Switch OFF",IF(ISERROR(D9),"Ignored: error value",IF(NOT(ISNUMBER(D9)),"Ignored: not a number",IF(OR(D9&lt;0.5,D9&gt;1.5),"Ignored: outside range","Applied"))))),"Ignored: error value")</f>
        <v/>
      </c>
      <c r="G9" s="7" t="inlineStr">
        <is>
          <t>0.5 to 1.5</t>
        </is>
      </c>
      <c r="H9" s="18" t="n"/>
    </row>
    <row r="10">
      <c r="A10" s="7" t="inlineStr">
        <is>
          <t>tail_factor.high</t>
        </is>
      </c>
      <c r="B10" s="3" t="inlineStr">
        <is>
          <t>Forecast: Cohort development factor beyond observed history, high</t>
        </is>
      </c>
      <c r="C10" s="47" t="n">
        <v>1</v>
      </c>
      <c r="D10" s="48" t="n"/>
      <c r="E10" s="49">
        <f>IFERROR(IF(AND(Overrides!$C$4="ON",ISNUMBER(D10),D10&gt;=0.5,D10&lt;=1.5),D10,C10),C10)</f>
        <v/>
      </c>
      <c r="F10" s="3">
        <f>IFERROR(IF(ISBLANK(D10),"",IF(Overrides!$C$4&lt;&gt;"ON","Switch OFF",IF(ISERROR(D10),"Ignored: error value",IF(NOT(ISNUMBER(D10)),"Ignored: not a number",IF(OR(D10&lt;0.5,D10&gt;1.5),"Ignored: outside range","Applied"))))),"Ignored: error value")</f>
        <v/>
      </c>
      <c r="G10" s="7" t="inlineStr">
        <is>
          <t>0.5 to 1.5</t>
        </is>
      </c>
      <c r="H10" s="18" t="n"/>
    </row>
    <row r="11">
      <c r="A11" s="7" t="inlineStr">
        <is>
          <t>ent_usage_ratio.low</t>
        </is>
      </c>
      <c r="B11" s="3" t="inlineStr">
        <is>
          <t>Forecast: Enterprise steady-state usage vs commitment, low</t>
        </is>
      </c>
      <c r="C11" s="50" t="n">
        <v>0.8</v>
      </c>
      <c r="D11" s="51" t="n"/>
      <c r="E11" s="27">
        <f>IFERROR(IF(AND(Overrides!$C$4="ON",ISNUMBER(D11),D11&gt;=0,D11&lt;=3),D11,C11),C11)</f>
        <v/>
      </c>
      <c r="F11" s="3">
        <f>IFERROR(IF(ISBLANK(D11),"",IF(Overrides!$C$4&lt;&gt;"ON","Switch OFF",IF(ISERROR(D11),"Ignored: error value",IF(NOT(ISNUMBER(D11)),"Ignored: not a number",IF(OR(D11&lt;0,D11&gt;3),"Ignored: outside range","Applied"))))),"Ignored: error value")</f>
        <v/>
      </c>
      <c r="G11" s="7" t="inlineStr">
        <is>
          <t>0 to 3</t>
        </is>
      </c>
      <c r="H11" s="18" t="n"/>
    </row>
    <row r="12">
      <c r="A12" s="7" t="inlineStr">
        <is>
          <t>ent_usage_ratio.base</t>
        </is>
      </c>
      <c r="B12" s="3" t="inlineStr">
        <is>
          <t>Forecast: Enterprise steady-state usage vs commitment, base</t>
        </is>
      </c>
      <c r="C12" s="50" t="n">
        <v>1</v>
      </c>
      <c r="D12" s="51" t="n"/>
      <c r="E12" s="27">
        <f>IFERROR(IF(AND(Overrides!$C$4="ON",ISNUMBER(D12),D12&gt;=0,D12&lt;=3),D12,C12),C12)</f>
        <v/>
      </c>
      <c r="F12" s="3">
        <f>IFERROR(IF(ISBLANK(D12),"",IF(Overrides!$C$4&lt;&gt;"ON","Switch OFF",IF(ISERROR(D12),"Ignored: error value",IF(NOT(ISNUMBER(D12)),"Ignored: not a number",IF(OR(D12&lt;0,D12&gt;3),"Ignored: outside range","Applied"))))),"Ignored: error value")</f>
        <v/>
      </c>
      <c r="G12" s="7" t="inlineStr">
        <is>
          <t>0 to 3</t>
        </is>
      </c>
      <c r="H12" s="18" t="n"/>
    </row>
    <row r="13">
      <c r="A13" s="7" t="inlineStr">
        <is>
          <t>ent_usage_ratio.high</t>
        </is>
      </c>
      <c r="B13" s="3" t="inlineStr">
        <is>
          <t>Forecast: Enterprise steady-state usage vs commitment, high</t>
        </is>
      </c>
      <c r="C13" s="50" t="n">
        <v>1.2</v>
      </c>
      <c r="D13" s="51" t="n"/>
      <c r="E13" s="27">
        <f>IFERROR(IF(AND(Overrides!$C$4="ON",ISNUMBER(D13),D13&gt;=0,D13&lt;=3),D13,C13),C13)</f>
        <v/>
      </c>
      <c r="F13" s="3">
        <f>IFERROR(IF(ISBLANK(D13),"",IF(Overrides!$C$4&lt;&gt;"ON","Switch OFF",IF(ISERROR(D13),"Ignored: error value",IF(NOT(ISNUMBER(D13)),"Ignored: not a number",IF(OR(D13&lt;0,D13&gt;3),"Ignored: outside range","Applied"))))),"Ignored: error value")</f>
        <v/>
      </c>
      <c r="G13" s="7" t="inlineStr">
        <is>
          <t>0 to 3</t>
        </is>
      </c>
      <c r="H13" s="18" t="n"/>
    </row>
    <row r="14">
      <c r="A14" s="7" t="inlineStr">
        <is>
          <t>ent_growth.low</t>
        </is>
      </c>
      <c r="B14" s="3" t="inlineStr">
        <is>
          <t>Forecast: Enterprise monthly growth after ramp, low</t>
        </is>
      </c>
      <c r="C14" s="50" t="n">
        <v>0</v>
      </c>
      <c r="D14" s="51" t="n"/>
      <c r="E14" s="27">
        <f>IFERROR(IF(AND(Overrides!$C$4="ON",ISNUMBER(D14),D14&gt;=-0.5,D14&lt;=1),D14,C14),C14)</f>
        <v/>
      </c>
      <c r="F14" s="3">
        <f>IFERROR(IF(ISBLANK(D14),"",IF(Overrides!$C$4&lt;&gt;"ON","Switch OFF",IF(ISERROR(D14),"Ignored: error value",IF(NOT(ISNUMBER(D14)),"Ignored: not a number",IF(OR(D14&lt;-0.5,D14&gt;1),"Ignored: outside range","Applied"))))),"Ignored: error value")</f>
        <v/>
      </c>
      <c r="G14" s="7" t="inlineStr">
        <is>
          <t>-0.5 to 1</t>
        </is>
      </c>
      <c r="H14" s="18" t="n"/>
    </row>
    <row r="15">
      <c r="A15" s="7" t="inlineStr">
        <is>
          <t>ent_growth.base</t>
        </is>
      </c>
      <c r="B15" s="3" t="inlineStr">
        <is>
          <t>Forecast: Enterprise monthly growth after ramp, base</t>
        </is>
      </c>
      <c r="C15" s="50" t="n">
        <v>0.03</v>
      </c>
      <c r="D15" s="51" t="n"/>
      <c r="E15" s="27">
        <f>IFERROR(IF(AND(Overrides!$C$4="ON",ISNUMBER(D15),D15&gt;=-0.5,D15&lt;=1),D15,C15),C15)</f>
        <v/>
      </c>
      <c r="F15" s="3">
        <f>IFERROR(IF(ISBLANK(D15),"",IF(Overrides!$C$4&lt;&gt;"ON","Switch OFF",IF(ISERROR(D15),"Ignored: error value",IF(NOT(ISNUMBER(D15)),"Ignored: not a number",IF(OR(D15&lt;-0.5,D15&gt;1),"Ignored: outside range","Applied"))))),"Ignored: error value")</f>
        <v/>
      </c>
      <c r="G15" s="7" t="inlineStr">
        <is>
          <t>-0.5 to 1</t>
        </is>
      </c>
      <c r="H15" s="18" t="n"/>
    </row>
    <row r="16">
      <c r="A16" s="7" t="inlineStr">
        <is>
          <t>ent_growth.high</t>
        </is>
      </c>
      <c r="B16" s="3" t="inlineStr">
        <is>
          <t>Forecast: Enterprise monthly growth after ramp, high</t>
        </is>
      </c>
      <c r="C16" s="50" t="n">
        <v>0.06</v>
      </c>
      <c r="D16" s="51" t="n"/>
      <c r="E16" s="27">
        <f>IFERROR(IF(AND(Overrides!$C$4="ON",ISNUMBER(D16),D16&gt;=-0.5,D16&lt;=1),D16,C16),C16)</f>
        <v/>
      </c>
      <c r="F16" s="3">
        <f>IFERROR(IF(ISBLANK(D16),"",IF(Overrides!$C$4&lt;&gt;"ON","Switch OFF",IF(ISERROR(D16),"Ignored: error value",IF(NOT(ISNUMBER(D16)),"Ignored: not a number",IF(OR(D16&lt;-0.5,D16&gt;1),"Ignored: outside range","Applied"))))),"Ignored: error value")</f>
        <v/>
      </c>
      <c r="G16" s="7" t="inlineStr">
        <is>
          <t>-0.5 to 1</t>
        </is>
      </c>
      <c r="H16" s="18" t="n"/>
    </row>
    <row r="17">
      <c r="A17" s="7" t="inlineStr">
        <is>
          <t>competitor_churn.low</t>
        </is>
      </c>
      <c r="B17" s="3" t="inlineStr">
        <is>
          <t>Forecast: Self-serve tokens lost to competitors, per month, low</t>
        </is>
      </c>
      <c r="C17" s="50" t="n">
        <v>0.03</v>
      </c>
      <c r="D17" s="51" t="n"/>
      <c r="E17" s="27">
        <f>IFERROR(IF(AND(Overrides!$C$4="ON",ISNUMBER(D17),D17&gt;=0,D17&lt;=0.5),D17,C17),C17)</f>
        <v/>
      </c>
      <c r="F17" s="3">
        <f>IFERROR(IF(ISBLANK(D17),"",IF(Overrides!$C$4&lt;&gt;"ON","Switch OFF",IF(ISERROR(D17),"Ignored: error value",IF(NOT(ISNUMBER(D17)),"Ignored: not a number",IF(OR(D17&lt;0,D17&gt;0.5),"Ignored: outside range","Applied"))))),"Ignored: error value")</f>
        <v/>
      </c>
      <c r="G17" s="7" t="inlineStr">
        <is>
          <t>0 to 0.5</t>
        </is>
      </c>
      <c r="H17" s="18" t="n"/>
    </row>
    <row r="18">
      <c r="A18" s="7" t="inlineStr">
        <is>
          <t>competitor_churn.base</t>
        </is>
      </c>
      <c r="B18" s="3" t="inlineStr">
        <is>
          <t>Forecast: Self-serve tokens lost to competitors, per month, base</t>
        </is>
      </c>
      <c r="C18" s="50" t="n">
        <v>0</v>
      </c>
      <c r="D18" s="51" t="n"/>
      <c r="E18" s="27">
        <f>IFERROR(IF(AND(Overrides!$C$4="ON",ISNUMBER(D18),D18&gt;=0,D18&lt;=0.5),D18,C18),C18)</f>
        <v/>
      </c>
      <c r="F18" s="3">
        <f>IFERROR(IF(ISBLANK(D18),"",IF(Overrides!$C$4&lt;&gt;"ON","Switch OFF",IF(ISERROR(D18),"Ignored: error value",IF(NOT(ISNUMBER(D18)),"Ignored: not a number",IF(OR(D18&lt;0,D18&gt;0.5),"Ignored: outside range","Applied"))))),"Ignored: error value")</f>
        <v/>
      </c>
      <c r="G18" s="7" t="inlineStr">
        <is>
          <t>0 to 0.5</t>
        </is>
      </c>
      <c r="H18" s="18" t="n"/>
    </row>
    <row r="19">
      <c r="A19" s="7" t="inlineStr">
        <is>
          <t>competitor_churn.high</t>
        </is>
      </c>
      <c r="B19" s="3" t="inlineStr">
        <is>
          <t>Forecast: Self-serve tokens lost to competitors, per month, high</t>
        </is>
      </c>
      <c r="C19" s="50" t="n">
        <v>0</v>
      </c>
      <c r="D19" s="51" t="n"/>
      <c r="E19" s="27">
        <f>IFERROR(IF(AND(Overrides!$C$4="ON",ISNUMBER(D19),D19&gt;=0,D19&lt;=0.5),D19,C19),C19)</f>
        <v/>
      </c>
      <c r="F19" s="3">
        <f>IFERROR(IF(ISBLANK(D19),"",IF(Overrides!$C$4&lt;&gt;"ON","Switch OFF",IF(ISERROR(D19),"Ignored: error value",IF(NOT(ISNUMBER(D19)),"Ignored: not a number",IF(OR(D19&lt;0,D19&gt;0.5),"Ignored: outside range","Applied"))))),"Ignored: error value")</f>
        <v/>
      </c>
      <c r="G19" s="7" t="inlineStr">
        <is>
          <t>0 to 0.5</t>
        </is>
      </c>
      <c r="H19" s="18" t="n"/>
    </row>
    <row r="20">
      <c r="A20" s="7" t="inlineStr">
        <is>
          <t>signup_growth.low</t>
        </is>
      </c>
      <c r="B20" s="3" t="inlineStr">
        <is>
          <t>Forecast: new signups monthly growth, low</t>
        </is>
      </c>
      <c r="C20" s="25" t="n">
        <v>0</v>
      </c>
      <c r="D20" s="51" t="n"/>
      <c r="E20" s="27">
        <f>IFERROR(IF(AND(Overrides!$C$4="ON",ISNUMBER(D20),D20&gt;=-0.5,D20&lt;=1),D20,C20),C20)</f>
        <v/>
      </c>
      <c r="F20" s="3">
        <f>IFERROR(IF(ISBLANK(D20),"",IF(Overrides!$C$4&lt;&gt;"ON","Switch OFF",IF(ISERROR(D20),"Ignored: error value",IF(NOT(ISNUMBER(D20)),"Ignored: not a number",IF(OR(D20&lt;-0.5,D20&gt;1),"Ignored: outside range","Applied"))))),"Ignored: error value")</f>
        <v/>
      </c>
      <c r="G20" s="7" t="inlineStr">
        <is>
          <t>-0.5 to 1</t>
        </is>
      </c>
      <c r="H20" s="18" t="n"/>
    </row>
    <row r="21">
      <c r="A21" s="7" t="inlineStr">
        <is>
          <t>gateway_growth_decay</t>
        </is>
      </c>
      <c r="B21" s="3" t="inlineStr">
        <is>
          <t>Forecast: gateway growth decay (base)</t>
        </is>
      </c>
      <c r="C21" s="47" t="n">
        <v>0.5</v>
      </c>
      <c r="D21" s="48" t="n"/>
      <c r="E21" s="49">
        <f>IFERROR(IF(AND(Overrides!$C$4="ON",ISNUMBER(D21),D21&gt;=0,D21&lt;=2),D21,C21),C21)</f>
        <v/>
      </c>
      <c r="F21" s="3">
        <f>IFERROR(IF(ISBLANK(D21),"",IF(Overrides!$C$4&lt;&gt;"ON","Switch OFF",IF(ISERROR(D21),"Ignored: error value",IF(NOT(ISNUMBER(D21)),"Ignored: not a number",IF(OR(D21&lt;0,D21&gt;2),"Ignored: outside range","Applied"))))),"Ignored: error value")</f>
        <v/>
      </c>
      <c r="G21" s="7" t="inlineStr">
        <is>
          <t>0 to 2</t>
        </is>
      </c>
      <c r="H21" s="18" t="n"/>
    </row>
    <row r="22">
      <c r="A22" s="7" t="inlineStr">
        <is>
          <t>ent_ramp_days</t>
        </is>
      </c>
      <c r="B22" s="3" t="inlineStr">
        <is>
          <t>Forecast: enterprise ramp length (days)</t>
        </is>
      </c>
      <c r="C22" s="52" t="n">
        <v>60</v>
      </c>
      <c r="D22" s="53" t="n"/>
      <c r="E22" s="44">
        <f>IFERROR(IF(AND(Overrides!$C$4="ON",ISNUMBER(D22),D22&gt;=1,D22&lt;=365),D22,C22),C22)</f>
        <v/>
      </c>
      <c r="F22" s="3">
        <f>IFERROR(IF(ISBLANK(D22),"",IF(Overrides!$C$4&lt;&gt;"ON","Switch OFF",IF(ISERROR(D22),"Ignored: error value",IF(NOT(ISNUMBER(D22)),"Ignored: not a number",IF(OR(D22&lt;1,D22&gt;365),"Ignored: outside range","Applied"))))),"Ignored: error value")</f>
        <v/>
      </c>
      <c r="G22" s="7" t="inlineStr">
        <is>
          <t>1 to 365</t>
        </is>
      </c>
      <c r="H22" s="18" t="n"/>
    </row>
    <row r="23">
      <c r="A23" s="7" t="inlineStr">
        <is>
          <t>price.self_serve</t>
        </is>
      </c>
      <c r="B23" s="3" t="inlineStr">
        <is>
          <t>Forecast: self-serve net $ per M tokens (price-change test)</t>
        </is>
      </c>
      <c r="C23" s="26">
        <f>IF(Monthly!M7=0,0,Monthly!M30/Monthly!M7)</f>
        <v/>
      </c>
      <c r="D23" s="54" t="n"/>
      <c r="E23" s="55">
        <f>IFERROR(IF(AND(Overrides!$C$4="ON",ISNUMBER(D23),D23&gt;=0,D23&lt;=1),D23,C23),C23)</f>
        <v/>
      </c>
      <c r="F23" s="3">
        <f>IFERROR(IF(ISBLANK(D23),"",IF(Overrides!$C$4&lt;&gt;"ON","Switch OFF",IF(ISERROR(D23),"Ignored: error value",IF(NOT(ISNUMBER(D23)),"Ignored: not a number",IF(OR(D23&lt;0,D23&gt;1),"Ignored: outside range","Applied"))))),"Ignored: error value")</f>
        <v/>
      </c>
      <c r="G23" s="7" t="inlineStr">
        <is>
          <t>0 to 1</t>
        </is>
      </c>
      <c r="H23" s="18" t="n"/>
    </row>
    <row r="24">
      <c r="A24" s="7" t="inlineStr">
        <is>
          <t>price.gateway</t>
        </is>
      </c>
      <c r="B24" s="3" t="inlineStr">
        <is>
          <t>Forecast: gateway net $ per M tokens (price-change test)</t>
        </is>
      </c>
      <c r="C24" s="26">
        <f>IF(Monthly!M8=0,0,Monthly!M31/Monthly!M8)</f>
        <v/>
      </c>
      <c r="D24" s="54" t="n"/>
      <c r="E24" s="55">
        <f>IFERROR(IF(AND(Overrides!$C$4="ON",ISNUMBER(D24),D24&gt;=0,D24&lt;=1),D24,C24),C24)</f>
        <v/>
      </c>
      <c r="F24" s="3">
        <f>IFERROR(IF(ISBLANK(D24),"",IF(Overrides!$C$4&lt;&gt;"ON","Switch OFF",IF(ISERROR(D24),"Ignored: error value",IF(NOT(ISNUMBER(D24)),"Ignored: not a number",IF(OR(D24&lt;0,D24&gt;1),"Ignored: outside range","Applied"))))),"Ignored: error value")</f>
        <v/>
      </c>
      <c r="G24" s="7" t="inlineStr">
        <is>
          <t>0 to 1</t>
        </is>
      </c>
      <c r="H24" s="18" t="n"/>
    </row>
    <row r="25">
      <c r="A25" s="7" t="inlineStr">
        <is>
          <t>price.list</t>
        </is>
      </c>
      <c r="B25" s="3" t="inlineStr">
        <is>
          <t>Forecast: list $ per M tokens for pipeline deals</t>
        </is>
      </c>
      <c r="C25" s="26">
        <f>Data_Params!$B$4</f>
        <v/>
      </c>
      <c r="D25" s="54" t="n"/>
      <c r="E25" s="55">
        <f>IFERROR(IF(AND(Overrides!$C$4="ON",ISNUMBER(D25),D25&gt;=0,D25&lt;=1),D25,C25),C25)</f>
        <v/>
      </c>
      <c r="F25" s="3">
        <f>IFERROR(IF(ISBLANK(D25),"",IF(Overrides!$C$4&lt;&gt;"ON","Switch OFF",IF(ISERROR(D25),"Ignored: error value",IF(NOT(ISNUMBER(D25)),"Ignored: not a number",IF(OR(D25&lt;0,D25&gt;1),"Ignored: outside range","Applied"))))),"Ignored: error value")</f>
        <v/>
      </c>
      <c r="G25" s="7" t="inlineStr">
        <is>
          <t>0 to 1</t>
        </is>
      </c>
      <c r="H25" s="18" t="n"/>
    </row>
    <row r="26">
      <c r="A26" s="7" t="inlineStr">
        <is>
          <t>capacity.gpu_tokens_per_sec</t>
        </is>
      </c>
      <c r="B26" s="3" t="inlineStr">
        <is>
          <t>Capacity: Tokens per second per busy GPU</t>
        </is>
      </c>
      <c r="C26" s="52" t="n">
        <v>20604</v>
      </c>
      <c r="D26" s="53" t="n"/>
      <c r="E26" s="44">
        <f>IFERROR(IF(AND(Overrides!$C$4="ON",ISNUMBER(D26),D26&gt;=1,D26&lt;=10000000),D26,C26),C26)</f>
        <v/>
      </c>
      <c r="F26" s="3">
        <f>IFERROR(IF(ISBLANK(D26),"",IF(Overrides!$C$4&lt;&gt;"ON","Switch OFF",IF(ISERROR(D26),"Ignored: error value",IF(NOT(ISNUMBER(D26)),"Ignored: not a number",IF(OR(D26&lt;1,D26&gt;10000000),"Ignored: outside range","Applied"))))),"Ignored: error value")</f>
        <v/>
      </c>
      <c r="G26" s="7" t="inlineStr">
        <is>
          <t>1 to 1e+07</t>
        </is>
      </c>
      <c r="H26" s="18" t="n"/>
    </row>
    <row r="27">
      <c r="A27" s="7" t="inlineStr">
        <is>
          <t>capacity.peak_utilization</t>
        </is>
      </c>
      <c r="B27" s="3" t="inlineStr">
        <is>
          <t>Capacity: Target utilization at peak</t>
        </is>
      </c>
      <c r="C27" s="50" t="n">
        <v>0.85</v>
      </c>
      <c r="D27" s="51" t="n"/>
      <c r="E27" s="27">
        <f>IFERROR(IF(AND(Overrides!$C$4="ON",ISNUMBER(D27),D27&gt;=0.05,D27&lt;=1),D27,C27),C27)</f>
        <v/>
      </c>
      <c r="F27" s="3">
        <f>IFERROR(IF(ISBLANK(D27),"",IF(Overrides!$C$4&lt;&gt;"ON","Switch OFF",IF(ISERROR(D27),"Ignored: error value",IF(NOT(ISNUMBER(D27)),"Ignored: not a number",IF(OR(D27&lt;0.05,D27&gt;1),"Ignored: outside range","Applied"))))),"Ignored: error value")</f>
        <v/>
      </c>
      <c r="G27" s="7" t="inlineStr">
        <is>
          <t>0.05 to 1</t>
        </is>
      </c>
      <c r="H27" s="18" t="n"/>
    </row>
    <row r="28">
      <c r="A28" s="7" t="inlineStr">
        <is>
          <t>capacity.reserved_rate</t>
        </is>
      </c>
      <c r="B28" s="3" t="inlineStr">
        <is>
          <t>Capacity: Reserved rate ($ / GPU-hour)</t>
        </is>
      </c>
      <c r="C28" s="56" t="n">
        <v>3.05</v>
      </c>
      <c r="D28" s="57" t="n"/>
      <c r="E28" s="58">
        <f>IFERROR(IF(AND(Overrides!$C$4="ON",ISNUMBER(D28),D28&gt;=0,D28&lt;=100),D28,C28),C28)</f>
        <v/>
      </c>
      <c r="F28" s="3">
        <f>IFERROR(IF(ISBLANK(D28),"",IF(Overrides!$C$4&lt;&gt;"ON","Switch OFF",IF(ISERROR(D28),"Ignored: error value",IF(NOT(ISNUMBER(D28)),"Ignored: not a number",IF(OR(D28&lt;0,D28&gt;100),"Ignored: outside range","Applied"))))),"Ignored: error value")</f>
        <v/>
      </c>
      <c r="G28" s="7" t="inlineStr">
        <is>
          <t>0 to 100</t>
        </is>
      </c>
      <c r="H28" s="18" t="n"/>
    </row>
    <row r="29">
      <c r="A29" s="7" t="inlineStr">
        <is>
          <t>capacity.on_demand_rate</t>
        </is>
      </c>
      <c r="B29" s="3" t="inlineStr">
        <is>
          <t>Capacity: On-demand rate ($ / GPU-hour)</t>
        </is>
      </c>
      <c r="C29" s="56" t="n">
        <v>4.5</v>
      </c>
      <c r="D29" s="57" t="n"/>
      <c r="E29" s="58">
        <f>IFERROR(IF(AND(Overrides!$C$4="ON",ISNUMBER(D29),D29&gt;=0,D29&lt;=100),D29,C29),C29)</f>
        <v/>
      </c>
      <c r="F29" s="3">
        <f>IFERROR(IF(ISBLANK(D29),"",IF(Overrides!$C$4&lt;&gt;"ON","Switch OFF",IF(ISERROR(D29),"Ignored: error value",IF(NOT(ISNUMBER(D29)),"Ignored: not a number",IF(OR(D29&lt;0,D29&gt;100),"Ignored: outside range","Applied"))))),"Ignored: error value")</f>
        <v/>
      </c>
      <c r="G29" s="7" t="inlineStr">
        <is>
          <t>0 to 100</t>
        </is>
      </c>
      <c r="H29" s="18" t="n"/>
    </row>
    <row r="30">
      <c r="A30" s="7" t="inlineStr">
        <is>
          <t>capacity.peak_ratio_override</t>
        </is>
      </c>
      <c r="B30" s="3" t="inlineStr">
        <is>
          <t>Capacity: Peak hour / average (override if no hourly data)</t>
        </is>
      </c>
      <c r="C30" s="47" t="n">
        <v>1.75</v>
      </c>
      <c r="D30" s="48" t="n"/>
      <c r="E30" s="49">
        <f>IFERROR(IF(AND(Overrides!$C$4="ON",ISNUMBER(D30),D30&gt;=1,D30&lt;=20),D30,C30),C30)</f>
        <v/>
      </c>
      <c r="F30" s="3">
        <f>IFERROR(IF(ISBLANK(D30),"",IF(Overrides!$C$4&lt;&gt;"ON","Switch OFF",IF(ISERROR(D30),"Ignored: error value",IF(NOT(ISNUMBER(D30)),"Ignored: not a number",IF(OR(D30&lt;1,D30&gt;20),"Ignored: outside range","Applied"))))),"Ignored: error value")</f>
        <v/>
      </c>
      <c r="G30" s="7" t="inlineStr">
        <is>
          <t>1 to 20</t>
        </is>
      </c>
      <c r="H30" s="18" t="n"/>
    </row>
    <row r="31">
      <c r="A31" s="7" t="inlineStr">
        <is>
          <t>capacity.base_ratio_override</t>
        </is>
      </c>
      <c r="B31" s="3" t="inlineStr">
        <is>
          <t>Capacity: Quietest hour / average (override if no hourly data)</t>
        </is>
      </c>
      <c r="C31" s="47" t="n">
        <v>0.55</v>
      </c>
      <c r="D31" s="48" t="n"/>
      <c r="E31" s="49">
        <f>IFERROR(IF(AND(Overrides!$C$4="ON",ISNUMBER(D31),D31&gt;=0,D31&lt;=1),D31,C31),C31)</f>
        <v/>
      </c>
      <c r="F31" s="3">
        <f>IFERROR(IF(ISBLANK(D31),"",IF(Overrides!$C$4&lt;&gt;"ON","Switch OFF",IF(ISERROR(D31),"Ignored: error value",IF(NOT(ISNUMBER(D31)),"Ignored: not a number",IF(OR(D31&lt;0,D31&gt;1),"Ignored: outside range","Applied"))))),"Ignored: error value")</f>
        <v/>
      </c>
      <c r="G31" s="7" t="inlineStr">
        <is>
          <t>0 to 1</t>
        </is>
      </c>
      <c r="H31" s="18" t="n"/>
    </row>
    <row r="43">
      <c r="A43" s="2" t="inlineStr">
        <is>
          <t>Manual adjustments to net revenue (credit notes, corrections). Shown as their own line on Monthly, included in totals.</t>
        </is>
      </c>
    </row>
    <row r="44">
      <c r="A44" s="7" t="inlineStr">
        <is>
          <t>Month = any date in the month. Segment = pick from the list. Amount in $ (negative reduces revenue). Ignored unless all three are valid and the month is in the 12-month window.</t>
        </is>
      </c>
    </row>
    <row r="45">
      <c r="A45" s="8" t="inlineStr">
        <is>
          <t>Month</t>
        </is>
      </c>
      <c r="B45" s="8" t="inlineStr">
        <is>
          <t>Segment</t>
        </is>
      </c>
      <c r="C45" s="8" t="inlineStr">
        <is>
          <t>Amount ($)</t>
        </is>
      </c>
      <c r="D45" s="8" t="inlineStr">
        <is>
          <t>Reason</t>
        </is>
      </c>
      <c r="E45" s="8" t="inlineStr">
        <is>
          <t>Approved by</t>
        </is>
      </c>
      <c r="F45" s="8" t="inlineStr">
        <is>
          <t>Month used</t>
        </is>
      </c>
      <c r="G45" s="8" t="inlineStr">
        <is>
          <t>Amount used ($)</t>
        </is>
      </c>
      <c r="H45" s="8" t="inlineStr">
        <is>
          <t>Status</t>
        </is>
      </c>
    </row>
    <row r="46">
      <c r="A46" s="59" t="n"/>
      <c r="B46" s="60" t="n"/>
      <c r="C46" s="57" t="n"/>
      <c r="D46" s="61" t="n"/>
      <c r="E46" s="61" t="n"/>
      <c r="F46" s="28">
        <f>IFERROR(IF(ISNUMBER(A46),DATE(YEAR(A46),MONTH(A46),1),""),"")</f>
        <v/>
      </c>
      <c r="G46" s="17">
        <f>IFERROR(IF(AND(Overrides!$C$4="ON",ISNUMBER(F46),ISNUMBER(C46),OR(B46="enterprise",B46="self_serve",B46="gateway_aggregate",B46="unmatched"),F46&gt;=Data_Params!$B$3,F46&lt;=Data_Params!$B$2),C46,0),0)</f>
        <v/>
      </c>
      <c r="H46" s="3">
        <f>IFERROR(IF(AND(ISBLANK(A46),ISBLANK(B46),ISBLANK(C46)),"",IF(Overrides!$C$4&lt;&gt;"ON","Switch OFF",IF(OR(ISERROR(A46),ISERROR(B46),ISERROR(C46)),"Ignored: error value",IF(NOT(ISNUMBER(F46)),"Ignored: month is not a date",IF(NOT(OR(B46="enterprise",B46="self_serve",B46="gateway_aggregate",B46="unmatched")),"Ignored: unknown segment",IF(NOT(ISNUMBER(C46)),"Ignored: amount is not a number",IF(OR(F46&lt;Data_Params!$B$3,F46&gt;Data_Params!$B$2),"Ignored: month outside the window","Applied"))))))),"Ignored: error value")</f>
        <v/>
      </c>
    </row>
    <row r="47">
      <c r="A47" s="59" t="n"/>
      <c r="B47" s="60" t="n"/>
      <c r="C47" s="57" t="n"/>
      <c r="D47" s="61" t="n"/>
      <c r="E47" s="61" t="n"/>
      <c r="F47" s="28">
        <f>IFERROR(IF(ISNUMBER(A47),DATE(YEAR(A47),MONTH(A47),1),""),"")</f>
        <v/>
      </c>
      <c r="G47" s="17">
        <f>IFERROR(IF(AND(Overrides!$C$4="ON",ISNUMBER(F47),ISNUMBER(C47),OR(B47="enterprise",B47="self_serve",B47="gateway_aggregate",B47="unmatched"),F47&gt;=Data_Params!$B$3,F47&lt;=Data_Params!$B$2),C47,0),0)</f>
        <v/>
      </c>
      <c r="H47" s="3">
        <f>IFERROR(IF(AND(ISBLANK(A47),ISBLANK(B47),ISBLANK(C47)),"",IF(Overrides!$C$4&lt;&gt;"ON","Switch OFF",IF(OR(ISERROR(A47),ISERROR(B47),ISERROR(C47)),"Ignored: error value",IF(NOT(ISNUMBER(F47)),"Ignored: month is not a date",IF(NOT(OR(B47="enterprise",B47="self_serve",B47="gateway_aggregate",B47="unmatched")),"Ignored: unknown segment",IF(NOT(ISNUMBER(C47)),"Ignored: amount is not a number",IF(OR(F47&lt;Data_Params!$B$3,F47&gt;Data_Params!$B$2),"Ignored: month outside the window","Applied"))))))),"Ignored: error value")</f>
        <v/>
      </c>
    </row>
    <row r="48">
      <c r="A48" s="59" t="n"/>
      <c r="B48" s="60" t="n"/>
      <c r="C48" s="57" t="n"/>
      <c r="D48" s="61" t="n"/>
      <c r="E48" s="61" t="n"/>
      <c r="F48" s="28">
        <f>IFERROR(IF(ISNUMBER(A48),DATE(YEAR(A48),MONTH(A48),1),""),"")</f>
        <v/>
      </c>
      <c r="G48" s="17">
        <f>IFERROR(IF(AND(Overrides!$C$4="ON",ISNUMBER(F48),ISNUMBER(C48),OR(B48="enterprise",B48="self_serve",B48="gateway_aggregate",B48="unmatched"),F48&gt;=Data_Params!$B$3,F48&lt;=Data_Params!$B$2),C48,0),0)</f>
        <v/>
      </c>
      <c r="H48" s="3">
        <f>IFERROR(IF(AND(ISBLANK(A48),ISBLANK(B48),ISBLANK(C48)),"",IF(Overrides!$C$4&lt;&gt;"ON","Switch OFF",IF(OR(ISERROR(A48),ISERROR(B48),ISERROR(C48)),"Ignored: error value",IF(NOT(ISNUMBER(F48)),"Ignored: month is not a date",IF(NOT(OR(B48="enterprise",B48="self_serve",B48="gateway_aggregate",B48="unmatched")),"Ignored: unknown segment",IF(NOT(ISNUMBER(C48)),"Ignored: amount is not a number",IF(OR(F48&lt;Data_Params!$B$3,F48&gt;Data_Params!$B$2),"Ignored: month outside the window","Applied"))))))),"Ignored: error value")</f>
        <v/>
      </c>
    </row>
    <row r="49">
      <c r="A49" s="59" t="n"/>
      <c r="B49" s="60" t="n"/>
      <c r="C49" s="57" t="n"/>
      <c r="D49" s="61" t="n"/>
      <c r="E49" s="61" t="n"/>
      <c r="F49" s="28">
        <f>IFERROR(IF(ISNUMBER(A49),DATE(YEAR(A49),MONTH(A49),1),""),"")</f>
        <v/>
      </c>
      <c r="G49" s="17">
        <f>IFERROR(IF(AND(Overrides!$C$4="ON",ISNUMBER(F49),ISNUMBER(C49),OR(B49="enterprise",B49="self_serve",B49="gateway_aggregate",B49="unmatched"),F49&gt;=Data_Params!$B$3,F49&lt;=Data_Params!$B$2),C49,0),0)</f>
        <v/>
      </c>
      <c r="H49" s="3">
        <f>IFERROR(IF(AND(ISBLANK(A49),ISBLANK(B49),ISBLANK(C49)),"",IF(Overrides!$C$4&lt;&gt;"ON","Switch OFF",IF(OR(ISERROR(A49),ISERROR(B49),ISERROR(C49)),"Ignored: error value",IF(NOT(ISNUMBER(F49)),"Ignored: month is not a date",IF(NOT(OR(B49="enterprise",B49="self_serve",B49="gateway_aggregate",B49="unmatched")),"Ignored: unknown segment",IF(NOT(ISNUMBER(C49)),"Ignored: amount is not a number",IF(OR(F49&lt;Data_Params!$B$3,F49&gt;Data_Params!$B$2),"Ignored: month outside the window","Applied"))))))),"Ignored: error value")</f>
        <v/>
      </c>
    </row>
    <row r="50">
      <c r="A50" s="59" t="n"/>
      <c r="B50" s="60" t="n"/>
      <c r="C50" s="57" t="n"/>
      <c r="D50" s="61" t="n"/>
      <c r="E50" s="61" t="n"/>
      <c r="F50" s="28">
        <f>IFERROR(IF(ISNUMBER(A50),DATE(YEAR(A50),MONTH(A50),1),""),"")</f>
        <v/>
      </c>
      <c r="G50" s="17">
        <f>IFERROR(IF(AND(Overrides!$C$4="ON",ISNUMBER(F50),ISNUMBER(C50),OR(B50="enterprise",B50="self_serve",B50="gateway_aggregate",B50="unmatched"),F50&gt;=Data_Params!$B$3,F50&lt;=Data_Params!$B$2),C50,0),0)</f>
        <v/>
      </c>
      <c r="H50" s="3">
        <f>IFERROR(IF(AND(ISBLANK(A50),ISBLANK(B50),ISBLANK(C50)),"",IF(Overrides!$C$4&lt;&gt;"ON","Switch OFF",IF(OR(ISERROR(A50),ISERROR(B50),ISERROR(C50)),"Ignored: error value",IF(NOT(ISNUMBER(F50)),"Ignored: month is not a date",IF(NOT(OR(B50="enterprise",B50="self_serve",B50="gateway_aggregate",B50="unmatched")),"Ignored: unknown segment",IF(NOT(ISNUMBER(C50)),"Ignored: amount is not a number",IF(OR(F50&lt;Data_Params!$B$3,F50&gt;Data_Params!$B$2),"Ignored: month outside the window","Applied"))))))),"Ignored: error value")</f>
        <v/>
      </c>
    </row>
    <row r="51">
      <c r="A51" s="59" t="n"/>
      <c r="B51" s="60" t="n"/>
      <c r="C51" s="57" t="n"/>
      <c r="D51" s="61" t="n"/>
      <c r="E51" s="61" t="n"/>
      <c r="F51" s="28">
        <f>IFERROR(IF(ISNUMBER(A51),DATE(YEAR(A51),MONTH(A51),1),""),"")</f>
        <v/>
      </c>
      <c r="G51" s="17">
        <f>IFERROR(IF(AND(Overrides!$C$4="ON",ISNUMBER(F51),ISNUMBER(C51),OR(B51="enterprise",B51="self_serve",B51="gateway_aggregate",B51="unmatched"),F51&gt;=Data_Params!$B$3,F51&lt;=Data_Params!$B$2),C51,0),0)</f>
        <v/>
      </c>
      <c r="H51" s="3">
        <f>IFERROR(IF(AND(ISBLANK(A51),ISBLANK(B51),ISBLANK(C51)),"",IF(Overrides!$C$4&lt;&gt;"ON","Switch OFF",IF(OR(ISERROR(A51),ISERROR(B51),ISERROR(C51)),"Ignored: error value",IF(NOT(ISNUMBER(F51)),"Ignored: month is not a date",IF(NOT(OR(B51="enterprise",B51="self_serve",B51="gateway_aggregate",B51="unmatched")),"Ignored: unknown segment",IF(NOT(ISNUMBER(C51)),"Ignored: amount is not a number",IF(OR(F51&lt;Data_Params!$B$3,F51&gt;Data_Params!$B$2),"Ignored: month outside the window","Applied"))))))),"Ignored: error value")</f>
        <v/>
      </c>
    </row>
    <row r="52">
      <c r="A52" s="59" t="n"/>
      <c r="B52" s="60" t="n"/>
      <c r="C52" s="57" t="n"/>
      <c r="D52" s="61" t="n"/>
      <c r="E52" s="61" t="n"/>
      <c r="F52" s="28">
        <f>IFERROR(IF(ISNUMBER(A52),DATE(YEAR(A52),MONTH(A52),1),""),"")</f>
        <v/>
      </c>
      <c r="G52" s="17">
        <f>IFERROR(IF(AND(Overrides!$C$4="ON",ISNUMBER(F52),ISNUMBER(C52),OR(B52="enterprise",B52="self_serve",B52="gateway_aggregate",B52="unmatched"),F52&gt;=Data_Params!$B$3,F52&lt;=Data_Params!$B$2),C52,0),0)</f>
        <v/>
      </c>
      <c r="H52" s="3">
        <f>IFERROR(IF(AND(ISBLANK(A52),ISBLANK(B52),ISBLANK(C52)),"",IF(Overrides!$C$4&lt;&gt;"ON","Switch OFF",IF(OR(ISERROR(A52),ISERROR(B52),ISERROR(C52)),"Ignored: error value",IF(NOT(ISNUMBER(F52)),"Ignored: month is not a date",IF(NOT(OR(B52="enterprise",B52="self_serve",B52="gateway_aggregate",B52="unmatched")),"Ignored: unknown segment",IF(NOT(ISNUMBER(C52)),"Ignored: amount is not a number",IF(OR(F52&lt;Data_Params!$B$3,F52&gt;Data_Params!$B$2),"Ignored: month outside the window","Applied"))))))),"Ignored: error value")</f>
        <v/>
      </c>
    </row>
    <row r="53">
      <c r="A53" s="59" t="n"/>
      <c r="B53" s="60" t="n"/>
      <c r="C53" s="57" t="n"/>
      <c r="D53" s="61" t="n"/>
      <c r="E53" s="61" t="n"/>
      <c r="F53" s="28">
        <f>IFERROR(IF(ISNUMBER(A53),DATE(YEAR(A53),MONTH(A53),1),""),"")</f>
        <v/>
      </c>
      <c r="G53" s="17">
        <f>IFERROR(IF(AND(Overrides!$C$4="ON",ISNUMBER(F53),ISNUMBER(C53),OR(B53="enterprise",B53="self_serve",B53="gateway_aggregate",B53="unmatched"),F53&gt;=Data_Params!$B$3,F53&lt;=Data_Params!$B$2),C53,0),0)</f>
        <v/>
      </c>
      <c r="H53" s="3">
        <f>IFERROR(IF(AND(ISBLANK(A53),ISBLANK(B53),ISBLANK(C53)),"",IF(Overrides!$C$4&lt;&gt;"ON","Switch OFF",IF(OR(ISERROR(A53),ISERROR(B53),ISERROR(C53)),"Ignored: error value",IF(NOT(ISNUMBER(F53)),"Ignored: month is not a date",IF(NOT(OR(B53="enterprise",B53="self_serve",B53="gateway_aggregate",B53="unmatched")),"Ignored: unknown segment",IF(NOT(ISNUMBER(C53)),"Ignored: amount is not a number",IF(OR(F53&lt;Data_Params!$B$3,F53&gt;Data_Params!$B$2),"Ignored: month outside the window","Applied"))))))),"Ignored: error value")</f>
        <v/>
      </c>
    </row>
    <row r="54">
      <c r="A54" s="59" t="n"/>
      <c r="B54" s="60" t="n"/>
      <c r="C54" s="57" t="n"/>
      <c r="D54" s="61" t="n"/>
      <c r="E54" s="61" t="n"/>
      <c r="F54" s="28">
        <f>IFERROR(IF(ISNUMBER(A54),DATE(YEAR(A54),MONTH(A54),1),""),"")</f>
        <v/>
      </c>
      <c r="G54" s="17">
        <f>IFERROR(IF(AND(Overrides!$C$4="ON",ISNUMBER(F54),ISNUMBER(C54),OR(B54="enterprise",B54="self_serve",B54="gateway_aggregate",B54="unmatched"),F54&gt;=Data_Params!$B$3,F54&lt;=Data_Params!$B$2),C54,0),0)</f>
        <v/>
      </c>
      <c r="H54" s="3">
        <f>IFERROR(IF(AND(ISBLANK(A54),ISBLANK(B54),ISBLANK(C54)),"",IF(Overrides!$C$4&lt;&gt;"ON","Switch OFF",IF(OR(ISERROR(A54),ISERROR(B54),ISERROR(C54)),"Ignored: error value",IF(NOT(ISNUMBER(F54)),"Ignored: month is not a date",IF(NOT(OR(B54="enterprise",B54="self_serve",B54="gateway_aggregate",B54="unmatched")),"Ignored: unknown segment",IF(NOT(ISNUMBER(C54)),"Ignored: amount is not a number",IF(OR(F54&lt;Data_Params!$B$3,F54&gt;Data_Params!$B$2),"Ignored: month outside the window","Applied"))))))),"Ignored: error value")</f>
        <v/>
      </c>
    </row>
    <row r="55">
      <c r="A55" s="59" t="n"/>
      <c r="B55" s="60" t="n"/>
      <c r="C55" s="57" t="n"/>
      <c r="D55" s="61" t="n"/>
      <c r="E55" s="61" t="n"/>
      <c r="F55" s="28">
        <f>IFERROR(IF(ISNUMBER(A55),DATE(YEAR(A55),MONTH(A55),1),""),"")</f>
        <v/>
      </c>
      <c r="G55" s="17">
        <f>IFERROR(IF(AND(Overrides!$C$4="ON",ISNUMBER(F55),ISNUMBER(C55),OR(B55="enterprise",B55="self_serve",B55="gateway_aggregate",B55="unmatched"),F55&gt;=Data_Params!$B$3,F55&lt;=Data_Params!$B$2),C55,0),0)</f>
        <v/>
      </c>
      <c r="H55" s="3">
        <f>IFERROR(IF(AND(ISBLANK(A55),ISBLANK(B55),ISBLANK(C55)),"",IF(Overrides!$C$4&lt;&gt;"ON","Switch OFF",IF(OR(ISERROR(A55),ISERROR(B55),ISERROR(C55)),"Ignored: error value",IF(NOT(ISNUMBER(F55)),"Ignored: month is not a date",IF(NOT(OR(B55="enterprise",B55="self_serve",B55="gateway_aggregate",B55="unmatched")),"Ignored: unknown segment",IF(NOT(ISNUMBER(C55)),"Ignored: amount is not a number",IF(OR(F55&lt;Data_Params!$B$3,F55&gt;Data_Params!$B$2),"Ignored: month outside the window","Applied"))))))),"Ignored: error value")</f>
        <v/>
      </c>
    </row>
    <row r="56">
      <c r="A56" s="59" t="n"/>
      <c r="B56" s="60" t="n"/>
      <c r="C56" s="57" t="n"/>
      <c r="D56" s="61" t="n"/>
      <c r="E56" s="61" t="n"/>
      <c r="F56" s="28">
        <f>IFERROR(IF(ISNUMBER(A56),DATE(YEAR(A56),MONTH(A56),1),""),"")</f>
        <v/>
      </c>
      <c r="G56" s="17">
        <f>IFERROR(IF(AND(Overrides!$C$4="ON",ISNUMBER(F56),ISNUMBER(C56),OR(B56="enterprise",B56="self_serve",B56="gateway_aggregate",B56="unmatched"),F56&gt;=Data_Params!$B$3,F56&lt;=Data_Params!$B$2),C56,0),0)</f>
        <v/>
      </c>
      <c r="H56" s="3">
        <f>IFERROR(IF(AND(ISBLANK(A56),ISBLANK(B56),ISBLANK(C56)),"",IF(Overrides!$C$4&lt;&gt;"ON","Switch OFF",IF(OR(ISERROR(A56),ISERROR(B56),ISERROR(C56)),"Ignored: error value",IF(NOT(ISNUMBER(F56)),"Ignored: month is not a date",IF(NOT(OR(B56="enterprise",B56="self_serve",B56="gateway_aggregate",B56="unmatched")),"Ignored: unknown segment",IF(NOT(ISNUMBER(C56)),"Ignored: amount is not a number",IF(OR(F56&lt;Data_Params!$B$3,F56&gt;Data_Params!$B$2),"Ignored: month outside the window","Applied"))))))),"Ignored: error value")</f>
        <v/>
      </c>
    </row>
    <row r="57">
      <c r="A57" s="59" t="n"/>
      <c r="B57" s="60" t="n"/>
      <c r="C57" s="57" t="n"/>
      <c r="D57" s="61" t="n"/>
      <c r="E57" s="61" t="n"/>
      <c r="F57" s="28">
        <f>IFERROR(IF(ISNUMBER(A57),DATE(YEAR(A57),MONTH(A57),1),""),"")</f>
        <v/>
      </c>
      <c r="G57" s="17">
        <f>IFERROR(IF(AND(Overrides!$C$4="ON",ISNUMBER(F57),ISNUMBER(C57),OR(B57="enterprise",B57="self_serve",B57="gateway_aggregate",B57="unmatched"),F57&gt;=Data_Params!$B$3,F57&lt;=Data_Params!$B$2),C57,0),0)</f>
        <v/>
      </c>
      <c r="H57" s="3">
        <f>IFERROR(IF(AND(ISBLANK(A57),ISBLANK(B57),ISBLANK(C57)),"",IF(Overrides!$C$4&lt;&gt;"ON","Switch OFF",IF(OR(ISERROR(A57),ISERROR(B57),ISERROR(C57)),"Ignored: error value",IF(NOT(ISNUMBER(F57)),"Ignored: month is not a date",IF(NOT(OR(B57="enterprise",B57="self_serve",B57="gateway_aggregate",B57="unmatched")),"Ignored: unknown segment",IF(NOT(ISNUMBER(C57)),"Ignored: amount is not a number",IF(OR(F57&lt;Data_Params!$B$3,F57&gt;Data_Params!$B$2),"Ignored: month outside the window","Applied"))))))),"Ignored: error value")</f>
        <v/>
      </c>
    </row>
    <row r="58">
      <c r="A58" s="59" t="n"/>
      <c r="B58" s="60" t="n"/>
      <c r="C58" s="57" t="n"/>
      <c r="D58" s="61" t="n"/>
      <c r="E58" s="61" t="n"/>
      <c r="F58" s="28">
        <f>IFERROR(IF(ISNUMBER(A58),DATE(YEAR(A58),MONTH(A58),1),""),"")</f>
        <v/>
      </c>
      <c r="G58" s="17">
        <f>IFERROR(IF(AND(Overrides!$C$4="ON",ISNUMBER(F58),ISNUMBER(C58),OR(B58="enterprise",B58="self_serve",B58="gateway_aggregate",B58="unmatched"),F58&gt;=Data_Params!$B$3,F58&lt;=Data_Params!$B$2),C58,0),0)</f>
        <v/>
      </c>
      <c r="H58" s="3">
        <f>IFERROR(IF(AND(ISBLANK(A58),ISBLANK(B58),ISBLANK(C58)),"",IF(Overrides!$C$4&lt;&gt;"ON","Switch OFF",IF(OR(ISERROR(A58),ISERROR(B58),ISERROR(C58)),"Ignored: error value",IF(NOT(ISNUMBER(F58)),"Ignored: month is not a date",IF(NOT(OR(B58="enterprise",B58="self_serve",B58="gateway_aggregate",B58="unmatched")),"Ignored: unknown segment",IF(NOT(ISNUMBER(C58)),"Ignored: amount is not a number",IF(OR(F58&lt;Data_Params!$B$3,F58&gt;Data_Params!$B$2),"Ignored: month outside the window","Applied"))))))),"Ignored: error value")</f>
        <v/>
      </c>
    </row>
    <row r="59">
      <c r="A59" s="59" t="n"/>
      <c r="B59" s="60" t="n"/>
      <c r="C59" s="57" t="n"/>
      <c r="D59" s="61" t="n"/>
      <c r="E59" s="61" t="n"/>
      <c r="F59" s="28">
        <f>IFERROR(IF(ISNUMBER(A59),DATE(YEAR(A59),MONTH(A59),1),""),"")</f>
        <v/>
      </c>
      <c r="G59" s="17">
        <f>IFERROR(IF(AND(Overrides!$C$4="ON",ISNUMBER(F59),ISNUMBER(C59),OR(B59="enterprise",B59="self_serve",B59="gateway_aggregate",B59="unmatched"),F59&gt;=Data_Params!$B$3,F59&lt;=Data_Params!$B$2),C59,0),0)</f>
        <v/>
      </c>
      <c r="H59" s="3">
        <f>IFERROR(IF(AND(ISBLANK(A59),ISBLANK(B59),ISBLANK(C59)),"",IF(Overrides!$C$4&lt;&gt;"ON","Switch OFF",IF(OR(ISERROR(A59),ISERROR(B59),ISERROR(C59)),"Ignored: error value",IF(NOT(ISNUMBER(F59)),"Ignored: month is not a date",IF(NOT(OR(B59="enterprise",B59="self_serve",B59="gateway_aggregate",B59="unmatched")),"Ignored: unknown segment",IF(NOT(ISNUMBER(C59)),"Ignored: amount is not a number",IF(OR(F59&lt;Data_Params!$B$3,F59&gt;Data_Params!$B$2),"Ignored: month outside the window","Applied"))))))),"Ignored: error value")</f>
        <v/>
      </c>
    </row>
    <row r="60">
      <c r="A60" s="59" t="n"/>
      <c r="B60" s="60" t="n"/>
      <c r="C60" s="57" t="n"/>
      <c r="D60" s="61" t="n"/>
      <c r="E60" s="61" t="n"/>
      <c r="F60" s="28">
        <f>IFERROR(IF(ISNUMBER(A60),DATE(YEAR(A60),MONTH(A60),1),""),"")</f>
        <v/>
      </c>
      <c r="G60" s="17">
        <f>IFERROR(IF(AND(Overrides!$C$4="ON",ISNUMBER(F60),ISNUMBER(C60),OR(B60="enterprise",B60="self_serve",B60="gateway_aggregate",B60="unmatched"),F60&gt;=Data_Params!$B$3,F60&lt;=Data_Params!$B$2),C60,0),0)</f>
        <v/>
      </c>
      <c r="H60" s="3">
        <f>IFERROR(IF(AND(ISBLANK(A60),ISBLANK(B60),ISBLANK(C60)),"",IF(Overrides!$C$4&lt;&gt;"ON","Switch OFF",IF(OR(ISERROR(A60),ISERROR(B60),ISERROR(C60)),"Ignored: error value",IF(NOT(ISNUMBER(F60)),"Ignored: month is not a date",IF(NOT(OR(B60="enterprise",B60="self_serve",B60="gateway_aggregate",B60="unmatched")),"Ignored: unknown segment",IF(NOT(ISNUMBER(C60)),"Ignored: amount is not a number",IF(OR(F60&lt;Data_Params!$B$3,F60&gt;Data_Params!$B$2),"Ignored: month outside the window","Applied"))))))),"Ignored: error value")</f>
        <v/>
      </c>
    </row>
    <row r="61">
      <c r="A61" s="59" t="n"/>
      <c r="B61" s="60" t="n"/>
      <c r="C61" s="57" t="n"/>
      <c r="D61" s="61" t="n"/>
      <c r="E61" s="61" t="n"/>
      <c r="F61" s="28">
        <f>IFERROR(IF(ISNUMBER(A61),DATE(YEAR(A61),MONTH(A61),1),""),"")</f>
        <v/>
      </c>
      <c r="G61" s="17">
        <f>IFERROR(IF(AND(Overrides!$C$4="ON",ISNUMBER(F61),ISNUMBER(C61),OR(B61="enterprise",B61="self_serve",B61="gateway_aggregate",B61="unmatched"),F61&gt;=Data_Params!$B$3,F61&lt;=Data_Params!$B$2),C61,0),0)</f>
        <v/>
      </c>
      <c r="H61" s="3">
        <f>IFERROR(IF(AND(ISBLANK(A61),ISBLANK(B61),ISBLANK(C61)),"",IF(Overrides!$C$4&lt;&gt;"ON","Switch OFF",IF(OR(ISERROR(A61),ISERROR(B61),ISERROR(C61)),"Ignored: error value",IF(NOT(ISNUMBER(F61)),"Ignored: month is not a date",IF(NOT(OR(B61="enterprise",B61="self_serve",B61="gateway_aggregate",B61="unmatched")),"Ignored: unknown segment",IF(NOT(ISNUMBER(C61)),"Ignored: amount is not a number",IF(OR(F61&lt;Data_Params!$B$3,F61&gt;Data_Params!$B$2),"Ignored: month outside the window","Applied"))))))),"Ignored: error value")</f>
        <v/>
      </c>
    </row>
    <row r="62">
      <c r="A62" s="59" t="n"/>
      <c r="B62" s="60" t="n"/>
      <c r="C62" s="57" t="n"/>
      <c r="D62" s="61" t="n"/>
      <c r="E62" s="61" t="n"/>
      <c r="F62" s="28">
        <f>IFERROR(IF(ISNUMBER(A62),DATE(YEAR(A62),MONTH(A62),1),""),"")</f>
        <v/>
      </c>
      <c r="G62" s="17">
        <f>IFERROR(IF(AND(Overrides!$C$4="ON",ISNUMBER(F62),ISNUMBER(C62),OR(B62="enterprise",B62="self_serve",B62="gateway_aggregate",B62="unmatched"),F62&gt;=Data_Params!$B$3,F62&lt;=Data_Params!$B$2),C62,0),0)</f>
        <v/>
      </c>
      <c r="H62" s="3">
        <f>IFERROR(IF(AND(ISBLANK(A62),ISBLANK(B62),ISBLANK(C62)),"",IF(Overrides!$C$4&lt;&gt;"ON","Switch OFF",IF(OR(ISERROR(A62),ISERROR(B62),ISERROR(C62)),"Ignored: error value",IF(NOT(ISNUMBER(F62)),"Ignored: month is not a date",IF(NOT(OR(B62="enterprise",B62="self_serve",B62="gateway_aggregate",B62="unmatched")),"Ignored: unknown segment",IF(NOT(ISNUMBER(C62)),"Ignored: amount is not a number",IF(OR(F62&lt;Data_Params!$B$3,F62&gt;Data_Params!$B$2),"Ignored: month outside the window","Applied"))))))),"Ignored: error value")</f>
        <v/>
      </c>
    </row>
    <row r="63">
      <c r="A63" s="59" t="n"/>
      <c r="B63" s="60" t="n"/>
      <c r="C63" s="57" t="n"/>
      <c r="D63" s="61" t="n"/>
      <c r="E63" s="61" t="n"/>
      <c r="F63" s="28">
        <f>IFERROR(IF(ISNUMBER(A63),DATE(YEAR(A63),MONTH(A63),1),""),"")</f>
        <v/>
      </c>
      <c r="G63" s="17">
        <f>IFERROR(IF(AND(Overrides!$C$4="ON",ISNUMBER(F63),ISNUMBER(C63),OR(B63="enterprise",B63="self_serve",B63="gateway_aggregate",B63="unmatched"),F63&gt;=Data_Params!$B$3,F63&lt;=Data_Params!$B$2),C63,0),0)</f>
        <v/>
      </c>
      <c r="H63" s="3">
        <f>IFERROR(IF(AND(ISBLANK(A63),ISBLANK(B63),ISBLANK(C63)),"",IF(Overrides!$C$4&lt;&gt;"ON","Switch OFF",IF(OR(ISERROR(A63),ISERROR(B63),ISERROR(C63)),"Ignored: error value",IF(NOT(ISNUMBER(F63)),"Ignored: month is not a date",IF(NOT(OR(B63="enterprise",B63="self_serve",B63="gateway_aggregate",B63="unmatched")),"Ignored: unknown segment",IF(NOT(ISNUMBER(C63)),"Ignored: amount is not a number",IF(OR(F63&lt;Data_Params!$B$3,F63&gt;Data_Params!$B$2),"Ignored: month outside the window","Applied"))))))),"Ignored: error value")</f>
        <v/>
      </c>
    </row>
    <row r="64">
      <c r="A64" s="59" t="n"/>
      <c r="B64" s="60" t="n"/>
      <c r="C64" s="57" t="n"/>
      <c r="D64" s="61" t="n"/>
      <c r="E64" s="61" t="n"/>
      <c r="F64" s="28">
        <f>IFERROR(IF(ISNUMBER(A64),DATE(YEAR(A64),MONTH(A64),1),""),"")</f>
        <v/>
      </c>
      <c r="G64" s="17">
        <f>IFERROR(IF(AND(Overrides!$C$4="ON",ISNUMBER(F64),ISNUMBER(C64),OR(B64="enterprise",B64="self_serve",B64="gateway_aggregate",B64="unmatched"),F64&gt;=Data_Params!$B$3,F64&lt;=Data_Params!$B$2),C64,0),0)</f>
        <v/>
      </c>
      <c r="H64" s="3">
        <f>IFERROR(IF(AND(ISBLANK(A64),ISBLANK(B64),ISBLANK(C64)),"",IF(Overrides!$C$4&lt;&gt;"ON","Switch OFF",IF(OR(ISERROR(A64),ISERROR(B64),ISERROR(C64)),"Ignored: error value",IF(NOT(ISNUMBER(F64)),"Ignored: month is not a date",IF(NOT(OR(B64="enterprise",B64="self_serve",B64="gateway_aggregate",B64="unmatched")),"Ignored: unknown segment",IF(NOT(ISNUMBER(C64)),"Ignored: amount is not a number",IF(OR(F64&lt;Data_Params!$B$3,F64&gt;Data_Params!$B$2),"Ignored: month outside the window","Applied"))))))),"Ignored: error value")</f>
        <v/>
      </c>
    </row>
    <row r="65">
      <c r="A65" s="59" t="n"/>
      <c r="B65" s="60" t="n"/>
      <c r="C65" s="57" t="n"/>
      <c r="D65" s="61" t="n"/>
      <c r="E65" s="61" t="n"/>
      <c r="F65" s="28">
        <f>IFERROR(IF(ISNUMBER(A65),DATE(YEAR(A65),MONTH(A65),1),""),"")</f>
        <v/>
      </c>
      <c r="G65" s="17">
        <f>IFERROR(IF(AND(Overrides!$C$4="ON",ISNUMBER(F65),ISNUMBER(C65),OR(B65="enterprise",B65="self_serve",B65="gateway_aggregate",B65="unmatched"),F65&gt;=Data_Params!$B$3,F65&lt;=Data_Params!$B$2),C65,0),0)</f>
        <v/>
      </c>
      <c r="H65" s="3">
        <f>IFERROR(IF(AND(ISBLANK(A65),ISBLANK(B65),ISBLANK(C65)),"",IF(Overrides!$C$4&lt;&gt;"ON","Switch OFF",IF(OR(ISERROR(A65),ISERROR(B65),ISERROR(C65)),"Ignored: error value",IF(NOT(ISNUMBER(F65)),"Ignored: month is not a date",IF(NOT(OR(B65="enterprise",B65="self_serve",B65="gateway_aggregate",B65="unmatched")),"Ignored: unknown segment",IF(NOT(ISNUMBER(C65)),"Ignored: amount is not a number",IF(OR(F65&lt;Data_Params!$B$3,F65&gt;Data_Params!$B$2),"Ignored: month outside the window","Applied"))))))),"Ignored: error value")</f>
        <v/>
      </c>
    </row>
    <row r="66">
      <c r="A66" s="59" t="n"/>
      <c r="B66" s="60" t="n"/>
      <c r="C66" s="57" t="n"/>
      <c r="D66" s="61" t="n"/>
      <c r="E66" s="61" t="n"/>
      <c r="F66" s="28">
        <f>IFERROR(IF(ISNUMBER(A66),DATE(YEAR(A66),MONTH(A66),1),""),"")</f>
        <v/>
      </c>
      <c r="G66" s="17">
        <f>IFERROR(IF(AND(Overrides!$C$4="ON",ISNUMBER(F66),ISNUMBER(C66),OR(B66="enterprise",B66="self_serve",B66="gateway_aggregate",B66="unmatched"),F66&gt;=Data_Params!$B$3,F66&lt;=Data_Params!$B$2),C66,0),0)</f>
        <v/>
      </c>
      <c r="H66" s="3">
        <f>IFERROR(IF(AND(ISBLANK(A66),ISBLANK(B66),ISBLANK(C66)),"",IF(Overrides!$C$4&lt;&gt;"ON","Switch OFF",IF(OR(ISERROR(A66),ISERROR(B66),ISERROR(C66)),"Ignored: error value",IF(NOT(ISNUMBER(F66)),"Ignored: month is not a date",IF(NOT(OR(B66="enterprise",B66="self_serve",B66="gateway_aggregate",B66="unmatched")),"Ignored: unknown segment",IF(NOT(ISNUMBER(C66)),"Ignored: amount is not a number",IF(OR(F66&lt;Data_Params!$B$3,F66&gt;Data_Params!$B$2),"Ignored: month outside the window","Applied"))))))),"Ignored: error value")</f>
        <v/>
      </c>
    </row>
    <row r="67">
      <c r="A67" s="59" t="n"/>
      <c r="B67" s="60" t="n"/>
      <c r="C67" s="57" t="n"/>
      <c r="D67" s="61" t="n"/>
      <c r="E67" s="61" t="n"/>
      <c r="F67" s="28">
        <f>IFERROR(IF(ISNUMBER(A67),DATE(YEAR(A67),MONTH(A67),1),""),"")</f>
        <v/>
      </c>
      <c r="G67" s="17">
        <f>IFERROR(IF(AND(Overrides!$C$4="ON",ISNUMBER(F67),ISNUMBER(C67),OR(B67="enterprise",B67="self_serve",B67="gateway_aggregate",B67="unmatched"),F67&gt;=Data_Params!$B$3,F67&lt;=Data_Params!$B$2),C67,0),0)</f>
        <v/>
      </c>
      <c r="H67" s="3">
        <f>IFERROR(IF(AND(ISBLANK(A67),ISBLANK(B67),ISBLANK(C67)),"",IF(Overrides!$C$4&lt;&gt;"ON","Switch OFF",IF(OR(ISERROR(A67),ISERROR(B67),ISERROR(C67)),"Ignored: error value",IF(NOT(ISNUMBER(F67)),"Ignored: month is not a date",IF(NOT(OR(B67="enterprise",B67="self_serve",B67="gateway_aggregate",B67="unmatched")),"Ignored: unknown segment",IF(NOT(ISNUMBER(C67)),"Ignored: amount is not a number",IF(OR(F67&lt;Data_Params!$B$3,F67&gt;Data_Params!$B$2),"Ignored: month outside the window","Applied"))))))),"Ignored: error value")</f>
        <v/>
      </c>
    </row>
    <row r="68">
      <c r="A68" s="59" t="n"/>
      <c r="B68" s="60" t="n"/>
      <c r="C68" s="57" t="n"/>
      <c r="D68" s="61" t="n"/>
      <c r="E68" s="61" t="n"/>
      <c r="F68" s="28">
        <f>IFERROR(IF(ISNUMBER(A68),DATE(YEAR(A68),MONTH(A68),1),""),"")</f>
        <v/>
      </c>
      <c r="G68" s="17">
        <f>IFERROR(IF(AND(Overrides!$C$4="ON",ISNUMBER(F68),ISNUMBER(C68),OR(B68="enterprise",B68="self_serve",B68="gateway_aggregate",B68="unmatched"),F68&gt;=Data_Params!$B$3,F68&lt;=Data_Params!$B$2),C68,0),0)</f>
        <v/>
      </c>
      <c r="H68" s="3">
        <f>IFERROR(IF(AND(ISBLANK(A68),ISBLANK(B68),ISBLANK(C68)),"",IF(Overrides!$C$4&lt;&gt;"ON","Switch OFF",IF(OR(ISERROR(A68),ISERROR(B68),ISERROR(C68)),"Ignored: error value",IF(NOT(ISNUMBER(F68)),"Ignored: month is not a date",IF(NOT(OR(B68="enterprise",B68="self_serve",B68="gateway_aggregate",B68="unmatched")),"Ignored: unknown segment",IF(NOT(ISNUMBER(C68)),"Ignored: amount is not a number",IF(OR(F68&lt;Data_Params!$B$3,F68&gt;Data_Params!$B$2),"Ignored: month outside the window","Applied"))))))),"Ignored: error value")</f>
        <v/>
      </c>
    </row>
    <row r="69">
      <c r="A69" s="59" t="n"/>
      <c r="B69" s="60" t="n"/>
      <c r="C69" s="57" t="n"/>
      <c r="D69" s="61" t="n"/>
      <c r="E69" s="61" t="n"/>
      <c r="F69" s="28">
        <f>IFERROR(IF(ISNUMBER(A69),DATE(YEAR(A69),MONTH(A69),1),""),"")</f>
        <v/>
      </c>
      <c r="G69" s="17">
        <f>IFERROR(IF(AND(Overrides!$C$4="ON",ISNUMBER(F69),ISNUMBER(C69),OR(B69="enterprise",B69="self_serve",B69="gateway_aggregate",B69="unmatched"),F69&gt;=Data_Params!$B$3,F69&lt;=Data_Params!$B$2),C69,0),0)</f>
        <v/>
      </c>
      <c r="H69" s="3">
        <f>IFERROR(IF(AND(ISBLANK(A69),ISBLANK(B69),ISBLANK(C69)),"",IF(Overrides!$C$4&lt;&gt;"ON","Switch OFF",IF(OR(ISERROR(A69),ISERROR(B69),ISERROR(C69)),"Ignored: error value",IF(NOT(ISNUMBER(F69)),"Ignored: month is not a date",IF(NOT(OR(B69="enterprise",B69="self_serve",B69="gateway_aggregate",B69="unmatched")),"Ignored: unknown segment",IF(NOT(ISNUMBER(C69)),"Ignored: amount is not a number",IF(OR(F69&lt;Data_Params!$B$3,F69&gt;Data_Params!$B$2),"Ignored: month outside the window","Applied"))))))),"Ignored: error value")</f>
        <v/>
      </c>
    </row>
    <row r="70">
      <c r="A70" s="59" t="n"/>
      <c r="B70" s="60" t="n"/>
      <c r="C70" s="57" t="n"/>
      <c r="D70" s="61" t="n"/>
      <c r="E70" s="61" t="n"/>
      <c r="F70" s="28">
        <f>IFERROR(IF(ISNUMBER(A70),DATE(YEAR(A70),MONTH(A70),1),""),"")</f>
        <v/>
      </c>
      <c r="G70" s="17">
        <f>IFERROR(IF(AND(Overrides!$C$4="ON",ISNUMBER(F70),ISNUMBER(C70),OR(B70="enterprise",B70="self_serve",B70="gateway_aggregate",B70="unmatched"),F70&gt;=Data_Params!$B$3,F70&lt;=Data_Params!$B$2),C70,0),0)</f>
        <v/>
      </c>
      <c r="H70" s="3">
        <f>IFERROR(IF(AND(ISBLANK(A70),ISBLANK(B70),ISBLANK(C70)),"",IF(Overrides!$C$4&lt;&gt;"ON","Switch OFF",IF(OR(ISERROR(A70),ISERROR(B70),ISERROR(C70)),"Ignored: error value",IF(NOT(ISNUMBER(F70)),"Ignored: month is not a date",IF(NOT(OR(B70="enterprise",B70="self_serve",B70="gateway_aggregate",B70="unmatched")),"Ignored: unknown segment",IF(NOT(ISNUMBER(C70)),"Ignored: amount is not a number",IF(OR(F70&lt;Data_Params!$B$3,F70&gt;Data_Params!$B$2),"Ignored: month outside the window","Applied"))))))),"Ignored: error value")</f>
        <v/>
      </c>
    </row>
    <row r="71">
      <c r="A71" s="59" t="n"/>
      <c r="B71" s="60" t="n"/>
      <c r="C71" s="57" t="n"/>
      <c r="D71" s="61" t="n"/>
      <c r="E71" s="61" t="n"/>
      <c r="F71" s="28">
        <f>IFERROR(IF(ISNUMBER(A71),DATE(YEAR(A71),MONTH(A71),1),""),"")</f>
        <v/>
      </c>
      <c r="G71" s="17">
        <f>IFERROR(IF(AND(Overrides!$C$4="ON",ISNUMBER(F71),ISNUMBER(C71),OR(B71="enterprise",B71="self_serve",B71="gateway_aggregate",B71="unmatched"),F71&gt;=Data_Params!$B$3,F71&lt;=Data_Params!$B$2),C71,0),0)</f>
        <v/>
      </c>
      <c r="H71" s="3">
        <f>IFERROR(IF(AND(ISBLANK(A71),ISBLANK(B71),ISBLANK(C71)),"",IF(Overrides!$C$4&lt;&gt;"ON","Switch OFF",IF(OR(ISERROR(A71),ISERROR(B71),ISERROR(C71)),"Ignored: error value",IF(NOT(ISNUMBER(F71)),"Ignored: month is not a date",IF(NOT(OR(B71="enterprise",B71="self_serve",B71="gateway_aggregate",B71="unmatched")),"Ignored: unknown segment",IF(NOT(ISNUMBER(C71)),"Ignored: amount is not a number",IF(OR(F71&lt;Data_Params!$B$3,F71&gt;Data_Params!$B$2),"Ignored: month outside the window","Applied"))))))),"Ignored: error value")</f>
        <v/>
      </c>
    </row>
    <row r="72">
      <c r="A72" s="59" t="n"/>
      <c r="B72" s="60" t="n"/>
      <c r="C72" s="57" t="n"/>
      <c r="D72" s="61" t="n"/>
      <c r="E72" s="61" t="n"/>
      <c r="F72" s="28">
        <f>IFERROR(IF(ISNUMBER(A72),DATE(YEAR(A72),MONTH(A72),1),""),"")</f>
        <v/>
      </c>
      <c r="G72" s="17">
        <f>IFERROR(IF(AND(Overrides!$C$4="ON",ISNUMBER(F72),ISNUMBER(C72),OR(B72="enterprise",B72="self_serve",B72="gateway_aggregate",B72="unmatched"),F72&gt;=Data_Params!$B$3,F72&lt;=Data_Params!$B$2),C72,0),0)</f>
        <v/>
      </c>
      <c r="H72" s="3">
        <f>IFERROR(IF(AND(ISBLANK(A72),ISBLANK(B72),ISBLANK(C72)),"",IF(Overrides!$C$4&lt;&gt;"ON","Switch OFF",IF(OR(ISERROR(A72),ISERROR(B72),ISERROR(C72)),"Ignored: error value",IF(NOT(ISNUMBER(F72)),"Ignored: month is not a date",IF(NOT(OR(B72="enterprise",B72="self_serve",B72="gateway_aggregate",B72="unmatched")),"Ignored: unknown segment",IF(NOT(ISNUMBER(C72)),"Ignored: amount is not a number",IF(OR(F72&lt;Data_Params!$B$3,F72&gt;Data_Params!$B$2),"Ignored: month outside the window","Applied"))))))),"Ignored: error value")</f>
        <v/>
      </c>
    </row>
    <row r="73">
      <c r="A73" s="59" t="n"/>
      <c r="B73" s="60" t="n"/>
      <c r="C73" s="57" t="n"/>
      <c r="D73" s="61" t="n"/>
      <c r="E73" s="61" t="n"/>
      <c r="F73" s="28">
        <f>IFERROR(IF(ISNUMBER(A73),DATE(YEAR(A73),MONTH(A73),1),""),"")</f>
        <v/>
      </c>
      <c r="G73" s="17">
        <f>IFERROR(IF(AND(Overrides!$C$4="ON",ISNUMBER(F73),ISNUMBER(C73),OR(B73="enterprise",B73="self_serve",B73="gateway_aggregate",B73="unmatched"),F73&gt;=Data_Params!$B$3,F73&lt;=Data_Params!$B$2),C73,0),0)</f>
        <v/>
      </c>
      <c r="H73" s="3">
        <f>IFERROR(IF(AND(ISBLANK(A73),ISBLANK(B73),ISBLANK(C73)),"",IF(Overrides!$C$4&lt;&gt;"ON","Switch OFF",IF(OR(ISERROR(A73),ISERROR(B73),ISERROR(C73)),"Ignored: error value",IF(NOT(ISNUMBER(F73)),"Ignored: month is not a date",IF(NOT(OR(B73="enterprise",B73="self_serve",B73="gateway_aggregate",B73="unmatched")),"Ignored: unknown segment",IF(NOT(ISNUMBER(C73)),"Ignored: amount is not a number",IF(OR(F73&lt;Data_Params!$B$3,F73&gt;Data_Params!$B$2),"Ignored: month outside the window","Applied"))))))),"Ignored: error value")</f>
        <v/>
      </c>
    </row>
    <row r="74">
      <c r="A74" s="59" t="n"/>
      <c r="B74" s="60" t="n"/>
      <c r="C74" s="57" t="n"/>
      <c r="D74" s="61" t="n"/>
      <c r="E74" s="61" t="n"/>
      <c r="F74" s="28">
        <f>IFERROR(IF(ISNUMBER(A74),DATE(YEAR(A74),MONTH(A74),1),""),"")</f>
        <v/>
      </c>
      <c r="G74" s="17">
        <f>IFERROR(IF(AND(Overrides!$C$4="ON",ISNUMBER(F74),ISNUMBER(C74),OR(B74="enterprise",B74="self_serve",B74="gateway_aggregate",B74="unmatched"),F74&gt;=Data_Params!$B$3,F74&lt;=Data_Params!$B$2),C74,0),0)</f>
        <v/>
      </c>
      <c r="H74" s="3">
        <f>IFERROR(IF(AND(ISBLANK(A74),ISBLANK(B74),ISBLANK(C74)),"",IF(Overrides!$C$4&lt;&gt;"ON","Switch OFF",IF(OR(ISERROR(A74),ISERROR(B74),ISERROR(C74)),"Ignored: error value",IF(NOT(ISNUMBER(F74)),"Ignored: month is not a date",IF(NOT(OR(B74="enterprise",B74="self_serve",B74="gateway_aggregate",B74="unmatched")),"Ignored: unknown segment",IF(NOT(ISNUMBER(C74)),"Ignored: amount is not a number",IF(OR(F74&lt;Data_Params!$B$3,F74&gt;Data_Params!$B$2),"Ignored: month outside the window","Applied"))))))),"Ignored: error value")</f>
        <v/>
      </c>
    </row>
    <row r="75">
      <c r="A75" s="59" t="n"/>
      <c r="B75" s="60" t="n"/>
      <c r="C75" s="57" t="n"/>
      <c r="D75" s="61" t="n"/>
      <c r="E75" s="61" t="n"/>
      <c r="F75" s="28">
        <f>IFERROR(IF(ISNUMBER(A75),DATE(YEAR(A75),MONTH(A75),1),""),"")</f>
        <v/>
      </c>
      <c r="G75" s="17">
        <f>IFERROR(IF(AND(Overrides!$C$4="ON",ISNUMBER(F75),ISNUMBER(C75),OR(B75="enterprise",B75="self_serve",B75="gateway_aggregate",B75="unmatched"),F75&gt;=Data_Params!$B$3,F75&lt;=Data_Params!$B$2),C75,0),0)</f>
        <v/>
      </c>
      <c r="H75" s="3">
        <f>IFERROR(IF(AND(ISBLANK(A75),ISBLANK(B75),ISBLANK(C75)),"",IF(Overrides!$C$4&lt;&gt;"ON","Switch OFF",IF(OR(ISERROR(A75),ISERROR(B75),ISERROR(C75)),"Ignored: error value",IF(NOT(ISNUMBER(F75)),"Ignored: month is not a date",IF(NOT(OR(B75="enterprise",B75="self_serve",B75="gateway_aggregate",B75="unmatched")),"Ignored: unknown segment",IF(NOT(ISNUMBER(C75)),"Ignored: amount is not a number",IF(OR(F75&lt;Data_Params!$B$3,F75&gt;Data_Params!$B$2),"Ignored: month outside the window","Applied"))))))),"Ignored: error value")</f>
        <v/>
      </c>
    </row>
  </sheetData>
  <conditionalFormatting sqref="F8:F39 H46:H75">
    <cfRule type="expression" priority="1" dxfId="0">
      <formula>LEFT(F8,7)="Ignored"</formula>
    </cfRule>
    <cfRule type="expression" priority="2" dxfId="2">
      <formula>F8="Applied"</formula>
    </cfRule>
  </conditionalFormatting>
  <conditionalFormatting sqref="C4">
    <cfRule type="expression" priority="3" dxfId="2">
      <formula>$C$4="ON"</formula>
    </cfRule>
  </conditionalFormatting>
  <dataValidations count="28">
    <dataValidation sqref="C4" showDropDown="0" showInputMessage="0" showErrorMessage="1" allowBlank="0" errorTitle="ON or OFF" error="Choose ON or OFF." type="list">
      <formula1>"ON,OFF"</formula1>
    </dataValidation>
    <dataValidation sqref="B46 B47 B48 B49 B50 B51 B52 B53 B54 B55 B56 B57 B58 B59 B60 B61 B62 B63 B64 B65 B66 B67 B68 B69 B70 B71 B72 B73 B74 B75" showDropDown="0" showInputMessage="0" showErrorMessage="1" allowBlank="1" errorTitle="Segment" error="Pick a segment from the list." type="list">
      <formula1>"enterprise,self_serve,gateway_aggregate,unmatched"</formula1>
    </dataValidation>
    <dataValidation sqref="C46 C47 C48 C49 C50 C51 C52 C53 C54 C55 C56 C57 C58 C59 C60 C61 C62 C63 C64 C65 C66 C67 C68 C69 C70 C71 C72 C73 C74 C75" showDropDown="0" showInputMessage="0" showErrorMessage="1" allowBlank="1" errorTitle="Amount" error="Enter an amount in dollars." type="decimal" operator="between">
      <formula1>-100000000</formula1>
      <formula2>100000000</formula2>
    </dataValidation>
    <dataValidation sqref="A46 A47 A48 A49 A50 A51 A52 A53 A54 A55 A56 A57 A58 A59 A60 A61 A62 A63 A64 A65 A66 A67 A68 A69 A70 A71 A72 A73 A74 A75" showDropDown="0" showInputMessage="0" showErrorMessage="1" allowBlank="1" errorTitle="Month" error="Enter a date, e.g. 2027-02-01." type="date" operator="between">
      <formula1>36526</formula1>
      <formula2>73051</formula2>
    </dataValidation>
    <dataValidation sqref="D8" showDropDown="0" showInputMessage="0" showErrorMessage="1" allowBlank="1" errorTitle="Outside the allowed range" error="Enter a number from 0.5 to 1.5, or leave blank to use the model value." type="decimal" errorStyle="stop" operator="between">
      <formula1>0.5</formula1>
      <formula2>1.5</formula2>
    </dataValidation>
    <dataValidation sqref="D9" showDropDown="0" showInputMessage="0" showErrorMessage="1" allowBlank="1" errorTitle="Outside the allowed range" error="Enter a number from 0.5 to 1.5, or leave blank to use the model value." type="decimal" errorStyle="stop" operator="between">
      <formula1>0.5</formula1>
      <formula2>1.5</formula2>
    </dataValidation>
    <dataValidation sqref="D10" showDropDown="0" showInputMessage="0" showErrorMessage="1" allowBlank="1" errorTitle="Outside the allowed range" error="Enter a number from 0.5 to 1.5, or leave blank to use the model value." type="decimal" errorStyle="stop" operator="between">
      <formula1>0.5</formula1>
      <formula2>1.5</formula2>
    </dataValidation>
    <dataValidation sqref="D11" showDropDown="0" showInputMessage="0" showErrorMessage="1" allowBlank="1" errorTitle="Outside the allowed range" error="Enter a number from 0 to 3, or leave blank to use the model value." type="decimal" errorStyle="stop" operator="between">
      <formula1>0</formula1>
      <formula2>3</formula2>
    </dataValidation>
    <dataValidation sqref="D12" showDropDown="0" showInputMessage="0" showErrorMessage="1" allowBlank="1" errorTitle="Outside the allowed range" error="Enter a number from 0 to 3, or leave blank to use the model value." type="decimal" errorStyle="stop" operator="between">
      <formula1>0</formula1>
      <formula2>3</formula2>
    </dataValidation>
    <dataValidation sqref="D13" showDropDown="0" showInputMessage="0" showErrorMessage="1" allowBlank="1" errorTitle="Outside the allowed range" error="Enter a number from 0 to 3, or leave blank to use the model value." type="decimal" errorStyle="stop" operator="between">
      <formula1>0</formula1>
      <formula2>3</formula2>
    </dataValidation>
    <dataValidation sqref="D14" showDropDown="0" showInputMessage="0" showErrorMessage="1" allowBlank="1" errorTitle="Outside the allowed range" error="Enter a number from -0.5 to 1, or leave blank to use the model value." type="decimal" errorStyle="stop" operator="between">
      <formula1>-0.5</formula1>
      <formula2>1</formula2>
    </dataValidation>
    <dataValidation sqref="D15" showDropDown="0" showInputMessage="0" showErrorMessage="1" allowBlank="1" errorTitle="Outside the allowed range" error="Enter a number from -0.5 to 1, or leave blank to use the model value." type="decimal" errorStyle="stop" operator="between">
      <formula1>-0.5</formula1>
      <formula2>1</formula2>
    </dataValidation>
    <dataValidation sqref="D16" showDropDown="0" showInputMessage="0" showErrorMessage="1" allowBlank="1" errorTitle="Outside the allowed range" error="Enter a number from -0.5 to 1, or leave blank to use the model value." type="decimal" errorStyle="stop" operator="between">
      <formula1>-0.5</formula1>
      <formula2>1</formula2>
    </dataValidation>
    <dataValidation sqref="D17" showDropDown="0" showInputMessage="0" showErrorMessage="1" allowBlank="1" errorTitle="Outside the allowed range" error="Enter a number from 0 to 0.5, or leave blank to use the model value." type="decimal" errorStyle="stop" operator="between">
      <formula1>0</formula1>
      <formula2>0.5</formula2>
    </dataValidation>
    <dataValidation sqref="D18" showDropDown="0" showInputMessage="0" showErrorMessage="1" allowBlank="1" errorTitle="Outside the allowed range" error="Enter a number from 0 to 0.5, or leave blank to use the model value." type="decimal" errorStyle="stop" operator="between">
      <formula1>0</formula1>
      <formula2>0.5</formula2>
    </dataValidation>
    <dataValidation sqref="D19" showDropDown="0" showInputMessage="0" showErrorMessage="1" allowBlank="1" errorTitle="Outside the allowed range" error="Enter a number from 0 to 0.5, or leave blank to use the model value." type="decimal" errorStyle="stop" operator="between">
      <formula1>0</formula1>
      <formula2>0.5</formula2>
    </dataValidation>
    <dataValidation sqref="D20" showDropDown="0" showInputMessage="0" showErrorMessage="1" allowBlank="1" errorTitle="Outside the allowed range" error="Enter a number from -0.5 to 1, or leave blank to use the model value." type="decimal" errorStyle="stop" operator="between">
      <formula1>-0.5</formula1>
      <formula2>1</formula2>
    </dataValidation>
    <dataValidation sqref="D21" showDropDown="0" showInputMessage="0" showErrorMessage="1" allowBlank="1" errorTitle="Outside the allowed range" error="Enter a number from 0 to 2, or leave blank to use the model value." type="decimal" errorStyle="stop" operator="between">
      <formula1>0</formula1>
      <formula2>2</formula2>
    </dataValidation>
    <dataValidation sqref="D22" showDropDown="0" showInputMessage="0" showErrorMessage="1" allowBlank="1" errorTitle="Outside the allowed range" error="Enter a number from 1 to 365, or leave blank to use the model value." type="decimal" errorStyle="stop" operator="between">
      <formula1>1</formula1>
      <formula2>365</formula2>
    </dataValidation>
    <dataValidation sqref="D23" showDropDown="0" showInputMessage="0" showErrorMessage="1" allowBlank="1" errorTitle="Outside the allowed range" error="Enter a number from 0 to 1, or leave blank to use the model value." type="decimal" errorStyle="stop" operator="between">
      <formula1>0</formula1>
      <formula2>1</formula2>
    </dataValidation>
    <dataValidation sqref="D24" showDropDown="0" showInputMessage="0" showErrorMessage="1" allowBlank="1" errorTitle="Outside the allowed range" error="Enter a number from 0 to 1, or leave blank to use the model value." type="decimal" errorStyle="stop" operator="between">
      <formula1>0</formula1>
      <formula2>1</formula2>
    </dataValidation>
    <dataValidation sqref="D25" showDropDown="0" showInputMessage="0" showErrorMessage="1" allowBlank="1" errorTitle="Outside the allowed range" error="Enter a number from 0 to 1, or leave blank to use the model value." type="decimal" errorStyle="stop" operator="between">
      <formula1>0</formula1>
      <formula2>1</formula2>
    </dataValidation>
    <dataValidation sqref="D26" showDropDown="0" showInputMessage="0" showErrorMessage="1" allowBlank="1" errorTitle="Outside the allowed range" error="Enter a number from 1 to 1e+07, or leave blank to use the model value." type="decimal" errorStyle="stop" operator="between">
      <formula1>1</formula1>
      <formula2>10000000</formula2>
    </dataValidation>
    <dataValidation sqref="D27" showDropDown="0" showInputMessage="0" showErrorMessage="1" allowBlank="1" errorTitle="Outside the allowed range" error="Enter a number from 0.05 to 1, or leave blank to use the model value." type="decimal" errorStyle="stop" operator="between">
      <formula1>0.05</formula1>
      <formula2>1</formula2>
    </dataValidation>
    <dataValidation sqref="D28" showDropDown="0" showInputMessage="0" showErrorMessage="1" allowBlank="1" errorTitle="Outside the allowed range" error="Enter a number from 0 to 100, or leave blank to use the model value." type="decimal" errorStyle="stop" operator="between">
      <formula1>0</formula1>
      <formula2>100</formula2>
    </dataValidation>
    <dataValidation sqref="D29" showDropDown="0" showInputMessage="0" showErrorMessage="1" allowBlank="1" errorTitle="Outside the allowed range" error="Enter a number from 0 to 100, or leave blank to use the model value." type="decimal" errorStyle="stop" operator="between">
      <formula1>0</formula1>
      <formula2>100</formula2>
    </dataValidation>
    <dataValidation sqref="D30" showDropDown="0" showInputMessage="0" showErrorMessage="1" allowBlank="1" errorTitle="Outside the allowed range" error="Enter a number from 1 to 20, or leave blank to use the model value." type="decimal" errorStyle="stop" operator="between">
      <formula1>1</formula1>
      <formula2>20</formula2>
    </dataValidation>
    <dataValidation sqref="D31" showDropDown="0" showInputMessage="0" showErrorMessage="1" allowBlank="1" errorTitle="Outside the allowed range" error="Enter a number from 0 to 1, or leave blank to use the model value." type="decimal" errorStyle="stop" operator="between">
      <formula1>0</formula1>
      <formula2>1</formula2>
    </dataValidation>
  </dataValidations>
  <pageMargins left="0.75" right="0.75" top="1" bottom="1" header="0.5" footer="0.5"/>
</worksheet>
</file>

<file path=xl/worksheets/sheet13.xml><?xml version="1.0" encoding="utf-8"?>
<worksheet xmlns="http://schemas.openxmlformats.org/spreadsheetml/2006/main">
  <sheetPr>
    <tabColor rgb="008A939B"/>
    <outlinePr summaryBelow="1" summaryRight="1"/>
    <pageSetUpPr/>
  </sheetPr>
  <dimension ref="A1:C15"/>
  <sheetViews>
    <sheetView showGridLines="0" workbookViewId="0">
      <pane ySplit="1" topLeftCell="A2" activePane="bottomLeft" state="frozen"/>
      <selection pane="bottomLeft" activeCell="A1" sqref="A1"/>
    </sheetView>
  </sheetViews>
  <sheetFormatPr baseColWidth="8" defaultRowHeight="15"/>
  <cols>
    <col width="26" customWidth="1" min="1" max="1"/>
    <col width="22" customWidth="1" min="2" max="2"/>
    <col width="60" customWidth="1" min="3" max="3"/>
  </cols>
  <sheetData>
    <row r="1">
      <c r="A1" s="62" t="inlineStr">
        <is>
          <t>key</t>
        </is>
      </c>
      <c r="B1" s="62" t="inlineStr">
        <is>
          <t>value</t>
        </is>
      </c>
      <c r="C1" s="62" t="inlineStr">
        <is>
          <t>description</t>
        </is>
      </c>
    </row>
    <row r="2">
      <c r="A2" s="3" t="inlineStr">
        <is>
          <t>as_of_month</t>
        </is>
      </c>
      <c r="B2" s="63" t="n"/>
      <c r="C2" s="7" t="inlineStr">
        <is>
          <t>Last complete month in this close (first day of month)</t>
        </is>
      </c>
    </row>
    <row r="3">
      <c r="A3" s="3" t="inlineStr">
        <is>
          <t>window_start</t>
        </is>
      </c>
      <c r="B3" s="63" t="n"/>
      <c r="C3" s="7" t="inlineStr">
        <is>
          <t>First month of the 12-month reporting window</t>
        </is>
      </c>
    </row>
    <row r="4">
      <c r="A4" s="3" t="inlineStr">
        <is>
          <t>list_price_per_mtok</t>
        </is>
      </c>
      <c r="C4" s="7" t="inlineStr">
        <is>
          <t>Current list price, $ per million input tokens</t>
        </is>
      </c>
    </row>
    <row r="5">
      <c r="A5" s="3" t="inlineStr">
        <is>
          <t>free_credit_usd</t>
        </is>
      </c>
      <c r="C5" s="7" t="inlineStr">
        <is>
          <t>Default free credit for new accounts, $</t>
        </is>
      </c>
    </row>
    <row r="6">
      <c r="A6" s="3" t="inlineStr">
        <is>
          <t>aggregate_gateway_fee</t>
        </is>
      </c>
      <c r="C6" s="7" t="inlineStr">
        <is>
          <t>Average fee on gateways that don't pass end-customer IDs</t>
        </is>
      </c>
    </row>
    <row r="7">
      <c r="A7" s="3" t="inlineStr">
        <is>
          <t>gateway_revenue_treatment</t>
        </is>
      </c>
      <c r="C7" s="7" t="inlineStr">
        <is>
          <t>net = fee reduces revenue; gross = fee is a cost</t>
        </is>
      </c>
    </row>
    <row r="8">
      <c r="A8" s="3" t="inlineStr">
        <is>
          <t>total_net_revenue_asof</t>
        </is>
      </c>
      <c r="C8" s="7" t="inlineStr">
        <is>
          <t>Net revenue in the as-of month, all accounts, $</t>
        </is>
      </c>
    </row>
    <row r="9">
      <c r="A9" s="3" t="inlineStr">
        <is>
          <t>usage_grain</t>
        </is>
      </c>
      <c r="C9" s="7" t="inlineStr">
        <is>
          <t>call = raw request logs; daily = rollup</t>
        </is>
      </c>
    </row>
    <row r="10">
      <c r="A10" s="3" t="inlineStr">
        <is>
          <t>data_first_date</t>
        </is>
      </c>
      <c r="B10" s="63" t="n"/>
      <c r="C10" s="7" t="inlineStr">
        <is>
          <t>First date with usage</t>
        </is>
      </c>
    </row>
    <row r="11">
      <c r="A11" s="3" t="inlineStr">
        <is>
          <t>data_last_date</t>
        </is>
      </c>
      <c r="B11" s="63" t="n"/>
      <c r="C11" s="7" t="inlineStr">
        <is>
          <t>Last date with usage (on or before as-of month end)</t>
        </is>
      </c>
    </row>
    <row r="12">
      <c r="A12" s="3" t="inlineStr">
        <is>
          <t>sources_loaded</t>
        </is>
      </c>
      <c r="C12" s="7" t="inlineStr">
        <is>
          <t>Sources connected for this close</t>
        </is>
      </c>
    </row>
    <row r="13">
      <c r="A13" s="3" t="inlineStr">
        <is>
          <t>generated_at</t>
        </is>
      </c>
      <c r="C13" s="7" t="inlineStr">
        <is>
          <t>When the runner produced this workbook</t>
        </is>
      </c>
    </row>
    <row r="14">
      <c r="A14" s="3" t="inlineStr">
        <is>
          <t>company_name</t>
        </is>
      </c>
      <c r="C14" s="7" t="inlineStr">
        <is>
          <t>Shown in titles</t>
        </is>
      </c>
    </row>
    <row r="15">
      <c r="A15" s="3" t="inlineStr">
        <is>
          <t>reporting_timezone</t>
        </is>
      </c>
      <c r="C15" s="7" t="inlineStr">
        <is>
          <t>Time zone used for days and hours</t>
        </is>
      </c>
    </row>
  </sheetData>
  <pageMargins left="0.75" right="0.75" top="1" bottom="1" header="0.5" footer="0.5"/>
</worksheet>
</file>

<file path=xl/worksheets/sheet14.xml><?xml version="1.0" encoding="utf-8"?>
<worksheet xmlns="http://schemas.openxmlformats.org/spreadsheetml/2006/main">
  <sheetPr>
    <tabColor rgb="008A939B"/>
    <outlinePr summaryBelow="1" summaryRight="1"/>
    <pageSetUpPr/>
  </sheetPr>
  <dimension ref="A1:C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s>
  <sheetData>
    <row r="1">
      <c r="A1" s="62" t="inlineStr">
        <is>
          <t>month</t>
        </is>
      </c>
      <c r="B1" s="62" t="inlineStr">
        <is>
          <t>days</t>
        </is>
      </c>
      <c r="C1" s="62" t="inlineStr">
        <is>
          <t>calendar_days</t>
        </is>
      </c>
    </row>
  </sheetData>
  <pageMargins left="0.75" right="0.75" top="1" bottom="1" header="0.5" footer="0.5"/>
</worksheet>
</file>

<file path=xl/worksheets/sheet15.xml><?xml version="1.0" encoding="utf-8"?>
<worksheet xmlns="http://schemas.openxmlformats.org/spreadsheetml/2006/main">
  <sheetPr>
    <tabColor rgb="008A939B"/>
    <outlinePr summaryBelow="1" summaryRight="1"/>
    <pageSetUpPr/>
  </sheetPr>
  <dimension ref="A1:M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9" customWidth="1" min="4" max="4"/>
    <col width="19" customWidth="1" min="5" max="5"/>
    <col width="19" customWidth="1" min="6" max="6"/>
    <col width="22" customWidth="1" min="7" max="7"/>
    <col width="19" customWidth="1" min="8" max="8"/>
    <col width="14" customWidth="1" min="9" max="9"/>
    <col width="17" customWidth="1" min="10" max="10"/>
    <col width="12" customWidth="1" min="11" max="11"/>
    <col width="15" customWidth="1" min="12" max="12"/>
    <col width="16" customWidth="1" min="13" max="13"/>
  </cols>
  <sheetData>
    <row r="1">
      <c r="A1" s="62" t="inlineStr">
        <is>
          <t>month</t>
        </is>
      </c>
      <c r="B1" s="62" t="inlineStr">
        <is>
          <t>segment</t>
        </is>
      </c>
      <c r="C1" s="62" t="inlineStr">
        <is>
          <t>channel</t>
        </is>
      </c>
      <c r="D1" s="62" t="inlineStr">
        <is>
          <t>active_accounts</t>
        </is>
      </c>
      <c r="E1" s="62" t="inlineStr">
        <is>
          <t>paying_accounts</t>
        </is>
      </c>
      <c r="F1" s="62" t="inlineStr">
        <is>
          <t>billable_tokens</t>
        </is>
      </c>
      <c r="G1" s="62" t="inlineStr">
        <is>
          <t>free_credit_tokens</t>
        </is>
      </c>
      <c r="H1" s="62" t="inlineStr">
        <is>
          <t>free_credit_usd</t>
        </is>
      </c>
      <c r="I1" s="62" t="inlineStr">
        <is>
          <t>list_value</t>
        </is>
      </c>
      <c r="J1" s="62" t="inlineStr">
        <is>
          <t>usage_revenue</t>
        </is>
      </c>
      <c r="K1" s="62" t="inlineStr">
        <is>
          <t>true_up</t>
        </is>
      </c>
      <c r="L1" s="62" t="inlineStr">
        <is>
          <t>net_revenue</t>
        </is>
      </c>
      <c r="M1" s="62" t="inlineStr">
        <is>
          <t>gateway_fees</t>
        </is>
      </c>
    </row>
  </sheetData>
  <pageMargins left="0.75" right="0.75" top="1" bottom="1" header="0.5" footer="0.5"/>
</worksheet>
</file>

<file path=xl/worksheets/sheet16.xml><?xml version="1.0" encoding="utf-8"?>
<worksheet xmlns="http://schemas.openxmlformats.org/spreadsheetml/2006/main">
  <sheetPr>
    <tabColor rgb="008A939B"/>
    <outlinePr summaryBelow="1" summaryRight="1"/>
    <pageSetUpPr/>
  </sheetPr>
  <dimension ref="A1:C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62" t="inlineStr">
        <is>
          <t>n</t>
        </is>
      </c>
      <c r="B1" s="62" t="inlineStr">
        <is>
          <t>channel</t>
        </is>
      </c>
      <c r="C1" s="62" t="inlineStr">
        <is>
          <t>use_case</t>
        </is>
      </c>
    </row>
  </sheetData>
  <pageMargins left="0.75" right="0.75" top="1" bottom="1" header="0.5" footer="0.5"/>
</worksheet>
</file>

<file path=xl/worksheets/sheet17.xml><?xml version="1.0" encoding="utf-8"?>
<worksheet xmlns="http://schemas.openxmlformats.org/spreadsheetml/2006/main">
  <sheetPr>
    <tabColor rgb="008A939B"/>
    <outlinePr summaryBelow="1" summaryRight="1"/>
    <pageSetUpPr/>
  </sheetPr>
  <dimension ref="A1:D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21" customWidth="1" min="4" max="4"/>
  </cols>
  <sheetData>
    <row r="1">
      <c r="A1" s="62" t="inlineStr">
        <is>
          <t>month</t>
        </is>
      </c>
      <c r="B1" s="62" t="inlineStr">
        <is>
          <t>use_case</t>
        </is>
      </c>
      <c r="C1" s="62" t="inlineStr">
        <is>
          <t>billable_tokens</t>
        </is>
      </c>
      <c r="D1" s="62" t="inlineStr">
        <is>
          <t>tokens_from_label</t>
        </is>
      </c>
    </row>
  </sheetData>
  <pageMargins left="0.75" right="0.75" top="1" bottom="1" header="0.5" footer="0.5"/>
</worksheet>
</file>

<file path=xl/worksheets/sheet18.xml><?xml version="1.0" encoding="utf-8"?>
<worksheet xmlns="http://schemas.openxmlformats.org/spreadsheetml/2006/main">
  <sheetPr>
    <tabColor rgb="008A939B"/>
    <outlinePr summaryBelow="1" summaryRight="1"/>
    <pageSetUpPr/>
  </sheetPr>
  <dimension ref="A1:C1"/>
  <sheetViews>
    <sheetView showGridLines="0" workbookViewId="0">
      <pane ySplit="1" topLeftCell="A2" activePane="bottomLeft" state="frozen"/>
      <selection pane="bottomLeft" activeCell="A1" sqref="A1"/>
    </sheetView>
  </sheetViews>
  <sheetFormatPr baseColWidth="8" defaultRowHeight="15"/>
  <cols>
    <col width="12" customWidth="1" min="1" max="1"/>
    <col width="19" customWidth="1" min="2" max="2"/>
    <col width="22" customWidth="1" min="3" max="3"/>
  </cols>
  <sheetData>
    <row r="1">
      <c r="A1" s="62" t="inlineStr">
        <is>
          <t>use_case</t>
        </is>
      </c>
      <c r="B1" s="62" t="inlineStr">
        <is>
          <t>labelled_tokens</t>
        </is>
      </c>
      <c r="C1" s="62" t="inlineStr">
        <is>
          <t>inferred_correctly</t>
        </is>
      </c>
    </row>
  </sheetData>
  <pageMargins left="0.75" right="0.75" top="1" bottom="1" header="0.5" footer="0.5"/>
</worksheet>
</file>

<file path=xl/worksheets/sheet19.xml><?xml version="1.0" encoding="utf-8"?>
<worksheet xmlns="http://schemas.openxmlformats.org/spreadsheetml/2006/main">
  <sheetPr>
    <tabColor rgb="008A939B"/>
    <outlinePr summaryBelow="1" summaryRight="1"/>
    <pageSetUpPr/>
  </sheetPr>
  <dimension ref="A1:D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9" customWidth="1" min="4" max="4"/>
  </cols>
  <sheetData>
    <row r="1">
      <c r="A1" s="62" t="inlineStr">
        <is>
          <t>cohort</t>
        </is>
      </c>
      <c r="B1" s="62" t="inlineStr">
        <is>
          <t>k</t>
        </is>
      </c>
      <c r="C1" s="62" t="inlineStr">
        <is>
          <t>billable_tokens</t>
        </is>
      </c>
      <c r="D1" s="62" t="inlineStr">
        <is>
          <t>active_accounts</t>
        </is>
      </c>
    </row>
  </sheetData>
  <pageMargins left="0.75" right="0.75" top="1" bottom="1" header="0.5" footer="0.5"/>
</worksheet>
</file>

<file path=xl/worksheets/sheet20.xml><?xml version="1.0" encoding="utf-8"?>
<worksheet xmlns="http://schemas.openxmlformats.org/spreadsheetml/2006/main">
  <sheetPr>
    <tabColor rgb="008A939B"/>
    <outlinePr summaryBelow="1" summaryRight="1"/>
    <pageSetUpPr/>
  </sheetPr>
  <dimension ref="A1:B1"/>
  <sheetViews>
    <sheetView showGridLines="0" workbookViewId="0">
      <pane ySplit="1" topLeftCell="A2" activePane="bottomLeft" state="frozen"/>
      <selection pane="bottomLeft" activeCell="A1" sqref="A1"/>
    </sheetView>
  </sheetViews>
  <sheetFormatPr baseColWidth="8" defaultRowHeight="15"/>
  <cols>
    <col width="12" customWidth="1" min="1" max="1"/>
    <col width="19" customWidth="1" min="2" max="2"/>
  </cols>
  <sheetData>
    <row r="1">
      <c r="A1" s="62" t="inlineStr">
        <is>
          <t>month</t>
        </is>
      </c>
      <c r="B1" s="62" t="inlineStr">
        <is>
          <t>billable_tokens</t>
        </is>
      </c>
    </row>
  </sheetData>
  <pageMargins left="0.75" right="0.75" top="1" bottom="1" header="0.5" footer="0.5"/>
</worksheet>
</file>

<file path=xl/worksheets/sheet21.xml><?xml version="1.0" encoding="utf-8"?>
<worksheet xmlns="http://schemas.openxmlformats.org/spreadsheetml/2006/main">
  <sheetPr>
    <tabColor rgb="008A939B"/>
    <outlinePr summaryBelow="1" summaryRight="1"/>
    <pageSetUpPr/>
  </sheetPr>
  <dimension ref="A1:D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4" customWidth="1" min="3" max="3"/>
    <col width="22" customWidth="1" min="4" max="4"/>
  </cols>
  <sheetData>
    <row r="1">
      <c r="A1" s="62" t="inlineStr">
        <is>
          <t>cohort</t>
        </is>
      </c>
      <c r="B1" s="62" t="inlineStr">
        <is>
          <t>signups</t>
        </is>
      </c>
      <c r="C1" s="62" t="inlineStr">
        <is>
          <t>added_payment_method</t>
        </is>
      </c>
      <c r="D1" s="62" t="inlineStr">
        <is>
          <t>payment_flag_known</t>
        </is>
      </c>
    </row>
  </sheetData>
  <pageMargins left="0.75" right="0.75" top="1" bottom="1" header="0.5" footer="0.5"/>
</worksheet>
</file>

<file path=xl/worksheets/sheet22.xml><?xml version="1.0" encoding="utf-8"?>
<worksheet xmlns="http://schemas.openxmlformats.org/spreadsheetml/2006/main">
  <sheetPr>
    <tabColor rgb="008A939B"/>
    <outlinePr summaryBelow="1" summaryRight="1"/>
    <pageSetUpPr/>
  </sheetPr>
  <dimension ref="A1:H1"/>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2" customWidth="1" min="4" max="4"/>
    <col width="22" customWidth="1" min="5" max="5"/>
    <col width="23" customWidth="1" min="6" max="6"/>
    <col width="16" customWidth="1" min="7" max="7"/>
    <col width="22" customWidth="1" min="8" max="8"/>
  </cols>
  <sheetData>
    <row r="1">
      <c r="A1" s="62" t="inlineStr">
        <is>
          <t>customer</t>
        </is>
      </c>
      <c r="B1" s="62" t="inlineStr">
        <is>
          <t>account_id</t>
        </is>
      </c>
      <c r="C1" s="62" t="inlineStr">
        <is>
          <t>start_date</t>
        </is>
      </c>
      <c r="D1" s="62" t="inlineStr">
        <is>
          <t>end_date</t>
        </is>
      </c>
      <c r="E1" s="62" t="inlineStr">
        <is>
          <t>monthly_commit_usd</t>
        </is>
      </c>
      <c r="F1" s="62" t="inlineStr">
        <is>
          <t>unit_price_per_mtok</t>
        </is>
      </c>
      <c r="G1" s="62" t="inlineStr">
        <is>
          <t>discount_pct</t>
        </is>
      </c>
      <c r="H1" s="62" t="inlineStr">
        <is>
          <t>last7_btok_per_day</t>
        </is>
      </c>
    </row>
  </sheetData>
  <pageMargins left="0.75" right="0.75" top="1" bottom="1" header="0.5" footer="0.5"/>
</worksheet>
</file>

<file path=xl/worksheets/sheet23.xml><?xml version="1.0" encoding="utf-8"?>
<worksheet xmlns="http://schemas.openxmlformats.org/spreadsheetml/2006/main">
  <sheetPr>
    <tabColor rgb="008A939B"/>
    <outlinePr summaryBelow="1" summaryRight="1"/>
    <pageSetUpPr/>
  </sheetPr>
  <dimension ref="A1:F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7" customWidth="1" min="4" max="4"/>
    <col width="14" customWidth="1" min="5" max="5"/>
    <col width="12" customWidth="1" min="6" max="6"/>
  </cols>
  <sheetData>
    <row r="1">
      <c r="A1" s="62" t="inlineStr">
        <is>
          <t>customer</t>
        </is>
      </c>
      <c r="B1" s="62" t="inlineStr">
        <is>
          <t>month</t>
        </is>
      </c>
      <c r="C1" s="62" t="inlineStr">
        <is>
          <t>billable_tokens</t>
        </is>
      </c>
      <c r="D1" s="62" t="inlineStr">
        <is>
          <t>usage_revenue</t>
        </is>
      </c>
      <c r="E1" s="62" t="inlineStr">
        <is>
          <t>commitment</t>
        </is>
      </c>
      <c r="F1" s="62" t="inlineStr">
        <is>
          <t>true_up</t>
        </is>
      </c>
    </row>
  </sheetData>
  <pageMargins left="0.75" right="0.75" top="1" bottom="1" header="0.5" footer="0.5"/>
</worksheet>
</file>

<file path=xl/worksheets/sheet24.xml><?xml version="1.0" encoding="utf-8"?>
<worksheet xmlns="http://schemas.openxmlformats.org/spreadsheetml/2006/main">
  <sheetPr>
    <tabColor rgb="008A939B"/>
    <outlinePr summaryBelow="1" summaryRight="1"/>
    <pageSetUpPr/>
  </sheetPr>
  <dimension ref="A1:H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5" customWidth="1" min="4" max="4"/>
    <col width="31" customWidth="1" min="5" max="5"/>
    <col width="18" customWidth="1" min="6" max="6"/>
    <col width="25" customWidth="1" min="7" max="7"/>
    <col width="13" customWidth="1" min="8" max="8"/>
  </cols>
  <sheetData>
    <row r="1">
      <c r="A1" s="62" t="inlineStr">
        <is>
          <t>deal_id</t>
        </is>
      </c>
      <c r="B1" s="62" t="inlineStr">
        <is>
          <t>customer</t>
        </is>
      </c>
      <c r="C1" s="62" t="inlineStr">
        <is>
          <t>stage</t>
        </is>
      </c>
      <c r="D1" s="62" t="inlineStr">
        <is>
          <t>probability</t>
        </is>
      </c>
      <c r="E1" s="62" t="inlineStr">
        <is>
          <t>expected_monthly_commit_usd</t>
        </is>
      </c>
      <c r="F1" s="62" t="inlineStr">
        <is>
          <t>expected_start</t>
        </is>
      </c>
      <c r="G1" s="62" t="inlineStr">
        <is>
          <t>expected_discount_pct</t>
        </is>
      </c>
      <c r="H1" s="62" t="inlineStr">
        <is>
          <t>use_cases</t>
        </is>
      </c>
    </row>
  </sheetData>
  <pageMargins left="0.75" right="0.75" top="1" bottom="1" header="0.5" footer="0.5"/>
</worksheet>
</file>

<file path=xl/worksheets/sheet25.xml><?xml version="1.0" encoding="utf-8"?>
<worksheet xmlns="http://schemas.openxmlformats.org/spreadsheetml/2006/main">
  <sheetPr>
    <tabColor rgb="008A939B"/>
    <outlinePr summaryBelow="1" summaryRight="1"/>
    <pageSetUpPr/>
  </sheetPr>
  <dimension ref="A1:H1"/>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2" customWidth="1" min="4" max="4"/>
    <col width="12" customWidth="1" min="5" max="5"/>
    <col width="19" customWidth="1" min="6" max="6"/>
    <col width="15" customWidth="1" min="7" max="7"/>
    <col width="20" customWidth="1" min="8" max="8"/>
  </cols>
  <sheetData>
    <row r="1">
      <c r="A1" s="62" t="inlineStr">
        <is>
          <t>rank</t>
        </is>
      </c>
      <c r="B1" s="62" t="inlineStr">
        <is>
          <t>account_id</t>
        </is>
      </c>
      <c r="C1" s="62" t="inlineStr">
        <is>
          <t>display_name</t>
        </is>
      </c>
      <c r="D1" s="62" t="inlineStr">
        <is>
          <t>segment</t>
        </is>
      </c>
      <c r="E1" s="62" t="inlineStr">
        <is>
          <t>channel</t>
        </is>
      </c>
      <c r="F1" s="62" t="inlineStr">
        <is>
          <t>billable_tokens</t>
        </is>
      </c>
      <c r="G1" s="62" t="inlineStr">
        <is>
          <t>net_revenue</t>
        </is>
      </c>
      <c r="H1" s="62" t="inlineStr">
        <is>
          <t>share_of_revenue</t>
        </is>
      </c>
    </row>
  </sheetData>
  <pageMargins left="0.75" right="0.75" top="1" bottom="1" header="0.5" footer="0.5"/>
</worksheet>
</file>

<file path=xl/worksheets/sheet26.xml><?xml version="1.0" encoding="utf-8"?>
<worksheet xmlns="http://schemas.openxmlformats.org/spreadsheetml/2006/main">
  <sheetPr>
    <tabColor rgb="008A939B"/>
    <outlinePr summaryBelow="1" summaryRight="1"/>
    <pageSetUpPr/>
  </sheetPr>
  <dimension ref="A1:H1"/>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2" customWidth="1" min="4" max="4"/>
    <col width="12" customWidth="1" min="5" max="5"/>
    <col width="14" customWidth="1" min="6" max="6"/>
    <col width="12" customWidth="1" min="7" max="7"/>
    <col width="12" customWidth="1" min="8" max="8"/>
  </cols>
  <sheetData>
    <row r="1">
      <c r="A1" s="62" t="inlineStr">
        <is>
          <t>check_no</t>
        </is>
      </c>
      <c r="B1" s="62" t="inlineStr">
        <is>
          <t>check_name</t>
        </is>
      </c>
      <c r="C1" s="62" t="inlineStr">
        <is>
          <t>scope</t>
        </is>
      </c>
      <c r="D1" s="62" t="inlineStr">
        <is>
          <t>expected</t>
        </is>
      </c>
      <c r="E1" s="62" t="inlineStr">
        <is>
          <t>actual</t>
        </is>
      </c>
      <c r="F1" s="62" t="inlineStr">
        <is>
          <t>usd_impact</t>
        </is>
      </c>
      <c r="G1" s="62" t="inlineStr">
        <is>
          <t>status</t>
        </is>
      </c>
      <c r="H1" s="62" t="inlineStr">
        <is>
          <t>detail</t>
        </is>
      </c>
    </row>
  </sheetData>
  <pageMargins left="0.75" right="0.75" top="1" bottom="1" header="0.5" footer="0.5"/>
</worksheet>
</file>

<file path=xl/worksheets/sheet27.xml><?xml version="1.0" encoding="utf-8"?>
<worksheet xmlns="http://schemas.openxmlformats.org/spreadsheetml/2006/main">
  <sheetPr>
    <tabColor rgb="008A939B"/>
    <outlinePr summaryBelow="1" summaryRight="1"/>
    <pageSetUpPr/>
  </sheetPr>
  <dimension ref="A1:C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s>
  <sheetData>
    <row r="1">
      <c r="A1" s="62" t="inlineStr">
        <is>
          <t>month</t>
        </is>
      </c>
      <c r="B1" s="62" t="inlineStr">
        <is>
          <t>calls_ok</t>
        </is>
      </c>
      <c r="C1" s="62" t="inlineStr">
        <is>
          <t>calls_failed</t>
        </is>
      </c>
    </row>
  </sheetData>
  <pageMargins left="0.75" right="0.75" top="1" bottom="1" header="0.5" footer="0.5"/>
</worksheet>
</file>

<file path=xl/worksheets/sheet28.xml><?xml version="1.0" encoding="utf-8"?>
<worksheet xmlns="http://schemas.openxmlformats.org/spreadsheetml/2006/main">
  <sheetPr>
    <tabColor rgb="008A939B"/>
    <outlinePr summaryBelow="1" summaryRight="1"/>
    <pageSetUpPr/>
  </sheetPr>
  <dimension ref="A1:B1"/>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s>
  <sheetData>
    <row r="1">
      <c r="A1" s="62" t="inlineStr">
        <is>
          <t>hour_start</t>
        </is>
      </c>
      <c r="B1" s="62" t="inlineStr">
        <is>
          <t>tokens</t>
        </is>
      </c>
    </row>
  </sheetData>
  <pageMargins left="0.75" right="0.75" top="1" bottom="1" header="0.5" footer="0.5"/>
</worksheet>
</file>

<file path=xl/worksheets/sheet29.xml><?xml version="1.0" encoding="utf-8"?>
<worksheet xmlns="http://schemas.openxmlformats.org/spreadsheetml/2006/main">
  <sheetPr>
    <tabColor rgb="008A939B"/>
    <outlinePr summaryBelow="1" summaryRight="1"/>
    <pageSetUpPr/>
  </sheetPr>
  <dimension ref="A1:E1"/>
  <sheetViews>
    <sheetView showGridLines="0" workbookViewId="0">
      <pane ySplit="1" topLeftCell="A2" activePane="bottomLeft" state="frozen"/>
      <selection pane="bottomLeft" activeCell="A1" sqref="A1"/>
    </sheetView>
  </sheetViews>
  <sheetFormatPr baseColWidth="8" defaultRowHeight="15"/>
  <cols>
    <col width="15" customWidth="1" min="1" max="1"/>
    <col width="16" customWidth="1" min="2" max="2"/>
    <col width="12" customWidth="1" min="3" max="3"/>
    <col width="13" customWidth="1" min="4" max="4"/>
    <col width="16" customWidth="1" min="5" max="5"/>
  </cols>
  <sheetData>
    <row r="1">
      <c r="A1" s="62" t="inlineStr">
        <is>
          <t>close_month</t>
        </is>
      </c>
      <c r="B1" s="62" t="inlineStr">
        <is>
          <t>target_month</t>
        </is>
      </c>
      <c r="C1" s="62" t="inlineStr">
        <is>
          <t>scenario</t>
        </is>
      </c>
      <c r="D1" s="62" t="inlineStr">
        <is>
          <t>component</t>
        </is>
      </c>
      <c r="E1" s="62" t="inlineStr">
        <is>
          <t>btok_per_day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2026-10-08T16:53:54Z</dcterms:created>
  <dcterms:modified xmlns:dcterms="http://purl.org/dc/terms/" xmlns:xsi="http://www.w3.org/2001/XMLSchema-instance" xsi:type="dcterms:W3CDTF">2026-10-08T16:53:54Z</dcterms:modified>
</cp:coreProperties>
</file>